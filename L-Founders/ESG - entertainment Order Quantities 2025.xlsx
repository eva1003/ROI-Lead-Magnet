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lfoundersofloyalty-my.sharepoint.com/personal/aaron_l-founders_com/Documents/Documents/CO2 calculation/Planted/2025/Scope 3/3.1 Purchased goods &amp; services/"/>
    </mc:Choice>
  </mc:AlternateContent>
  <xr:revisionPtr revIDLastSave="61" documentId="8_{7C4A9C0D-F455-4562-8B28-4DBB8FA5D53F}" xr6:coauthVersionLast="47" xr6:coauthVersionMax="47" xr10:uidLastSave="{FC0348AA-CDDD-4E53-9C09-B53977D2E4BF}"/>
  <bookViews>
    <workbookView xWindow="-90" yWindow="-90" windowWidth="19380" windowHeight="11460" activeTab="1" xr2:uid="{00000000-000D-0000-FFFF-FFFF00000000}"/>
  </bookViews>
  <sheets>
    <sheet name="Item" sheetId="2" r:id="rId1"/>
    <sheet name="Supplier" sheetId="3" r:id="rId2"/>
    <sheet name="Daneels" sheetId="183" r:id="rId3"/>
    <sheet name="Paqt" sheetId="184" r:id="rId4"/>
    <sheet name="Loko verpakkingen" sheetId="185" r:id="rId5"/>
    <sheet name="Cartotecnica" sheetId="186" r:id="rId6"/>
    <sheet name="Paqt - Esveco" sheetId="187" r:id="rId7"/>
    <sheet name="Forma Italia" sheetId="189" r:id="rId8"/>
    <sheet name="Rotolito" sheetId="190" r:id="rId9"/>
    <sheet name="Globetrade" sheetId="191" r:id="rId10"/>
    <sheet name="Morning light" sheetId="194" r:id="rId11"/>
    <sheet name="Hung Hing" sheetId="192" r:id="rId12"/>
    <sheet name="Wing Mau" sheetId="193" r:id="rId13"/>
    <sheet name="Chuangwen" sheetId="195" r:id="rId14"/>
    <sheet name="Newgate" sheetId="198" r:id="rId15"/>
    <sheet name="Shantou Dihua" sheetId="199" r:id="rId16"/>
    <sheet name="Product development partners" sheetId="196" r:id="rId17"/>
    <sheet name="Eastcolight" sheetId="200" r:id="rId18"/>
    <sheet name="Gloria fortune" sheetId="201" r:id="rId19"/>
    <sheet name="Aurora world" sheetId="202" r:id="rId20"/>
    <sheet name="Zhejiang Feijian" sheetId="203" r:id="rId21"/>
    <sheet name="Shanghai Gravim" sheetId="204" r:id="rId22"/>
    <sheet name="Rong lin wah" sheetId="205" r:id="rId23"/>
    <sheet name="Shulopal" sheetId="206" r:id="rId24"/>
    <sheet name="Xinduo cups" sheetId="208" r:id="rId25"/>
    <sheet name="Meridian" sheetId="207" r:id="rId26"/>
    <sheet name="Sun Hing printing" sheetId="209" r:id="rId27"/>
    <sheet name="Heng Dun" sheetId="210" r:id="rId28"/>
    <sheet name="Hasbro" sheetId="211" r:id="rId29"/>
    <sheet name="Prolific " sheetId="212" r:id="rId30"/>
    <sheet name="Kylin Craft" sheetId="213" r:id="rId31"/>
    <sheet name="Binli" sheetId="214" r:id="rId32"/>
    <sheet name="Tuzh umbrella" sheetId="215" r:id="rId33"/>
    <sheet name="ESG - Order Quantities 2025" sheetId="1" r:id="rId34"/>
  </sheets>
  <definedNames>
    <definedName name="_xlnm._FilterDatabase" localSheetId="33" hidden="1">'ESG - Order Quantities 2025'!$A$1:$I$2233</definedName>
    <definedName name="_xlnm._FilterDatabase" localSheetId="1" hidden="1">Supplier!$A$3:$H$102</definedName>
  </definedNames>
  <calcPr calcId="191029"/>
  <pivotCaches>
    <pivotCache cacheId="0" r:id="rId3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94" l="1"/>
  <c r="G69" i="195"/>
  <c r="G70" i="195"/>
  <c r="G71" i="195"/>
  <c r="G72" i="195"/>
  <c r="G73" i="195"/>
  <c r="G74" i="195"/>
  <c r="G75" i="195"/>
  <c r="G76" i="195"/>
  <c r="G77" i="195"/>
  <c r="G78" i="195"/>
  <c r="G79" i="195"/>
  <c r="G80" i="195"/>
  <c r="G81" i="195"/>
  <c r="G82" i="195"/>
  <c r="G83" i="195"/>
  <c r="G84" i="195"/>
  <c r="G85" i="195"/>
  <c r="G86" i="195"/>
  <c r="G87" i="195"/>
  <c r="G88" i="195"/>
  <c r="G89" i="195"/>
  <c r="G90" i="195"/>
  <c r="G91" i="195"/>
  <c r="G92" i="195"/>
  <c r="G93" i="195"/>
  <c r="G94" i="195"/>
  <c r="G68" i="195"/>
  <c r="C68" i="195"/>
  <c r="G9" i="193"/>
  <c r="C9" i="193"/>
  <c r="G33" i="191"/>
  <c r="G21" i="191"/>
  <c r="G22" i="191"/>
  <c r="G23" i="191"/>
  <c r="G24" i="191"/>
  <c r="G25" i="191"/>
  <c r="G26" i="191"/>
  <c r="G27" i="191"/>
  <c r="G28" i="191"/>
  <c r="G29" i="191"/>
  <c r="G30" i="191"/>
  <c r="G31" i="191"/>
  <c r="G32" i="191"/>
  <c r="G20" i="191"/>
  <c r="F27" i="191"/>
  <c r="G17" i="189" l="1"/>
  <c r="C8" i="207" a="1"/>
  <c r="C8" i="207" s="1"/>
  <c r="C20" i="201"/>
  <c r="E26" i="194"/>
  <c r="D26" i="194"/>
  <c r="C26" i="194"/>
  <c r="E25" i="194"/>
  <c r="D25" i="194"/>
  <c r="C25" i="194"/>
  <c r="E24" i="194"/>
  <c r="D24" i="194"/>
  <c r="C24" i="194"/>
  <c r="E23" i="194"/>
  <c r="D23" i="194"/>
  <c r="C23" i="194"/>
  <c r="E22" i="194"/>
  <c r="D22" i="194"/>
  <c r="E21" i="194"/>
  <c r="D21" i="194"/>
  <c r="C21" i="194"/>
  <c r="E20" i="194"/>
  <c r="D20" i="194"/>
  <c r="C20" i="194"/>
  <c r="E19" i="194"/>
  <c r="D19" i="194"/>
  <c r="C19" i="194"/>
  <c r="H114" i="183" l="1"/>
  <c r="H117" i="183"/>
  <c r="G21" i="184"/>
  <c r="H115" i="183"/>
  <c r="H116" i="183"/>
  <c r="D152" i="183"/>
  <c r="G7" i="192"/>
  <c r="G17" i="185"/>
  <c r="G20" i="184"/>
  <c r="G8" i="212"/>
  <c r="E13" i="205"/>
  <c r="E12" i="205"/>
  <c r="G17" i="203"/>
  <c r="G18" i="203"/>
  <c r="G19" i="203"/>
  <c r="G20" i="203"/>
  <c r="G21" i="203"/>
  <c r="G16" i="203"/>
  <c r="D27" i="198"/>
  <c r="C27" i="198"/>
  <c r="E20" i="191" a="1"/>
  <c r="E20" i="191" s="1"/>
  <c r="D20" i="191" a="1"/>
  <c r="D20" i="191" s="1"/>
  <c r="C20" i="191" a="1"/>
  <c r="C20" i="191" s="1"/>
  <c r="E94" i="195"/>
  <c r="D94" i="195"/>
  <c r="C94" i="195"/>
  <c r="E93" i="195"/>
  <c r="D93" i="195"/>
  <c r="C93" i="195"/>
  <c r="E92" i="195"/>
  <c r="D92" i="195"/>
  <c r="C92" i="195"/>
  <c r="E91" i="195"/>
  <c r="D91" i="195"/>
  <c r="C91" i="195"/>
  <c r="E90" i="195"/>
  <c r="D90" i="195"/>
  <c r="C90" i="195"/>
  <c r="E89" i="195"/>
  <c r="D89" i="195"/>
  <c r="C89" i="195"/>
  <c r="E88" i="195"/>
  <c r="D88" i="195"/>
  <c r="C88" i="195"/>
  <c r="E87" i="195"/>
  <c r="D87" i="195"/>
  <c r="C87" i="195"/>
  <c r="E86" i="195"/>
  <c r="D86" i="195"/>
  <c r="C86" i="195"/>
  <c r="E85" i="195"/>
  <c r="D85" i="195"/>
  <c r="C85" i="195"/>
  <c r="E84" i="195"/>
  <c r="D84" i="195"/>
  <c r="C84" i="195"/>
  <c r="E83" i="195"/>
  <c r="D83" i="195"/>
  <c r="C83" i="195"/>
  <c r="E82" i="195"/>
  <c r="D82" i="195"/>
  <c r="C82" i="195"/>
  <c r="E81" i="195"/>
  <c r="D81" i="195"/>
  <c r="C81" i="195"/>
  <c r="E80" i="195"/>
  <c r="D80" i="195"/>
  <c r="C80" i="195"/>
  <c r="E79" i="195"/>
  <c r="D79" i="195"/>
  <c r="C79" i="195"/>
  <c r="E78" i="195"/>
  <c r="D78" i="195"/>
  <c r="C78" i="195"/>
  <c r="E77" i="195"/>
  <c r="D77" i="195"/>
  <c r="C77" i="195"/>
  <c r="E76" i="195"/>
  <c r="D76" i="195"/>
  <c r="C76" i="195"/>
  <c r="E75" i="195"/>
  <c r="D75" i="195"/>
  <c r="C75" i="195"/>
  <c r="E74" i="195"/>
  <c r="D74" i="195"/>
  <c r="C74" i="195"/>
  <c r="E73" i="195"/>
  <c r="D73" i="195"/>
  <c r="C73" i="195"/>
  <c r="E72" i="195"/>
  <c r="D72" i="195"/>
  <c r="C72" i="195"/>
  <c r="E71" i="195"/>
  <c r="D71" i="195"/>
  <c r="C71" i="195"/>
  <c r="E70" i="195"/>
  <c r="D70" i="195"/>
  <c r="C70" i="195"/>
  <c r="E69" i="195"/>
  <c r="D69" i="195"/>
  <c r="C69" i="195"/>
  <c r="E68" i="195"/>
  <c r="D68" i="195"/>
  <c r="E67" i="195"/>
  <c r="D67" i="195"/>
  <c r="C67" i="195"/>
  <c r="E66" i="195"/>
  <c r="D66" i="195"/>
  <c r="C66" i="195"/>
  <c r="E8" i="215" a="1"/>
  <c r="E8" i="215" s="1"/>
  <c r="D8" i="215" a="1"/>
  <c r="D8" i="215" s="1"/>
  <c r="C8" i="215" a="1"/>
  <c r="C8" i="215" s="1"/>
  <c r="E11" i="214"/>
  <c r="E10" i="214"/>
  <c r="D11" i="214"/>
  <c r="D10" i="214"/>
  <c r="C11" i="214"/>
  <c r="C10" i="214"/>
  <c r="E8" i="213" a="1"/>
  <c r="E8" i="213" s="1"/>
  <c r="D8" i="213" a="1"/>
  <c r="D8" i="213" s="1"/>
  <c r="C8" i="213" a="1"/>
  <c r="C8" i="213" s="1"/>
  <c r="E8" i="212" a="1"/>
  <c r="E8" i="212"/>
  <c r="D8" i="212" a="1"/>
  <c r="D8" i="212" s="1"/>
  <c r="C8" i="212" a="1"/>
  <c r="C8" i="212" s="1"/>
  <c r="E8" i="211" a="1"/>
  <c r="E8" i="211" s="1"/>
  <c r="D8" i="211" a="1"/>
  <c r="D8" i="211" s="1"/>
  <c r="C8" i="211" a="1"/>
  <c r="C8" i="211" s="1"/>
  <c r="G8" i="210"/>
  <c r="E8" i="210" a="1"/>
  <c r="E8" i="210" s="1"/>
  <c r="D8" i="210" a="1"/>
  <c r="D8" i="210" s="1"/>
  <c r="C8" i="210" a="1"/>
  <c r="C8" i="210" s="1"/>
  <c r="E8" i="209" a="1"/>
  <c r="E8" i="209"/>
  <c r="D8" i="209" a="1"/>
  <c r="D8" i="209" s="1"/>
  <c r="C8" i="209" a="1"/>
  <c r="C8" i="209" s="1"/>
  <c r="E10" i="208"/>
  <c r="D10" i="208"/>
  <c r="C10" i="208"/>
  <c r="E8" i="207" a="1"/>
  <c r="E8" i="207" s="1"/>
  <c r="D8" i="207" a="1"/>
  <c r="D8" i="207" s="1"/>
  <c r="E8" i="206" a="1"/>
  <c r="E8" i="206" s="1"/>
  <c r="D8" i="206" a="1"/>
  <c r="D8" i="206"/>
  <c r="C8" i="206" a="1"/>
  <c r="C8" i="206" s="1"/>
  <c r="D13" i="205"/>
  <c r="D12" i="205"/>
  <c r="C13" i="205"/>
  <c r="C12" i="205"/>
  <c r="E9" i="204"/>
  <c r="D9" i="204"/>
  <c r="C9" i="204"/>
  <c r="E21" i="203"/>
  <c r="D21" i="203"/>
  <c r="C21" i="203"/>
  <c r="E20" i="203"/>
  <c r="D20" i="203"/>
  <c r="C20" i="203"/>
  <c r="E19" i="203"/>
  <c r="D19" i="203"/>
  <c r="C19" i="203"/>
  <c r="E18" i="203"/>
  <c r="D18" i="203"/>
  <c r="C18" i="203"/>
  <c r="E17" i="203"/>
  <c r="D17" i="203"/>
  <c r="C17" i="203"/>
  <c r="E16" i="203"/>
  <c r="D16" i="203"/>
  <c r="C16" i="203"/>
  <c r="E9" i="202"/>
  <c r="D9" i="202"/>
  <c r="C9" i="202"/>
  <c r="E24" i="201"/>
  <c r="D24" i="201"/>
  <c r="C24" i="201"/>
  <c r="E23" i="201"/>
  <c r="D23" i="201"/>
  <c r="C23" i="201"/>
  <c r="E22" i="201"/>
  <c r="D22" i="201"/>
  <c r="C22" i="201"/>
  <c r="E21" i="201"/>
  <c r="D21" i="201"/>
  <c r="C21" i="201"/>
  <c r="E20" i="201"/>
  <c r="D20" i="201"/>
  <c r="E13" i="200"/>
  <c r="D13" i="200"/>
  <c r="C13" i="200"/>
  <c r="E16" i="199"/>
  <c r="D16" i="199"/>
  <c r="C16" i="199"/>
  <c r="E15" i="199"/>
  <c r="D15" i="199"/>
  <c r="C15" i="199"/>
  <c r="E14" i="199"/>
  <c r="D14" i="199"/>
  <c r="C14" i="199"/>
  <c r="E34" i="198"/>
  <c r="D34" i="198"/>
  <c r="C34" i="198"/>
  <c r="E33" i="198"/>
  <c r="D33" i="198"/>
  <c r="C33" i="198"/>
  <c r="E32" i="198"/>
  <c r="D32" i="198"/>
  <c r="C32" i="198"/>
  <c r="E31" i="198"/>
  <c r="D31" i="198"/>
  <c r="C31" i="198"/>
  <c r="E30" i="198"/>
  <c r="D30" i="198"/>
  <c r="C30" i="198"/>
  <c r="E29" i="198"/>
  <c r="D29" i="198"/>
  <c r="C29" i="198"/>
  <c r="E28" i="198"/>
  <c r="D28" i="198"/>
  <c r="C28" i="198"/>
  <c r="E27" i="198"/>
  <c r="E21" i="196"/>
  <c r="D21" i="196"/>
  <c r="C21" i="196"/>
  <c r="E20" i="196"/>
  <c r="D20" i="196"/>
  <c r="C20" i="196"/>
  <c r="E19" i="196"/>
  <c r="D19" i="196"/>
  <c r="C19" i="196"/>
  <c r="E18" i="196"/>
  <c r="D18" i="196"/>
  <c r="C18" i="196"/>
  <c r="E17" i="196"/>
  <c r="D17" i="196"/>
  <c r="C17" i="196"/>
  <c r="E16" i="196"/>
  <c r="D16" i="196"/>
  <c r="C16" i="196"/>
  <c r="E15" i="196"/>
  <c r="D15" i="196"/>
  <c r="C15" i="196"/>
  <c r="F115" i="183"/>
  <c r="F116" i="183"/>
  <c r="F117" i="183"/>
  <c r="F118" i="183"/>
  <c r="E17" i="189"/>
  <c r="E23" i="184"/>
  <c r="E22" i="184"/>
  <c r="E21" i="184"/>
  <c r="E20" i="184"/>
  <c r="F114" i="183"/>
  <c r="E9" i="193"/>
  <c r="E7" i="192" a="1"/>
  <c r="E7" i="192" s="1"/>
  <c r="E12" i="190"/>
  <c r="E11" i="190"/>
  <c r="E15" i="187"/>
  <c r="E17" i="186"/>
  <c r="E17" i="18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<sst xmlns="http://schemas.openxmlformats.org/spreadsheetml/2006/main" count="20999" uniqueCount="3106">
  <si>
    <t>Purchase Order  Number</t>
  </si>
  <si>
    <t>Item Being Procured: Item Number</t>
  </si>
  <si>
    <t>Item Description</t>
  </si>
  <si>
    <t>Quantity</t>
  </si>
  <si>
    <t>Quantity Received</t>
  </si>
  <si>
    <t>Status</t>
  </si>
  <si>
    <t>Purchase Order Date</t>
  </si>
  <si>
    <t>Supplier Site: Supplier Site Name</t>
  </si>
  <si>
    <t>PO-008556</t>
  </si>
  <si>
    <t>KU0307</t>
  </si>
  <si>
    <t>Serving Spoon</t>
  </si>
  <si>
    <t>Closed</t>
  </si>
  <si>
    <t>06-01-2025</t>
  </si>
  <si>
    <t>ZWILLING International Trading Shanghai</t>
  </si>
  <si>
    <t>PO-008558</t>
  </si>
  <si>
    <t>LMN-E01-OW107</t>
  </si>
  <si>
    <t>Oval Dish</t>
  </si>
  <si>
    <t>Cerages Investimentos, SA</t>
  </si>
  <si>
    <t>LMN-E01-OW101</t>
  </si>
  <si>
    <t>Pie dish</t>
  </si>
  <si>
    <t>PO-008640</t>
  </si>
  <si>
    <t>LMI-E01-PLU101</t>
  </si>
  <si>
    <t>Minecraft Plush Steve 16cm</t>
  </si>
  <si>
    <t>WUXI CHUANGWEN TEXTILE TECHNOLOGY CO</t>
  </si>
  <si>
    <t>LMI-E01-PLU102</t>
  </si>
  <si>
    <t>Minecraft Plush Alex 16cm</t>
  </si>
  <si>
    <t>LMI-E01-PLU103</t>
  </si>
  <si>
    <t>Minecraft Plush Creeper 16cm</t>
  </si>
  <si>
    <t>LMI-E01-PLU104</t>
  </si>
  <si>
    <t>Minecraft Plush Pig 16cm</t>
  </si>
  <si>
    <t>LMI-E01-PLU105</t>
  </si>
  <si>
    <t>Minecraft Plush Bee 16cm</t>
  </si>
  <si>
    <t>LMI-E01-PLU106</t>
  </si>
  <si>
    <t>Minecraft Plush Fox 16cm</t>
  </si>
  <si>
    <t>PO-008642</t>
  </si>
  <si>
    <t>LBD-E01-GA102</t>
  </si>
  <si>
    <t>Cultivator 30cm</t>
  </si>
  <si>
    <t>07-01-2025</t>
  </si>
  <si>
    <t>Edco Eindhoven B.V</t>
  </si>
  <si>
    <t>LBD-E01-GA104</t>
  </si>
  <si>
    <t>Trowel</t>
  </si>
  <si>
    <t>LBD-E01-GA110</t>
  </si>
  <si>
    <t>Bypass lopper 28 inch</t>
  </si>
  <si>
    <t>PO-008647</t>
  </si>
  <si>
    <t>7570_38</t>
  </si>
  <si>
    <t>Adidas 3 completi tennis donna (taglie s-m-l)</t>
  </si>
  <si>
    <t>09-01-2025</t>
  </si>
  <si>
    <t>ADVANCED DISTRIBUTION S.P.A.</t>
  </si>
  <si>
    <t>HT3911_41</t>
  </si>
  <si>
    <t>Set 3 polsiere tennis</t>
  </si>
  <si>
    <t>PO-008648</t>
  </si>
  <si>
    <t>P2I230020_128</t>
  </si>
  <si>
    <t>Set 12 corde per saltare</t>
  </si>
  <si>
    <t>Alisei</t>
  </si>
  <si>
    <t>P2I200670_129</t>
  </si>
  <si>
    <t>Set 4 ruote per esercizi</t>
  </si>
  <si>
    <t>13302_176</t>
  </si>
  <si>
    <t>Set 6 ghiaccio spray</t>
  </si>
  <si>
    <t>08012_180</t>
  </si>
  <si>
    <t>Bacheca/pannello fondo sughero</t>
  </si>
  <si>
    <t>PO-008649</t>
  </si>
  <si>
    <t>C21031008_87</t>
  </si>
  <si>
    <t>Set 5 cuffie poliestere - junior</t>
  </si>
  <si>
    <t>C2 Group</t>
  </si>
  <si>
    <t>C21031013_92</t>
  </si>
  <si>
    <t>Set 2 ostacolatori monoblocco</t>
  </si>
  <si>
    <t>C21031015_94</t>
  </si>
  <si>
    <t>Paracadute per piscina</t>
  </si>
  <si>
    <t>C2103074_174</t>
  </si>
  <si>
    <t>Valigetta pronto soccorso</t>
  </si>
  <si>
    <t>C21031005_187</t>
  </si>
  <si>
    <t>Compressore</t>
  </si>
  <si>
    <t>PO-008650</t>
  </si>
  <si>
    <t>AQFIN-C38_113</t>
  </si>
  <si>
    <t>Pinne da allenamento con pala corta tg 38</t>
  </si>
  <si>
    <t>IGA COMPANY SAS DI STEFANO</t>
  </si>
  <si>
    <t>AQFIN-C42_114</t>
  </si>
  <si>
    <t>Pinne da allenamento con pala corta tg 42</t>
  </si>
  <si>
    <t>PO-008651</t>
  </si>
  <si>
    <t>420977_20</t>
  </si>
  <si>
    <t>Set 5 palloni Gilbert allenamento gtr4000 mis. 5</t>
  </si>
  <si>
    <t>Landmark SRL</t>
  </si>
  <si>
    <t>85518605_22</t>
  </si>
  <si>
    <t>Set 4 paradenti Gilbert tricolore senior</t>
  </si>
  <si>
    <t>PO-008652</t>
  </si>
  <si>
    <t>PAL026_12</t>
  </si>
  <si>
    <t>Set 5 palloni Academy School, mis.4 da allenamento</t>
  </si>
  <si>
    <t>NIM SRL</t>
  </si>
  <si>
    <t>PAL026_13</t>
  </si>
  <si>
    <t>Set 5 palloni Academy School, mis. 5 da allenamento</t>
  </si>
  <si>
    <t>81311405_26</t>
  </si>
  <si>
    <t>Set 2 borse porta palloni</t>
  </si>
  <si>
    <t>RK05_47</t>
  </si>
  <si>
    <t>Racchetta Padel Capo</t>
  </si>
  <si>
    <t>C003_69</t>
  </si>
  <si>
    <t>Calze basket 10 paia</t>
  </si>
  <si>
    <t>CT01_152</t>
  </si>
  <si>
    <t>Set 10 casacche Pro allenamento</t>
  </si>
  <si>
    <t>CT02_153</t>
  </si>
  <si>
    <t>Set 10 casacche Double</t>
  </si>
  <si>
    <t>B041_166</t>
  </si>
  <si>
    <t>Set 2 borse Brera</t>
  </si>
  <si>
    <t>B081_167</t>
  </si>
  <si>
    <t>Set 2 zaini Europa fondo imbottito</t>
  </si>
  <si>
    <t>PO-008653</t>
  </si>
  <si>
    <t>8-1281215055_108</t>
  </si>
  <si>
    <t>Zaino piscina</t>
  </si>
  <si>
    <t>Reusch International Spa</t>
  </si>
  <si>
    <t>PO-008654</t>
  </si>
  <si>
    <t>6554_146</t>
  </si>
  <si>
    <t>Set 10 t-shirt mezza manica</t>
  </si>
  <si>
    <t>SVB RAPPRESENTANZE E SERVIZI SRL</t>
  </si>
  <si>
    <t>5050_D_159</t>
  </si>
  <si>
    <t>Set 3 pantaloncini donna blu s-m-l</t>
  </si>
  <si>
    <t>PO-008655</t>
  </si>
  <si>
    <t>PS31244_73</t>
  </si>
  <si>
    <t>Set da 4 gym ball</t>
  </si>
  <si>
    <t>Timac</t>
  </si>
  <si>
    <t>PS643P8_131</t>
  </si>
  <si>
    <t>Set da 8 materassini pieghevoli</t>
  </si>
  <si>
    <t>PFM006_132</t>
  </si>
  <si>
    <t>Set 20 elastici fitness con maniglie e cavigliere</t>
  </si>
  <si>
    <t>PFM007_133</t>
  </si>
  <si>
    <t>Polsiere / cavigliere regolabili</t>
  </si>
  <si>
    <t>PFM008_134</t>
  </si>
  <si>
    <t>Set di 10 stretch band</t>
  </si>
  <si>
    <t>SET2BALANCE_136</t>
  </si>
  <si>
    <t>Set di 2 balance board con maniglie</t>
  </si>
  <si>
    <t>MJ-SW001-04_172</t>
  </si>
  <si>
    <t>Set 4 cronometri impermeabili</t>
  </si>
  <si>
    <t>PO-008656</t>
  </si>
  <si>
    <t>6800S_3</t>
  </si>
  <si>
    <t>Porta calcetto</t>
  </si>
  <si>
    <t>Vivisport</t>
  </si>
  <si>
    <t>6405_17</t>
  </si>
  <si>
    <t>Set 2 aste guardialinee complete</t>
  </si>
  <si>
    <t>5205_58</t>
  </si>
  <si>
    <t>Rete da pallavolo pesante</t>
  </si>
  <si>
    <t>2062_60</t>
  </si>
  <si>
    <t>Coppia di polsiere ad 1 fascia 500 g cadauna</t>
  </si>
  <si>
    <t>1201_71</t>
  </si>
  <si>
    <t>Materasso in gomma espansa</t>
  </si>
  <si>
    <t>1576_74</t>
  </si>
  <si>
    <t>Sbarra danza in legno 2 metri</t>
  </si>
  <si>
    <t>8111_79</t>
  </si>
  <si>
    <t>Sacco boxe da 30 kg</t>
  </si>
  <si>
    <t>7010_86</t>
  </si>
  <si>
    <t>Coppia reti pallamano</t>
  </si>
  <si>
    <t>9429G_121</t>
  </si>
  <si>
    <t>Cono</t>
  </si>
  <si>
    <t>6440_122</t>
  </si>
  <si>
    <t>Set di 48 delimitatori</t>
  </si>
  <si>
    <t>FOL.1080.1_123</t>
  </si>
  <si>
    <t>Set 10 cerchi in nylon</t>
  </si>
  <si>
    <t>FOL.6457.1_124</t>
  </si>
  <si>
    <t>Set 10 pali slalom</t>
  </si>
  <si>
    <t>FOL.1377.1_125</t>
  </si>
  <si>
    <t>Set 10 stuoie</t>
  </si>
  <si>
    <t>6409_164</t>
  </si>
  <si>
    <t>Set 6 borracce</t>
  </si>
  <si>
    <t>1037_169</t>
  </si>
  <si>
    <t>Carrello porta palloni</t>
  </si>
  <si>
    <t>9006_177</t>
  </si>
  <si>
    <t>Panca mt. 2 senza schienale</t>
  </si>
  <si>
    <t>PO-008659</t>
  </si>
  <si>
    <t>LKR-E01-ST104</t>
  </si>
  <si>
    <t>Glass storage rec. S 470ml</t>
  </si>
  <si>
    <t>11-01-2025</t>
  </si>
  <si>
    <t>Jiangsu Bestfull Technology Co. Ltd.</t>
  </si>
  <si>
    <t>LKR-E01-ST105</t>
  </si>
  <si>
    <t>Glass storage rec. M 800ml</t>
  </si>
  <si>
    <t>LKR-E01-ST106</t>
  </si>
  <si>
    <t>Glass storage rec. L 1380ml</t>
  </si>
  <si>
    <t>LKR-E01-ST103</t>
  </si>
  <si>
    <t>Glass storage round L 1500ml</t>
  </si>
  <si>
    <t>LKR-E01-ST107</t>
  </si>
  <si>
    <t>Glass storage rec. XL 2620ml</t>
  </si>
  <si>
    <t>LKR-E02-ST116 - 23433</t>
  </si>
  <si>
    <t>Vacuum pump - Electrical</t>
  </si>
  <si>
    <t>PO-008660</t>
  </si>
  <si>
    <t>LKR-E01-ST102</t>
  </si>
  <si>
    <t>Glass storage round M 820ml</t>
  </si>
  <si>
    <t>PO-008661</t>
  </si>
  <si>
    <t>P2I800130_139</t>
  </si>
  <si>
    <t>Panca sollevamento pesi</t>
  </si>
  <si>
    <t>13-01-2025</t>
  </si>
  <si>
    <t>PO-008666</t>
  </si>
  <si>
    <t>WTH01020XB</t>
  </si>
  <si>
    <t>1 pallone beach volley modello Replica</t>
  </si>
  <si>
    <t>14-01-2025</t>
  </si>
  <si>
    <t>Amer Sports Italia SpA</t>
  </si>
  <si>
    <t>WZ3018703XB7</t>
  </si>
  <si>
    <t>1 pallone MVP da basket mis 7</t>
  </si>
  <si>
    <t>WZ3018703XB5</t>
  </si>
  <si>
    <t>1 pallone da minibasket mis 5</t>
  </si>
  <si>
    <t>PO-008668</t>
  </si>
  <si>
    <t>Approved</t>
  </si>
  <si>
    <t>PO-008945</t>
  </si>
  <si>
    <t>KN0674</t>
  </si>
  <si>
    <t>Sharpener</t>
  </si>
  <si>
    <t>15-01-2025</t>
  </si>
  <si>
    <t>YANGJIANG CITY HUIYU TRADING CO LTD</t>
  </si>
  <si>
    <t>KN0709</t>
  </si>
  <si>
    <t>Kitchen Shears FSC</t>
  </si>
  <si>
    <t>PO-008947</t>
  </si>
  <si>
    <t>LKR-E01-CW301</t>
  </si>
  <si>
    <t>Saucepan 16cm</t>
  </si>
  <si>
    <t>16-01-2025</t>
  </si>
  <si>
    <t>MASTER GROUP GLOBAL CO. , LTD</t>
  </si>
  <si>
    <t>LKR-E01-CW303</t>
  </si>
  <si>
    <t>Casserole with lid 20cm</t>
  </si>
  <si>
    <t>LKR-E01-CW304</t>
  </si>
  <si>
    <t>Casserole with lid 24cm</t>
  </si>
  <si>
    <t>LKR-E01-CW305</t>
  </si>
  <si>
    <t>Wok with lid 30cm</t>
  </si>
  <si>
    <t>LKR-E01-CW308</t>
  </si>
  <si>
    <t>frypan 20cm</t>
  </si>
  <si>
    <t>LKR-E01-CW309</t>
  </si>
  <si>
    <t>frypan 24cm</t>
  </si>
  <si>
    <t>LKR-E01-CW310</t>
  </si>
  <si>
    <t>frypan 28cm</t>
  </si>
  <si>
    <t>PO-008948</t>
  </si>
  <si>
    <t>PO-008949</t>
  </si>
  <si>
    <t>PO-008950</t>
  </si>
  <si>
    <t>EG01/58 CO</t>
  </si>
  <si>
    <t>Tong - Domenica</t>
  </si>
  <si>
    <t>PO-008952</t>
  </si>
  <si>
    <t>LBD-E01-GA103</t>
  </si>
  <si>
    <t>Hand rake 38,8cm</t>
  </si>
  <si>
    <t>20-01-2025</t>
  </si>
  <si>
    <t>PO-008953</t>
  </si>
  <si>
    <t>PO-008954</t>
  </si>
  <si>
    <t>LPE-E01-KU103</t>
  </si>
  <si>
    <t>Set of Pepper &amp; Salt Mill</t>
  </si>
  <si>
    <t>Peugeot</t>
  </si>
  <si>
    <t>PO-008955</t>
  </si>
  <si>
    <t>CW0620</t>
  </si>
  <si>
    <t>Pressure Cooker 6,0 l</t>
  </si>
  <si>
    <t>ZWILLING J.A. Henckels Europa GmbH</t>
  </si>
  <si>
    <t>LBD-E01-GA101</t>
  </si>
  <si>
    <t>Bypass pruner 8 inch</t>
  </si>
  <si>
    <t>Bread knife</t>
  </si>
  <si>
    <t>21-01-2025</t>
  </si>
  <si>
    <t>Santoku knife</t>
  </si>
  <si>
    <t>Chef's knife</t>
  </si>
  <si>
    <t>Paring knife</t>
  </si>
  <si>
    <t>Slicing knife</t>
  </si>
  <si>
    <t>LBD-E01-GA109</t>
  </si>
  <si>
    <t>Garden Stool with Tool Bag</t>
  </si>
  <si>
    <t>PO-009045</t>
  </si>
  <si>
    <t>PO-009046</t>
  </si>
  <si>
    <t>PO-009047</t>
  </si>
  <si>
    <t>PO-009048</t>
  </si>
  <si>
    <t>PO-009049</t>
  </si>
  <si>
    <t>LPE-E01-OW102</t>
  </si>
  <si>
    <t>Rectangular dish 36cm</t>
  </si>
  <si>
    <t>Cerutil Ceramica Utilitarias, SA</t>
  </si>
  <si>
    <t>LPE-E01-OW104</t>
  </si>
  <si>
    <t>Rectangular dish 24cm</t>
  </si>
  <si>
    <t>PO-009050</t>
  </si>
  <si>
    <t>LMI-E01-LG101</t>
  </si>
  <si>
    <t>Minecraft duffle trolley</t>
  </si>
  <si>
    <t>Xiamen Newgate Outdoor Products</t>
  </si>
  <si>
    <t>PO-009051</t>
  </si>
  <si>
    <t>LBD-E01-GA107</t>
  </si>
  <si>
    <t>Multifunctional Scissor</t>
  </si>
  <si>
    <t>LBD-E01-GA108</t>
  </si>
  <si>
    <t>Garden multitool</t>
  </si>
  <si>
    <t>PO-009052</t>
  </si>
  <si>
    <t>PO-009053</t>
  </si>
  <si>
    <t>PO-009054</t>
  </si>
  <si>
    <t>PO-009055</t>
  </si>
  <si>
    <t>LBD-E01-GA111</t>
  </si>
  <si>
    <t>Garden Work Gloves</t>
  </si>
  <si>
    <t>PO-009056</t>
  </si>
  <si>
    <t>PO-009060</t>
  </si>
  <si>
    <t>0603264561</t>
  </si>
  <si>
    <t>PKP 18 E Glue Gun</t>
  </si>
  <si>
    <t>22-01-2025</t>
  </si>
  <si>
    <t>Robert Bosch GmbH Power Tools</t>
  </si>
  <si>
    <t>1600A02W7V</t>
  </si>
  <si>
    <t>13-in-1 Multitool</t>
  </si>
  <si>
    <t>06033E0001</t>
  </si>
  <si>
    <t>UniversalBrush</t>
  </si>
  <si>
    <t>06039E0004</t>
  </si>
  <si>
    <t>IXO7</t>
  </si>
  <si>
    <t>PO-009066</t>
  </si>
  <si>
    <t>LSW-E01-SP101</t>
  </si>
  <si>
    <t>Star Wars 3pc Cards Nes Pack</t>
  </si>
  <si>
    <t>Paqt BV - Esveco Print B.V</t>
  </si>
  <si>
    <t>PO-009073</t>
  </si>
  <si>
    <t>KN0697</t>
  </si>
  <si>
    <t>24-01-2025</t>
  </si>
  <si>
    <t>KN0698</t>
  </si>
  <si>
    <t>PO-009267</t>
  </si>
  <si>
    <t>LIDL-E01-ST101</t>
  </si>
  <si>
    <t>Vacuum pump Manual</t>
  </si>
  <si>
    <t>Neoflam, Inc.</t>
  </si>
  <si>
    <t>LIDL-E01-ST102</t>
  </si>
  <si>
    <t>PP vacuum container sq. 1500ml</t>
  </si>
  <si>
    <t>LIDL-E01-ST103</t>
  </si>
  <si>
    <t>PP vacuum container rec. 600ml</t>
  </si>
  <si>
    <t>LIDL-E01-ST104</t>
  </si>
  <si>
    <t>PP vacuum container rec. 1200ml</t>
  </si>
  <si>
    <t>LIDL-E01-ST105</t>
  </si>
  <si>
    <t>PP vacuum container bowl 1000ml</t>
  </si>
  <si>
    <t>LIDL-E01-ST106</t>
  </si>
  <si>
    <t>PP vacuum container bowl 2000ml</t>
  </si>
  <si>
    <t>PO-009268</t>
  </si>
  <si>
    <t>LIDL-E01-ST108</t>
  </si>
  <si>
    <t>Lunch box</t>
  </si>
  <si>
    <t>Xiamen Create Living Co.,Ltd.</t>
  </si>
  <si>
    <t>LIDL-E01-ST109</t>
  </si>
  <si>
    <t>Yogurt beker</t>
  </si>
  <si>
    <t>PO-009269</t>
  </si>
  <si>
    <t>PO-009270</t>
  </si>
  <si>
    <t>PO-009271</t>
  </si>
  <si>
    <t>PO-009272</t>
  </si>
  <si>
    <t>PO-009273</t>
  </si>
  <si>
    <t>PO-009274</t>
  </si>
  <si>
    <t>PO-009275</t>
  </si>
  <si>
    <t>LPY-E01-OW105</t>
  </si>
  <si>
    <t>2,8L preparation bowl</t>
  </si>
  <si>
    <t>27-01-2025</t>
  </si>
  <si>
    <t>LPY-E01-OW106</t>
  </si>
  <si>
    <t>Pie dish 28cm</t>
  </si>
  <si>
    <t>LPY-E01-ST101</t>
  </si>
  <si>
    <t>Glass storage rnd 600ml</t>
  </si>
  <si>
    <t>PO-009284</t>
  </si>
  <si>
    <t>PO-009285</t>
  </si>
  <si>
    <t>PO-009286</t>
  </si>
  <si>
    <t>PO-009287</t>
  </si>
  <si>
    <t>PO-009288</t>
  </si>
  <si>
    <t>PO-009289</t>
  </si>
  <si>
    <t>KN0692</t>
  </si>
  <si>
    <t>Kitchen shear</t>
  </si>
  <si>
    <t>KN0694</t>
  </si>
  <si>
    <t>Utility knife</t>
  </si>
  <si>
    <t>KN0696</t>
  </si>
  <si>
    <t>KN0682</t>
  </si>
  <si>
    <t>Cutting board - FSC Rubberwood</t>
  </si>
  <si>
    <t>06008B5201</t>
  </si>
  <si>
    <t>Multi-purpose scissors</t>
  </si>
  <si>
    <t>06039D3009</t>
  </si>
  <si>
    <t>Easy Drill 1200 Lithium-ion cordless drill/driver</t>
  </si>
  <si>
    <t>1600A02BX3</t>
  </si>
  <si>
    <t>1600A02W7P</t>
  </si>
  <si>
    <t>Snap-off knife</t>
  </si>
  <si>
    <t>1600A02W7U</t>
  </si>
  <si>
    <t>Head lamp</t>
  </si>
  <si>
    <t>1600A02W7W</t>
  </si>
  <si>
    <t>13-in1 Repair Tool</t>
  </si>
  <si>
    <t>1600A02Z9H</t>
  </si>
  <si>
    <t>Handscrewdriver Set of 3</t>
  </si>
  <si>
    <t>1600A02Z9P</t>
  </si>
  <si>
    <t>Combination Piler</t>
  </si>
  <si>
    <t>PO-009297</t>
  </si>
  <si>
    <t>CY0635</t>
  </si>
  <si>
    <t>Red wine glass 2pcs 490ml</t>
  </si>
  <si>
    <t>30-01-2025</t>
  </si>
  <si>
    <t>Bayerische Glaswerke GmbH</t>
  </si>
  <si>
    <t>CY0636</t>
  </si>
  <si>
    <t>White wine glass 2pcs 380ml</t>
  </si>
  <si>
    <t>PO-009298</t>
  </si>
  <si>
    <t>CY0823</t>
  </si>
  <si>
    <t>Whisky glass 2pcs 345ml</t>
  </si>
  <si>
    <t>LSI02108E01</t>
  </si>
  <si>
    <t>Universal Kitchen scissors</t>
  </si>
  <si>
    <t>LSI02109E01</t>
  </si>
  <si>
    <t>LSI02101E01</t>
  </si>
  <si>
    <t>Vegetable Knife</t>
  </si>
  <si>
    <t>LSI02104E01</t>
  </si>
  <si>
    <t>Santoku Knife</t>
  </si>
  <si>
    <t>LSI02106E01</t>
  </si>
  <si>
    <t>Meat/Slicer Knife</t>
  </si>
  <si>
    <t>PO-009301</t>
  </si>
  <si>
    <t>01-02-2025</t>
  </si>
  <si>
    <t>PO-009302</t>
  </si>
  <si>
    <t>PO-009303</t>
  </si>
  <si>
    <t>PO-009304</t>
  </si>
  <si>
    <t>PO-009305</t>
  </si>
  <si>
    <t>CY0642</t>
  </si>
  <si>
    <t>Long drink glass 2pcs</t>
  </si>
  <si>
    <t>02-02-2025</t>
  </si>
  <si>
    <t>LMI-E01-SP107</t>
  </si>
  <si>
    <t>Minecraft drawstring bag collector</t>
  </si>
  <si>
    <t>PO-009398</t>
  </si>
  <si>
    <t>LPY-E01-ST102</t>
  </si>
  <si>
    <t>Glass storage rnd 1100ml</t>
  </si>
  <si>
    <t>05-02-2025</t>
  </si>
  <si>
    <t>International Cookware</t>
  </si>
  <si>
    <t>PO-009483</t>
  </si>
  <si>
    <t>06-02-2025</t>
  </si>
  <si>
    <t>PO-009575</t>
  </si>
  <si>
    <t>LRVKB-E02-OW102</t>
  </si>
  <si>
    <t>Ovendish large 38 x 26 x 7,5cm</t>
  </si>
  <si>
    <t>10-02-2025</t>
  </si>
  <si>
    <t>PO-009586</t>
  </si>
  <si>
    <t>11-02-2025</t>
  </si>
  <si>
    <t>PO-009587</t>
  </si>
  <si>
    <t>CY0469</t>
  </si>
  <si>
    <t>CY0471</t>
  </si>
  <si>
    <t>Long drink glass 2pcs 445ml</t>
  </si>
  <si>
    <t>PO-009593</t>
  </si>
  <si>
    <t>LAN-A01-OTG02</t>
  </si>
  <si>
    <t>Tritan Bottle - 500ML</t>
  </si>
  <si>
    <t>12-02-2025</t>
  </si>
  <si>
    <t>Zhejiang Feijian Industry &amp; Trade</t>
  </si>
  <si>
    <t>PO-009594</t>
  </si>
  <si>
    <t>PO-009595</t>
  </si>
  <si>
    <t>LAN-A01-OTG01</t>
  </si>
  <si>
    <t>Eco Bag with Pouch-Anpanman</t>
  </si>
  <si>
    <t>Gloria Fortune Enterprises Holdings Ltd</t>
  </si>
  <si>
    <t>LAN-A01-OTG07</t>
  </si>
  <si>
    <t>Eco Bag with Pouch-Baikinman</t>
  </si>
  <si>
    <t>PO-009596</t>
  </si>
  <si>
    <t>PO-009606</t>
  </si>
  <si>
    <t>KN0661</t>
  </si>
  <si>
    <t>KN0662</t>
  </si>
  <si>
    <t>KN0663</t>
  </si>
  <si>
    <t>KN0664</t>
  </si>
  <si>
    <t>KN0665</t>
  </si>
  <si>
    <t>KN0666</t>
  </si>
  <si>
    <t>PO-009607</t>
  </si>
  <si>
    <t>PO-009608</t>
  </si>
  <si>
    <t>PO-009609</t>
  </si>
  <si>
    <t>PO-009610</t>
  </si>
  <si>
    <t>PO-009611</t>
  </si>
  <si>
    <t>PO-009613</t>
  </si>
  <si>
    <t>YANGJIANG HAILIAN HARDWARE &amp; PLASTICS PRODUCTS CO</t>
  </si>
  <si>
    <t>PO-009614</t>
  </si>
  <si>
    <t>PO-009615</t>
  </si>
  <si>
    <t>PO-009616</t>
  </si>
  <si>
    <t>13-02-2025</t>
  </si>
  <si>
    <t>PO-009619</t>
  </si>
  <si>
    <t>LAN-A01-OTG04</t>
  </si>
  <si>
    <t>Thermal Food Flask</t>
  </si>
  <si>
    <t>GUANGDONG WOODSUN HOUSEWARES CO.,LTD</t>
  </si>
  <si>
    <t>PO-009621</t>
  </si>
  <si>
    <t>LVB-E01-DW105</t>
  </si>
  <si>
    <t>Cereal bowl set - 2 pcs</t>
  </si>
  <si>
    <t>Villeroy &amp; Boch</t>
  </si>
  <si>
    <t>LVB-E01-DW106</t>
  </si>
  <si>
    <t>Serving platter - 34cm</t>
  </si>
  <si>
    <t>PO-009622</t>
  </si>
  <si>
    <t>PO-009623</t>
  </si>
  <si>
    <t>LAN-A01-OTG05</t>
  </si>
  <si>
    <t>Lunch Box</t>
  </si>
  <si>
    <t>PO-009624</t>
  </si>
  <si>
    <t>PO-009627</t>
  </si>
  <si>
    <t>LAN-A01-OTG06</t>
  </si>
  <si>
    <t>Foldable Mat</t>
  </si>
  <si>
    <t>14-02-2025</t>
  </si>
  <si>
    <t>PO-009628</t>
  </si>
  <si>
    <t>PO-009629</t>
  </si>
  <si>
    <t>1600A02E6T</t>
  </si>
  <si>
    <t>Combination Plier</t>
  </si>
  <si>
    <t>PO-009656</t>
  </si>
  <si>
    <t>17-02-2025</t>
  </si>
  <si>
    <t>PO-009659</t>
  </si>
  <si>
    <t>LCS-A01-ST101</t>
  </si>
  <si>
    <t>Manual Vacuum Pump</t>
  </si>
  <si>
    <t>18-02-2025</t>
  </si>
  <si>
    <t>LCS-A01-ST109</t>
  </si>
  <si>
    <t>Glass Measuring Jug with Lid 500ml</t>
  </si>
  <si>
    <t>LCS-A01-ST103</t>
  </si>
  <si>
    <t>Mini Glass Container 2 pack with Lid</t>
  </si>
  <si>
    <t>LCS-A01-ST105</t>
  </si>
  <si>
    <t>Medium Glass Container with Lid</t>
  </si>
  <si>
    <t>LCS-A01-ST108</t>
  </si>
  <si>
    <t>Glass Cookware Set with Lid 2 Pack</t>
  </si>
  <si>
    <t>PO-009662</t>
  </si>
  <si>
    <t>LDY-E01-SP-102</t>
  </si>
  <si>
    <t>Disney Christmas Bell_0+ OPEN VERSION</t>
  </si>
  <si>
    <t>Forma Italia</t>
  </si>
  <si>
    <t>PO-009755</t>
  </si>
  <si>
    <t>19-02-2025</t>
  </si>
  <si>
    <t>PO-009760</t>
  </si>
  <si>
    <t>PO-009761</t>
  </si>
  <si>
    <t>PO-009767</t>
  </si>
  <si>
    <t>20-02-2025</t>
  </si>
  <si>
    <t>PO-009768</t>
  </si>
  <si>
    <t>LPY-E01-ST107</t>
  </si>
  <si>
    <t>Glass storage rec. 1500ml</t>
  </si>
  <si>
    <t>PO-009769</t>
  </si>
  <si>
    <t>CY0799</t>
  </si>
  <si>
    <t>Glasses - Iron Man</t>
  </si>
  <si>
    <t>Arc France</t>
  </si>
  <si>
    <t>CY0800</t>
  </si>
  <si>
    <t>Glasses - Groot</t>
  </si>
  <si>
    <t>CY0802</t>
  </si>
  <si>
    <t>Marvel glasses - Black Widow</t>
  </si>
  <si>
    <t>CY0803</t>
  </si>
  <si>
    <t>Glasses - Black Panther</t>
  </si>
  <si>
    <t>21-02-2025</t>
  </si>
  <si>
    <t>1600A0275G</t>
  </si>
  <si>
    <t>PO-009864</t>
  </si>
  <si>
    <t>PO-009865</t>
  </si>
  <si>
    <t>LUB-E09-TO103</t>
  </si>
  <si>
    <t>SNOW HARE PLUSH</t>
  </si>
  <si>
    <t>Aurora World HK Ltd.,</t>
  </si>
  <si>
    <t>24-02-2025</t>
  </si>
  <si>
    <t>PO-009879</t>
  </si>
  <si>
    <t>PO-009880</t>
  </si>
  <si>
    <t>25-02-2025</t>
  </si>
  <si>
    <t>PO-009881</t>
  </si>
  <si>
    <t>PO-009894</t>
  </si>
  <si>
    <t>LPE-E01-OW110</t>
  </si>
  <si>
    <t>Serving Tray</t>
  </si>
  <si>
    <t>BCI (Bretagne Ceramique Industrie)</t>
  </si>
  <si>
    <t>PO-009895</t>
  </si>
  <si>
    <t>PO-009896</t>
  </si>
  <si>
    <t>PO-009897</t>
  </si>
  <si>
    <t>LIC-E01-GW103</t>
  </si>
  <si>
    <t>Tumbler 40 cl clear 2pcs</t>
  </si>
  <si>
    <t>26-02-2025</t>
  </si>
  <si>
    <t>PO-009993</t>
  </si>
  <si>
    <t>27-02-2025</t>
  </si>
  <si>
    <t>PO-009994</t>
  </si>
  <si>
    <t>LMI-E01-BK209</t>
  </si>
  <si>
    <t>Minecraft white square mug Bee</t>
  </si>
  <si>
    <t>28-02-2025</t>
  </si>
  <si>
    <t>RONG LIN WAH INDUSTRIAL CO., LTD</t>
  </si>
  <si>
    <t>LMI-E01-BK210</t>
  </si>
  <si>
    <t>Minecraft white square mug Enderman</t>
  </si>
  <si>
    <t>PO-009995</t>
  </si>
  <si>
    <t>LMI-L01-LG202</t>
  </si>
  <si>
    <t>Minecraft Smartphone Pouch</t>
  </si>
  <si>
    <t>PO-009996</t>
  </si>
  <si>
    <t>LMI-E01-SP404</t>
  </si>
  <si>
    <t>Minecraft Tagz in flowpack</t>
  </si>
  <si>
    <t>PO-009997</t>
  </si>
  <si>
    <t>LMI-E01-BK211</t>
  </si>
  <si>
    <t>Minecraft water bottle Bee</t>
  </si>
  <si>
    <t>Zhejiang Feijian Industry &amp; Trade Co Ltd</t>
  </si>
  <si>
    <t>LMI-E01-BK212</t>
  </si>
  <si>
    <t>Minecraft water bottle Enderman</t>
  </si>
  <si>
    <t>PO-009998</t>
  </si>
  <si>
    <t>LMI-E01-UM201</t>
  </si>
  <si>
    <t>Minecraft umbrella</t>
  </si>
  <si>
    <t>PO-009999</t>
  </si>
  <si>
    <t>LMI-L01-LG201</t>
  </si>
  <si>
    <t>Minecraft Duffle Trolley</t>
  </si>
  <si>
    <t>PO-010000</t>
  </si>
  <si>
    <t>LMI-E01-SP302</t>
  </si>
  <si>
    <t>Minecraft album for 24 Tagz</t>
  </si>
  <si>
    <t>Sun Hing Printing Company Limited</t>
  </si>
  <si>
    <t>PO-010001</t>
  </si>
  <si>
    <t>LPP-E01-SP202</t>
  </si>
  <si>
    <t>PP 2.0 album softcover 50 page</t>
  </si>
  <si>
    <t>Paqt BV</t>
  </si>
  <si>
    <t>PO-010002</t>
  </si>
  <si>
    <t>PO-010003</t>
  </si>
  <si>
    <t>PO-010006</t>
  </si>
  <si>
    <t>PO-010004</t>
  </si>
  <si>
    <t>PO-010005</t>
  </si>
  <si>
    <t>PO-010008</t>
  </si>
  <si>
    <t>PO-010007</t>
  </si>
  <si>
    <t>180615_137</t>
  </si>
  <si>
    <t>Palla medica con impugnatura</t>
  </si>
  <si>
    <t>LEGAR SPORT S.R.L.</t>
  </si>
  <si>
    <t>180801_138</t>
  </si>
  <si>
    <t>Palla medica morbida</t>
  </si>
  <si>
    <t>PO-010009</t>
  </si>
  <si>
    <t>LPP-E01-SP102</t>
  </si>
  <si>
    <t>PP 2.0 Nes pack 3 stickers</t>
  </si>
  <si>
    <t>Loko Verpakkingen</t>
  </si>
  <si>
    <t>PO-010010</t>
  </si>
  <si>
    <t>PO-010011</t>
  </si>
  <si>
    <t>PO-010017</t>
  </si>
  <si>
    <t>PO-010012</t>
  </si>
  <si>
    <t>PO-010013</t>
  </si>
  <si>
    <t>PO-010014</t>
  </si>
  <si>
    <t>PO-010015</t>
  </si>
  <si>
    <t>PO-010016</t>
  </si>
  <si>
    <t>PO-010018</t>
  </si>
  <si>
    <t>PO-010091</t>
  </si>
  <si>
    <t>03-03-2025</t>
  </si>
  <si>
    <t>0603681206</t>
  </si>
  <si>
    <t>Truvo Digital Detector</t>
  </si>
  <si>
    <t>PO-010092</t>
  </si>
  <si>
    <t>LUB-E09-LI103</t>
  </si>
  <si>
    <t>NIGHTLIGHT PROJECTOR</t>
  </si>
  <si>
    <t>Shantou Dihua Trading Co Ltd</t>
  </si>
  <si>
    <t>LUB-E09-TO104</t>
  </si>
  <si>
    <t>MONEY BANK</t>
  </si>
  <si>
    <t>PO-010093</t>
  </si>
  <si>
    <t>LUB-E09-DW101</t>
  </si>
  <si>
    <t>MUGS SET OF 2PCS</t>
  </si>
  <si>
    <t>Ceramic Space Limited</t>
  </si>
  <si>
    <t>LUB-E09-DW102</t>
  </si>
  <si>
    <t>BOWLS SET OF 2PCS</t>
  </si>
  <si>
    <t>PO-010094</t>
  </si>
  <si>
    <t>LUB-E09-TX102</t>
  </si>
  <si>
    <t>BLANKET</t>
  </si>
  <si>
    <t>PO-010096</t>
  </si>
  <si>
    <t>PO-010097</t>
  </si>
  <si>
    <t>PO-010098</t>
  </si>
  <si>
    <t>PO-010099</t>
  </si>
  <si>
    <t>PO-010100</t>
  </si>
  <si>
    <t>PO-010101</t>
  </si>
  <si>
    <t>LMI-E01-PLU207</t>
  </si>
  <si>
    <t>Minecraft Plush Enderman 16cm</t>
  </si>
  <si>
    <t>LMI-E01-PLU204</t>
  </si>
  <si>
    <t>LMI-E01-PLU205</t>
  </si>
  <si>
    <t>LMI-E01-PLU206</t>
  </si>
  <si>
    <t>LMI-E01-TX201</t>
  </si>
  <si>
    <t>Minecraft beach towel</t>
  </si>
  <si>
    <t>PO-010102</t>
  </si>
  <si>
    <t>LHP-L01-BOT01</t>
  </si>
  <si>
    <t>Harry Potter Bottle Gryffindor 500ml</t>
  </si>
  <si>
    <t>LHP-L01-BOT02</t>
  </si>
  <si>
    <t>Harry Potter Bottle Hufflepuff 500ml</t>
  </si>
  <si>
    <t>LHP-L01-BOT03</t>
  </si>
  <si>
    <t>Harry Potter Bottle Ravenclaw 500ml</t>
  </si>
  <si>
    <t>LHP-L01-BOT04</t>
  </si>
  <si>
    <t>Harry Potter Bottle Slytherin 500ml</t>
  </si>
  <si>
    <t>PO-010103</t>
  </si>
  <si>
    <t>LHP-L01-DRAW01</t>
  </si>
  <si>
    <t>Harry Potter String Bag with Poster</t>
  </si>
  <si>
    <t>PO-010104</t>
  </si>
  <si>
    <t>LHP-E01-SP301</t>
  </si>
  <si>
    <t>HP printed patch in FSC flowpack</t>
  </si>
  <si>
    <t>PO-009910</t>
  </si>
  <si>
    <t>LDSY-E01-SP301</t>
  </si>
  <si>
    <t>Disney Fixeez E.Leclerc</t>
  </si>
  <si>
    <t>PO-010105</t>
  </si>
  <si>
    <t>04-03-2025</t>
  </si>
  <si>
    <t>GIA11020CO</t>
  </si>
  <si>
    <t>Frypan 20 cm - light blue</t>
  </si>
  <si>
    <t>GIA11024CO</t>
  </si>
  <si>
    <t>Frypan 24 cm - blue</t>
  </si>
  <si>
    <t>GIA11428CO</t>
  </si>
  <si>
    <t>Wok 28 cm - dove grey</t>
  </si>
  <si>
    <t>GIA10124CO</t>
  </si>
  <si>
    <t>Casserole 2 handles 24 cm - dove grey</t>
  </si>
  <si>
    <t>ARU01 B CO</t>
  </si>
  <si>
    <t>Grater - Parmenide</t>
  </si>
  <si>
    <t>PO-010162</t>
  </si>
  <si>
    <t>LRVKB-E01-CW201</t>
  </si>
  <si>
    <t>05-03-2025</t>
  </si>
  <si>
    <t>NINGBO BEEFIT KITCHENWARE CO., LTD.</t>
  </si>
  <si>
    <t>LRVKB-E01-CW203</t>
  </si>
  <si>
    <t>Casserole 20cm with silicone straining lid</t>
  </si>
  <si>
    <t>LRVKB-E01-CW204</t>
  </si>
  <si>
    <t>Casserole 24cm with silicone straining lid</t>
  </si>
  <si>
    <t>LRVKB-E01-CW205</t>
  </si>
  <si>
    <t>Open wok 28cm</t>
  </si>
  <si>
    <t>LRVKB-E01-CW208</t>
  </si>
  <si>
    <t>Frypan 20cm</t>
  </si>
  <si>
    <t>LRVKB-E01-CW209</t>
  </si>
  <si>
    <t>Frypan 24cm</t>
  </si>
  <si>
    <t>PO-010163</t>
  </si>
  <si>
    <t>PO-010165</t>
  </si>
  <si>
    <t>PO-010166</t>
  </si>
  <si>
    <t>PO-010170</t>
  </si>
  <si>
    <t>PO-010171</t>
  </si>
  <si>
    <t>PO-010178</t>
  </si>
  <si>
    <t>SNP Mixed Bags (T1)</t>
  </si>
  <si>
    <t>Set of Mixed Sports Style Bags</t>
  </si>
  <si>
    <t>10-03-2025</t>
  </si>
  <si>
    <t>Ningbo Heyuan Textile Product Co., Ltd</t>
  </si>
  <si>
    <t>PO-010183</t>
  </si>
  <si>
    <t>Alessi Spa</t>
  </si>
  <si>
    <t>PO-010184</t>
  </si>
  <si>
    <t>C2602768</t>
  </si>
  <si>
    <t>VALIGETTA PRONTO SOCCORSO</t>
  </si>
  <si>
    <t>11-03-2025</t>
  </si>
  <si>
    <t>PO-010185</t>
  </si>
  <si>
    <t>PO-010299</t>
  </si>
  <si>
    <t>12-03-2025</t>
  </si>
  <si>
    <t>LPY-E01-OW108</t>
  </si>
  <si>
    <t>Cake dish 26cm</t>
  </si>
  <si>
    <t>LPY-E01-OW104</t>
  </si>
  <si>
    <t>Measure Jug 1L</t>
  </si>
  <si>
    <t>PO-010302</t>
  </si>
  <si>
    <t>PO-010303</t>
  </si>
  <si>
    <t>KN0446</t>
  </si>
  <si>
    <t>Paring Knife 100mm</t>
  </si>
  <si>
    <t>KN0448</t>
  </si>
  <si>
    <t>Bread Knife 200mm</t>
  </si>
  <si>
    <t>PO-010304</t>
  </si>
  <si>
    <t>OT0557</t>
  </si>
  <si>
    <t>Cutting board, bamboo, medium</t>
  </si>
  <si>
    <t>KN0495</t>
  </si>
  <si>
    <t>Multi-purpose kitchen shears</t>
  </si>
  <si>
    <t>PO-010307</t>
  </si>
  <si>
    <t>SNP 2L Bottle</t>
  </si>
  <si>
    <t>2L Tritan Drinking Bottle</t>
  </si>
  <si>
    <t>13-03-2025</t>
  </si>
  <si>
    <t>Ningbo Zhenhai Kylin Craft Article Co., Ltd</t>
  </si>
  <si>
    <t>PO-010311</t>
  </si>
  <si>
    <t>SNP T2 Tumblers</t>
  </si>
  <si>
    <t>Tier 2 Thermal Tumblers in a mixed carton with filler</t>
  </si>
  <si>
    <t>14-03-2025</t>
  </si>
  <si>
    <t>Yongkang Xinduo Cups Co Ltd</t>
  </si>
  <si>
    <t>PO-010313</t>
  </si>
  <si>
    <t>LMA-U01-SP102</t>
  </si>
  <si>
    <t>Marvel 2.0 Stickerpack for free EN</t>
  </si>
  <si>
    <t>Daneels Media Group</t>
  </si>
  <si>
    <t>PO-010314</t>
  </si>
  <si>
    <t>PO-010315</t>
  </si>
  <si>
    <t>PO-010317</t>
  </si>
  <si>
    <t>LMA-U01-SP104</t>
  </si>
  <si>
    <t>Marvel 2.0 Stickerpack for FR</t>
  </si>
  <si>
    <t>PO-010326</t>
  </si>
  <si>
    <t>LMA-U01-SP204</t>
  </si>
  <si>
    <t>Marvel 2.0 Album for stickers</t>
  </si>
  <si>
    <t>PO-010319</t>
  </si>
  <si>
    <t>PO-010320</t>
  </si>
  <si>
    <t>PO-010321</t>
  </si>
  <si>
    <t>PO-010322</t>
  </si>
  <si>
    <t>PO-010323</t>
  </si>
  <si>
    <t>PO-010327</t>
  </si>
  <si>
    <t>PO-010328</t>
  </si>
  <si>
    <t>PO-010329</t>
  </si>
  <si>
    <t>PO-010331</t>
  </si>
  <si>
    <t>LMA-U01-SP205</t>
  </si>
  <si>
    <t>Marvel 2.0 Album for sticker FR</t>
  </si>
  <si>
    <t>PO-010334</t>
  </si>
  <si>
    <t>LDY-E01-XMB101</t>
  </si>
  <si>
    <t>Disney Morrison UK xmas bells 2025</t>
  </si>
  <si>
    <t>PO-010338</t>
  </si>
  <si>
    <t>SNP Black Umbrella</t>
  </si>
  <si>
    <t>Snoopy Urban Style Umbrella with J Handle</t>
  </si>
  <si>
    <t>17-03-2025</t>
  </si>
  <si>
    <t>Xiamen Tuzh Umbrella Co., Ltd</t>
  </si>
  <si>
    <t>PO-010340</t>
  </si>
  <si>
    <t>PO-010341</t>
  </si>
  <si>
    <t>PO-010343</t>
  </si>
  <si>
    <t>SNP 20cm Plush Snoopy</t>
  </si>
  <si>
    <t>20cm Plush Monochrome Snoopy with cap &amp; sunglasses</t>
  </si>
  <si>
    <t>18-03-2025</t>
  </si>
  <si>
    <t>Lianyungang Binli Manufacture Co., Ltd</t>
  </si>
  <si>
    <t>SNP 1M Snuggly Snoopy</t>
  </si>
  <si>
    <t>1M Monochrome Snoopy plush</t>
  </si>
  <si>
    <t>PO-010339</t>
  </si>
  <si>
    <t>SNP Mini Hard Case</t>
  </si>
  <si>
    <t>Snoopy Mini Clear PC Hardcase with 2 sides UV print</t>
  </si>
  <si>
    <t>Dongguan Love Travel Products Co., Ltd</t>
  </si>
  <si>
    <t>PO-010347</t>
  </si>
  <si>
    <t>LHP-E01-SP3D3</t>
  </si>
  <si>
    <t>HP Wizzis Busts collector with HP wand</t>
  </si>
  <si>
    <t>GLOBETRADE DELUCO NV - USD</t>
  </si>
  <si>
    <t>PO-010348</t>
  </si>
  <si>
    <t>LHP-E01-SP3D4</t>
  </si>
  <si>
    <t>HP wand</t>
  </si>
  <si>
    <t>Prolific Industrial Limited</t>
  </si>
  <si>
    <t>PO-010349</t>
  </si>
  <si>
    <t>LDY-E01-XMB301</t>
  </si>
  <si>
    <t>Disney Maxi Serbia xmas bells 2025</t>
  </si>
  <si>
    <t>PO-010350</t>
  </si>
  <si>
    <t>LDY-E01-XMB401</t>
  </si>
  <si>
    <t>Disney Xmas bell 2025 - Generic 1.0 CZ ES RO</t>
  </si>
  <si>
    <t>PO-010351</t>
  </si>
  <si>
    <t>PO-010353</t>
  </si>
  <si>
    <t>LDY-E01-SP201</t>
  </si>
  <si>
    <t>Morrisons UK X Disney Kitchen Cards</t>
  </si>
  <si>
    <t>Edis - Cartotecnica Sinigaglia</t>
  </si>
  <si>
    <t>PO-010354</t>
  </si>
  <si>
    <t>LDY-E01-SP202</t>
  </si>
  <si>
    <t>Morrisons UK X Disney Kitchen Album</t>
  </si>
  <si>
    <t>Rotolito Spa</t>
  </si>
  <si>
    <t>PO-010355</t>
  </si>
  <si>
    <t>LPE-E01-OW101</t>
  </si>
  <si>
    <t>Pie dish 30cm</t>
  </si>
  <si>
    <t>PO-010356</t>
  </si>
  <si>
    <t>KN0475</t>
  </si>
  <si>
    <t>Slicing knife 160mm</t>
  </si>
  <si>
    <t>KN0447</t>
  </si>
  <si>
    <t>Utility Knife 130mm</t>
  </si>
  <si>
    <t>PO-010357</t>
  </si>
  <si>
    <t>PO-010363</t>
  </si>
  <si>
    <t>LZW-E01-CW103</t>
  </si>
  <si>
    <t>Cocotte cast iron round 24cm</t>
  </si>
  <si>
    <t>PO-010375</t>
  </si>
  <si>
    <t>19-03-2025</t>
  </si>
  <si>
    <t>PO-010376</t>
  </si>
  <si>
    <t>PO-010377</t>
  </si>
  <si>
    <t>KN0693</t>
  </si>
  <si>
    <t>Paring Knife</t>
  </si>
  <si>
    <t>24-03-2025</t>
  </si>
  <si>
    <t>PO-010533</t>
  </si>
  <si>
    <t>Bormioli Luigi S.p.A.</t>
  </si>
  <si>
    <t>PO-010536</t>
  </si>
  <si>
    <t>26-03-2025</t>
  </si>
  <si>
    <t>KN0700</t>
  </si>
  <si>
    <t>PO-010545</t>
  </si>
  <si>
    <t>LDY-E01-XMB201</t>
  </si>
  <si>
    <t>Disney multiverse Carrefour France xmas bells 2025</t>
  </si>
  <si>
    <t>27-03-2025</t>
  </si>
  <si>
    <t>PO-010546</t>
  </si>
  <si>
    <t>LDY-L01-XMW101</t>
  </si>
  <si>
    <t>Disney Xmas Wreath</t>
  </si>
  <si>
    <t>Wing Mau Products Development Ltd</t>
  </si>
  <si>
    <t>PO-010549</t>
  </si>
  <si>
    <t>LDSY-E01-SP102</t>
  </si>
  <si>
    <t>Disney Stitch NESpack of 4 cards &amp; 1 Fixeez</t>
  </si>
  <si>
    <t>28-03-2025</t>
  </si>
  <si>
    <t>PO-010550</t>
  </si>
  <si>
    <t>PO-010551</t>
  </si>
  <si>
    <t>PO-010566</t>
  </si>
  <si>
    <t>PO-010552</t>
  </si>
  <si>
    <t>PO-010553</t>
  </si>
  <si>
    <t>PO-010554</t>
  </si>
  <si>
    <t>PO-010555</t>
  </si>
  <si>
    <t>PO-010567</t>
  </si>
  <si>
    <t>PO-010556</t>
  </si>
  <si>
    <t>PO-010557</t>
  </si>
  <si>
    <t>PO-010569</t>
  </si>
  <si>
    <t>PO-010558</t>
  </si>
  <si>
    <t>PO-010559</t>
  </si>
  <si>
    <t>PO-010560</t>
  </si>
  <si>
    <t>PO-010561</t>
  </si>
  <si>
    <t>PO-010562</t>
  </si>
  <si>
    <t>PO-010563</t>
  </si>
  <si>
    <t>PO-010564</t>
  </si>
  <si>
    <t>PO-010565</t>
  </si>
  <si>
    <t>PO-010568</t>
  </si>
  <si>
    <t>PO-010570</t>
  </si>
  <si>
    <t>PO-010571</t>
  </si>
  <si>
    <t>PO-010572</t>
  </si>
  <si>
    <t>PO-010573</t>
  </si>
  <si>
    <t>PO-010574</t>
  </si>
  <si>
    <t>PO-010575</t>
  </si>
  <si>
    <t>PO-010576</t>
  </si>
  <si>
    <t>PO-010577</t>
  </si>
  <si>
    <t>PO-010578</t>
  </si>
  <si>
    <t>PO-010579</t>
  </si>
  <si>
    <t>PO-010580</t>
  </si>
  <si>
    <t>PO-010581</t>
  </si>
  <si>
    <t>PO-010582</t>
  </si>
  <si>
    <t>PO-010583</t>
  </si>
  <si>
    <t>PO-010586</t>
  </si>
  <si>
    <t>LDSY-E01-SP201</t>
  </si>
  <si>
    <t>Disney Stitch Album E.Leclerc</t>
  </si>
  <si>
    <t>PO-010585</t>
  </si>
  <si>
    <t>PO-010587</t>
  </si>
  <si>
    <t>PO-010588</t>
  </si>
  <si>
    <t>PO-010589</t>
  </si>
  <si>
    <t>PO-010590</t>
  </si>
  <si>
    <t>PO-010591</t>
  </si>
  <si>
    <t>PS0282</t>
  </si>
  <si>
    <t>Vacuum box glass 350ml</t>
  </si>
  <si>
    <t>PO-010594</t>
  </si>
  <si>
    <t>31-03-2025</t>
  </si>
  <si>
    <t>01-04-2025</t>
  </si>
  <si>
    <t>Sun Trend International Limited</t>
  </si>
  <si>
    <t>PO-010599</t>
  </si>
  <si>
    <t>LPY-E01-ST402_UK</t>
  </si>
  <si>
    <t>Glass storage Vacuum rnd 1100ml</t>
  </si>
  <si>
    <t>LPY-E01-ST403_UK</t>
  </si>
  <si>
    <t>Glass storage Vacuum rnd 1600ml</t>
  </si>
  <si>
    <t>LPY-E01-ST406_UK</t>
  </si>
  <si>
    <t>Glass storage Vacuum rec. 800ml</t>
  </si>
  <si>
    <t>LPY-E01-ST407_UK</t>
  </si>
  <si>
    <t>Glass storage Vacuum rec. 1500ml</t>
  </si>
  <si>
    <t>LPY-E01-ST408_UK</t>
  </si>
  <si>
    <t>Glass storage Vacuum rec. 2600ml</t>
  </si>
  <si>
    <t>PO-010600</t>
  </si>
  <si>
    <t>LPY-E01-ST401_UK</t>
  </si>
  <si>
    <t>Glass storage Vacuum rnd 600ml</t>
  </si>
  <si>
    <t>PO-010601</t>
  </si>
  <si>
    <t>LPY-E01-ST406L</t>
  </si>
  <si>
    <t>Lid of glass storage vacuum rec. 800ml</t>
  </si>
  <si>
    <t>LPY-E01-ST407L</t>
  </si>
  <si>
    <t>Lid of glass storage vacuum rec. 1500ml</t>
  </si>
  <si>
    <t>LPY-E01-ST408L</t>
  </si>
  <si>
    <t>Lid of glass storage vacuum rec. 2600ml</t>
  </si>
  <si>
    <t>PO-010606</t>
  </si>
  <si>
    <t>03-04-2025</t>
  </si>
  <si>
    <t>PO-010608</t>
  </si>
  <si>
    <t>PO-010609</t>
  </si>
  <si>
    <t>PO-010610</t>
  </si>
  <si>
    <t>PO-010611</t>
  </si>
  <si>
    <t>PO-010612</t>
  </si>
  <si>
    <t>PO-010613</t>
  </si>
  <si>
    <t>PO-010614</t>
  </si>
  <si>
    <t>PO-010619</t>
  </si>
  <si>
    <t>05387_179</t>
  </si>
  <si>
    <t>Set 2 cassette portavalori</t>
  </si>
  <si>
    <t>15973_116</t>
  </si>
  <si>
    <t>Tondo galleggiante per piscina 24 pezzi</t>
  </si>
  <si>
    <t>75DA_197</t>
  </si>
  <si>
    <t>Set 6 Casco Di Sicurezza Regolabile Bici Junior. Misura: 52 - 56 Cm</t>
  </si>
  <si>
    <t>BO-180_130</t>
  </si>
  <si>
    <t>Bilanciere olimpionico</t>
  </si>
  <si>
    <t>P2I100680_170</t>
  </si>
  <si>
    <t>Set 4 lavagne magnetiche calcio per coach</t>
  </si>
  <si>
    <t>PO-010620</t>
  </si>
  <si>
    <t>C2101998_194</t>
  </si>
  <si>
    <t>Megafono</t>
  </si>
  <si>
    <t>04-04-2025</t>
  </si>
  <si>
    <t>C21031006_188</t>
  </si>
  <si>
    <t>Sport cam</t>
  </si>
  <si>
    <t>PO-010623</t>
  </si>
  <si>
    <t>PO-010624</t>
  </si>
  <si>
    <t>89111850_23</t>
  </si>
  <si>
    <t>Scudo Gilbert placcaggio senior</t>
  </si>
  <si>
    <t>PO-010625</t>
  </si>
  <si>
    <t>A870056SZG2_165</t>
  </si>
  <si>
    <t>Set 12 borracce Givova in acciaio</t>
  </si>
  <si>
    <t>C001_9</t>
  </si>
  <si>
    <t>Calza calcio 10 paia Baby/Boy/Adulto</t>
  </si>
  <si>
    <t>MICR24-U_118</t>
  </si>
  <si>
    <t>Set 4 accappatoi microfibra uomo grigio</t>
  </si>
  <si>
    <t>P018_155</t>
  </si>
  <si>
    <t>Set 10 short capo</t>
  </si>
  <si>
    <t>PA024_14</t>
  </si>
  <si>
    <t>Set 5 palloni gara match king</t>
  </si>
  <si>
    <t>PO-010626</t>
  </si>
  <si>
    <t>8-709849086_109</t>
  </si>
  <si>
    <t>Set 10 cuffie - adulto</t>
  </si>
  <si>
    <t>PO-010627</t>
  </si>
  <si>
    <t>7463_148</t>
  </si>
  <si>
    <t>Set 10 k-way</t>
  </si>
  <si>
    <t>7609_A_163</t>
  </si>
  <si>
    <t>Set 3 pantaloncini adulto s-m-l</t>
  </si>
  <si>
    <t>PO-010628</t>
  </si>
  <si>
    <t>MJ-SW003_173</t>
  </si>
  <si>
    <t>Cronometro in acciaio alta precisione</t>
  </si>
  <si>
    <t>PFM005_143</t>
  </si>
  <si>
    <t>Panca pesistica e per addominali</t>
  </si>
  <si>
    <t>PO-010629</t>
  </si>
  <si>
    <t>PFM009_135</t>
  </si>
  <si>
    <t>Set pesi 20 kg</t>
  </si>
  <si>
    <t>PO-010630</t>
  </si>
  <si>
    <t>1574_75</t>
  </si>
  <si>
    <t>Set 2 supporti terra per sbarra danza</t>
  </si>
  <si>
    <t>5304_54</t>
  </si>
  <si>
    <t>Impianto minivolley modello hobby</t>
  </si>
  <si>
    <t>5350_59</t>
  </si>
  <si>
    <t>Rete da minivolley</t>
  </si>
  <si>
    <t>6120_2</t>
  </si>
  <si>
    <t>Coppia reti calcio</t>
  </si>
  <si>
    <t>6403_16</t>
  </si>
  <si>
    <t>Set 4 pali angolo snodati</t>
  </si>
  <si>
    <t>6820_4</t>
  </si>
  <si>
    <t>Coppia reti calcetto</t>
  </si>
  <si>
    <t>7926_44</t>
  </si>
  <si>
    <t>Set 100 palline da tennis tavolo</t>
  </si>
  <si>
    <t>10-04-2025</t>
  </si>
  <si>
    <t>PO-011041</t>
  </si>
  <si>
    <t>LPY-E01-ST401L</t>
  </si>
  <si>
    <t>Lid of glass storage vacuum rnd 600ml</t>
  </si>
  <si>
    <t>07-04-2025</t>
  </si>
  <si>
    <t>PO-011252</t>
  </si>
  <si>
    <t>LDY-E01-SP103</t>
  </si>
  <si>
    <t>Disney Game On NES FREE 2Cards</t>
  </si>
  <si>
    <t>PO-011253</t>
  </si>
  <si>
    <t>PO-011254</t>
  </si>
  <si>
    <t>PO-011255</t>
  </si>
  <si>
    <t>PO-011256</t>
  </si>
  <si>
    <t>PO-011257</t>
  </si>
  <si>
    <t>PO-011258</t>
  </si>
  <si>
    <t>PO-011259</t>
  </si>
  <si>
    <t>LDY-E01-SP104</t>
  </si>
  <si>
    <t>Disney Game On Album for Cards</t>
  </si>
  <si>
    <t>PO-011260</t>
  </si>
  <si>
    <t>PO-011261</t>
  </si>
  <si>
    <t>LDY-E01-SP105</t>
  </si>
  <si>
    <t>Disney Game On NES pack 4Cards + 2Sticker</t>
  </si>
  <si>
    <t>PO-011268</t>
  </si>
  <si>
    <t>WV2000505XBOF</t>
  </si>
  <si>
    <t>1 pallone da volleyball</t>
  </si>
  <si>
    <t>PO-011269</t>
  </si>
  <si>
    <t>LPY-E01-ST410_UK</t>
  </si>
  <si>
    <t>Vacuum pump - Manual</t>
  </si>
  <si>
    <t>PO-011270</t>
  </si>
  <si>
    <t>PO-011271</t>
  </si>
  <si>
    <t>LPX-L01-BPK101</t>
  </si>
  <si>
    <t>Disney Pixar backpack Woody</t>
  </si>
  <si>
    <t>LPX-L01-LUN101</t>
  </si>
  <si>
    <t>Disney Pixar lunch bag Remy</t>
  </si>
  <si>
    <t>LPX-L01-BAG101</t>
  </si>
  <si>
    <t>Disney Pixar beach bag Anxiety</t>
  </si>
  <si>
    <t>PO-011272</t>
  </si>
  <si>
    <t>LPX-L01-BTL101</t>
  </si>
  <si>
    <t>Disney Pixar drink bottle Buzz</t>
  </si>
  <si>
    <t>PO-011273</t>
  </si>
  <si>
    <t>LPX-L01-TEX101</t>
  </si>
  <si>
    <t>Disney Pixar beach towel Nemo</t>
  </si>
  <si>
    <t>LPX-L01-TEX102</t>
  </si>
  <si>
    <t>Disney Pixar beach towel Dory</t>
  </si>
  <si>
    <t>PO-011274</t>
  </si>
  <si>
    <t>LPX-L01-PCH101</t>
  </si>
  <si>
    <t>Disney Pixar pouch Edna</t>
  </si>
  <si>
    <t>PO-011277</t>
  </si>
  <si>
    <t>08-04-2025</t>
  </si>
  <si>
    <t>PO-011282</t>
  </si>
  <si>
    <t>LNG-E01-SP201</t>
  </si>
  <si>
    <t>Nat Geo - Album softCover 42 pages  - SIGMA</t>
  </si>
  <si>
    <t>PO-011281</t>
  </si>
  <si>
    <t>LNG-E01-SP101</t>
  </si>
  <si>
    <t>Nat Geo - Pack with 4 cards - SIGMA</t>
  </si>
  <si>
    <t>PO-011283</t>
  </si>
  <si>
    <t>PO-011284</t>
  </si>
  <si>
    <t>09-04-2025</t>
  </si>
  <si>
    <t>PO-011285</t>
  </si>
  <si>
    <t>PO-011286</t>
  </si>
  <si>
    <t>PO-011287</t>
  </si>
  <si>
    <t>PO-011288</t>
  </si>
  <si>
    <t>14-04-2025</t>
  </si>
  <si>
    <t>15-04-2025</t>
  </si>
  <si>
    <t>PO-011293</t>
  </si>
  <si>
    <t>11-04-2025</t>
  </si>
  <si>
    <t>LCS-A01-ST104</t>
  </si>
  <si>
    <t>Small Glass Container with Basket with Lid</t>
  </si>
  <si>
    <t>LCS-A01-ST106</t>
  </si>
  <si>
    <t>Large Glass Container with Basket &amp; Divider with Lid</t>
  </si>
  <si>
    <t>PO-011297</t>
  </si>
  <si>
    <t>PO-011302</t>
  </si>
  <si>
    <t>PO-011312</t>
  </si>
  <si>
    <t>PO-011315</t>
  </si>
  <si>
    <t>PO-011316</t>
  </si>
  <si>
    <t>PO-011317</t>
  </si>
  <si>
    <t>PO-011318</t>
  </si>
  <si>
    <t>PO-011319</t>
  </si>
  <si>
    <t>PO-011320</t>
  </si>
  <si>
    <t>PO-011329</t>
  </si>
  <si>
    <t>DW0620</t>
  </si>
  <si>
    <t>Bowl 15cm 2pc set</t>
  </si>
  <si>
    <t>DW0624</t>
  </si>
  <si>
    <t>Salad bowl 23cm</t>
  </si>
  <si>
    <t>OW0145</t>
  </si>
  <si>
    <t>Serving dish 30cm</t>
  </si>
  <si>
    <t>OW0147</t>
  </si>
  <si>
    <t>Oven dish large</t>
  </si>
  <si>
    <t>OW0148</t>
  </si>
  <si>
    <t>Oven dish medium</t>
  </si>
  <si>
    <t>PO-011331</t>
  </si>
  <si>
    <t>PO-011337</t>
  </si>
  <si>
    <t>16-04-2025</t>
  </si>
  <si>
    <t>PO-011339</t>
  </si>
  <si>
    <t>PO-011342</t>
  </si>
  <si>
    <t>17-04-2025</t>
  </si>
  <si>
    <t>LSI02102E01</t>
  </si>
  <si>
    <t>Chef's Knife</t>
  </si>
  <si>
    <t>PO-011346</t>
  </si>
  <si>
    <t>18-04-2025</t>
  </si>
  <si>
    <t>LMN-E01-OW103</t>
  </si>
  <si>
    <t>Rectangular dish 30 cm</t>
  </si>
  <si>
    <t>22-04-2025</t>
  </si>
  <si>
    <t>PO-011360</t>
  </si>
  <si>
    <t>LPE-E01-OW105</t>
  </si>
  <si>
    <t>Ramekin 10cm set/2</t>
  </si>
  <si>
    <t>PO-011361</t>
  </si>
  <si>
    <t>PO-011364</t>
  </si>
  <si>
    <t>23-04-2025</t>
  </si>
  <si>
    <t>PO-011365</t>
  </si>
  <si>
    <t>24-04-2025</t>
  </si>
  <si>
    <t>PO-011369</t>
  </si>
  <si>
    <t>LCO020102E01</t>
  </si>
  <si>
    <t>Chef knife 20 cm - Acacia</t>
  </si>
  <si>
    <t>LCO020104E01</t>
  </si>
  <si>
    <t>Santoku knife 12,5 cm - Acacia</t>
  </si>
  <si>
    <t>LCO020110E01</t>
  </si>
  <si>
    <t>Cutting board - Acacia wood</t>
  </si>
  <si>
    <t>LCO020115E01</t>
  </si>
  <si>
    <t>Carving knife 20 cm - Acacia</t>
  </si>
  <si>
    <t>LCO020105E01</t>
  </si>
  <si>
    <t>Set of 2 steak knives 11.5 cm - Acacia</t>
  </si>
  <si>
    <t>LCO020103E01</t>
  </si>
  <si>
    <t>Bread knife - Acacia</t>
  </si>
  <si>
    <t>LCO020113E01</t>
  </si>
  <si>
    <t>Utility knife 12 cm - Acacia</t>
  </si>
  <si>
    <t>PO-011371</t>
  </si>
  <si>
    <t>PO-011374</t>
  </si>
  <si>
    <t>26-04-2025</t>
  </si>
  <si>
    <t>PO-011375</t>
  </si>
  <si>
    <t>LCO020118E01</t>
  </si>
  <si>
    <t>Knife block Greencut Acacia</t>
  </si>
  <si>
    <t>25-04-2025</t>
  </si>
  <si>
    <t>PO-011377</t>
  </si>
  <si>
    <t>28-04-2025</t>
  </si>
  <si>
    <t>PO-011386</t>
  </si>
  <si>
    <t>PO-011388</t>
  </si>
  <si>
    <t>29-04-2025</t>
  </si>
  <si>
    <t>PO-011389</t>
  </si>
  <si>
    <t>07823_181</t>
  </si>
  <si>
    <t>Lavagna magnetica cancellabile</t>
  </si>
  <si>
    <t>PO-011390</t>
  </si>
  <si>
    <t>MAC03_154</t>
  </si>
  <si>
    <t>Set 10 t-shirt capo</t>
  </si>
  <si>
    <t>LNA-E01-DW201</t>
  </si>
  <si>
    <t>Side plate 21cm - 2pcs</t>
  </si>
  <si>
    <t>15-05-2025</t>
  </si>
  <si>
    <t>LNA-E01-DW206</t>
  </si>
  <si>
    <t>Serving bowl / plate 30cm</t>
  </si>
  <si>
    <t>LNA-E01-DW205</t>
  </si>
  <si>
    <t>Large Bowl 17cm - 2pcs</t>
  </si>
  <si>
    <t>LNA-E01-DW208</t>
  </si>
  <si>
    <t>Pasta plate 23cm - 2pcs</t>
  </si>
  <si>
    <t>LNA-E01-GW504</t>
  </si>
  <si>
    <t>Wasserglas groß, 4er Set</t>
  </si>
  <si>
    <t>PO-011398</t>
  </si>
  <si>
    <t>PO-011399</t>
  </si>
  <si>
    <t>FOL.1083.1_78</t>
  </si>
  <si>
    <t>Set 10 cerchi in pvc</t>
  </si>
  <si>
    <t>PO-011391</t>
  </si>
  <si>
    <t>PO-011403</t>
  </si>
  <si>
    <t>LKR-E01-KN107 - 28019</t>
  </si>
  <si>
    <t>Fresh Paring Knife</t>
  </si>
  <si>
    <t>06-05-2025</t>
  </si>
  <si>
    <t>LKR-E01-KN104 - 28023</t>
  </si>
  <si>
    <t>LKR-E01-KN102 - 28024</t>
  </si>
  <si>
    <t>Chef Knife</t>
  </si>
  <si>
    <t>LKR-E01-KN119-28222</t>
  </si>
  <si>
    <t>Small Santoku Knife</t>
  </si>
  <si>
    <t>PO-011407</t>
  </si>
  <si>
    <t>LKR-C01-OW101 - 28170</t>
  </si>
  <si>
    <t>Square tray 1L</t>
  </si>
  <si>
    <t>07-05-2025</t>
  </si>
  <si>
    <t>Vitrinor</t>
  </si>
  <si>
    <t>LKR-C01-OW103 - 28172</t>
  </si>
  <si>
    <t>Rectangular tray 2L ( 32 x 20 x 5 cm )</t>
  </si>
  <si>
    <t>LKR-C01-OW105 - 28174</t>
  </si>
  <si>
    <t>Rectangular tray 3,6L ( 39 x 24 x 6 cm )</t>
  </si>
  <si>
    <t>PO-011408</t>
  </si>
  <si>
    <t>LKR-C01-OW113 - 28182</t>
  </si>
  <si>
    <t>Mixing Bowl</t>
  </si>
  <si>
    <t>Hong Kong Element Co., Ltd</t>
  </si>
  <si>
    <t>PO-011409</t>
  </si>
  <si>
    <t>LKR-C01-CW401 – 28178</t>
  </si>
  <si>
    <t>Cast Iron Grill Pan</t>
  </si>
  <si>
    <t>Hebei Sanxia Technology Co., Ltd</t>
  </si>
  <si>
    <t>LKR-C01-CW403 - 28180</t>
  </si>
  <si>
    <t>Cast Iron Casserole (24cm)</t>
  </si>
  <si>
    <t>PO-011410</t>
  </si>
  <si>
    <t>PO-011411</t>
  </si>
  <si>
    <t>PO-011414</t>
  </si>
  <si>
    <t>08-05-2025</t>
  </si>
  <si>
    <t>BBQ Shears</t>
  </si>
  <si>
    <t>LCS-A01-BQ128</t>
  </si>
  <si>
    <t>BBQ Cast Iron Teppanyaki Plate</t>
  </si>
  <si>
    <t>PO-011433</t>
  </si>
  <si>
    <t>LKR-E01-CW202 - 37861</t>
  </si>
  <si>
    <t>Casserole with lid 16cm</t>
  </si>
  <si>
    <t>LKR-E01-CW209 - 31971</t>
  </si>
  <si>
    <t>PO-011434</t>
  </si>
  <si>
    <t>LKR-E01-KN218 - 28030</t>
  </si>
  <si>
    <t>Rubberwood Block (6 slots)</t>
  </si>
  <si>
    <t>PO-011435</t>
  </si>
  <si>
    <t>LKR-E01-KN109 - 28025</t>
  </si>
  <si>
    <t>PO-011437</t>
  </si>
  <si>
    <t>16-05-2025</t>
  </si>
  <si>
    <t>PO-011438</t>
  </si>
  <si>
    <t>PO-011439</t>
  </si>
  <si>
    <t>PO-011440</t>
  </si>
  <si>
    <t>PO-011441</t>
  </si>
  <si>
    <t>PO-011442</t>
  </si>
  <si>
    <t>PO-011443</t>
  </si>
  <si>
    <t>PO-011444</t>
  </si>
  <si>
    <t>PO-011445</t>
  </si>
  <si>
    <t>PO-011446</t>
  </si>
  <si>
    <t>PO-011447</t>
  </si>
  <si>
    <t>PO-011448</t>
  </si>
  <si>
    <t>PO-011449</t>
  </si>
  <si>
    <t>PO-011450</t>
  </si>
  <si>
    <t>PO-011451</t>
  </si>
  <si>
    <t>PO-011452</t>
  </si>
  <si>
    <t>PO-011457</t>
  </si>
  <si>
    <t>20-05-2025</t>
  </si>
  <si>
    <t>21-05-2025</t>
  </si>
  <si>
    <t>PO-011461</t>
  </si>
  <si>
    <t>PO-011464</t>
  </si>
  <si>
    <t>22-05-2025</t>
  </si>
  <si>
    <t>28-05-2025</t>
  </si>
  <si>
    <t>PO-011471</t>
  </si>
  <si>
    <t>26-05-2025</t>
  </si>
  <si>
    <t>27-05-2025</t>
  </si>
  <si>
    <t>PO-011476</t>
  </si>
  <si>
    <t>PO-011478</t>
  </si>
  <si>
    <t>PO-011477</t>
  </si>
  <si>
    <t>PO-011481</t>
  </si>
  <si>
    <t>PO-011483</t>
  </si>
  <si>
    <t>LKR-E01-KN220-23421</t>
  </si>
  <si>
    <t>PP CUTTING BOARD</t>
  </si>
  <si>
    <t>PO-011487</t>
  </si>
  <si>
    <t>PO-011489</t>
  </si>
  <si>
    <t>17-06-2025</t>
  </si>
  <si>
    <t>PO-011490</t>
  </si>
  <si>
    <t>PO-011492</t>
  </si>
  <si>
    <t>29-05-2025</t>
  </si>
  <si>
    <t>05-06-2025</t>
  </si>
  <si>
    <t>LKR-E01-ST101</t>
  </si>
  <si>
    <t>Glass storage round S 270ml</t>
  </si>
  <si>
    <t>03-06-2025</t>
  </si>
  <si>
    <t>PO-011502</t>
  </si>
  <si>
    <t>PO-011505</t>
  </si>
  <si>
    <t>LMO-E01-SP101</t>
  </si>
  <si>
    <t>Monopoly cardpack</t>
  </si>
  <si>
    <t>LMO-E01-SP102</t>
  </si>
  <si>
    <t>Monopoly cardpack_Version for Proxy stores</t>
  </si>
  <si>
    <t>PO-011506</t>
  </si>
  <si>
    <t>PO-011643</t>
  </si>
  <si>
    <t>04-06-2025</t>
  </si>
  <si>
    <t>GIA10632CO</t>
  </si>
  <si>
    <t>Skillet 32 cm - blue</t>
  </si>
  <si>
    <t>GIA302CO</t>
  </si>
  <si>
    <t>Milk pot 14 cm - light blue</t>
  </si>
  <si>
    <t>PO-011644</t>
  </si>
  <si>
    <t>10004_58</t>
  </si>
  <si>
    <t>Set 72 pezzi scrittura Best Seller</t>
  </si>
  <si>
    <t>10011_56</t>
  </si>
  <si>
    <t>Set 100 pezzi scrittura ecologica</t>
  </si>
  <si>
    <t>204BR1000_44</t>
  </si>
  <si>
    <t>Set 12 bottiglie tempere colori primari</t>
  </si>
  <si>
    <t>525MINAB144_50</t>
  </si>
  <si>
    <t>Valigetta Minabella</t>
  </si>
  <si>
    <t>642_42</t>
  </si>
  <si>
    <t>Set 20 colle stick</t>
  </si>
  <si>
    <t>7777_37</t>
  </si>
  <si>
    <t>Cucitrice Lebez ad alti spessori</t>
  </si>
  <si>
    <t>99AL_002_112</t>
  </si>
  <si>
    <t>Set pettorine 15 blu e 15 gialle</t>
  </si>
  <si>
    <t>A35X234_55</t>
  </si>
  <si>
    <t>Set 400 cartoncini colorati lisci</t>
  </si>
  <si>
    <t>C_163I_102</t>
  </si>
  <si>
    <t>Tennis tavolo</t>
  </si>
  <si>
    <t>PO-011649</t>
  </si>
  <si>
    <t>PO-011645</t>
  </si>
  <si>
    <t>GA3PL755_34</t>
  </si>
  <si>
    <t>Plastificatrice Peach A3/A4</t>
  </si>
  <si>
    <t>ALSO TECHNOLOGY MILANO SRL</t>
  </si>
  <si>
    <t>MD-AP100</t>
  </si>
  <si>
    <t>Cuffia con microfono usb</t>
  </si>
  <si>
    <t>LKCHDMI50</t>
  </si>
  <si>
    <t>Cavo Hdmi Da 5 Mt</t>
  </si>
  <si>
    <t>GPP58002</t>
  </si>
  <si>
    <t>100 pouches A4</t>
  </si>
  <si>
    <t>PO-011650</t>
  </si>
  <si>
    <t>985770_78</t>
  </si>
  <si>
    <t>Pallino coding - 2 confezioni</t>
  </si>
  <si>
    <t>BORGIONE CENTRO DIDATTICO</t>
  </si>
  <si>
    <t>827917_80</t>
  </si>
  <si>
    <t>Set insiemistica</t>
  </si>
  <si>
    <t>PO-011651</t>
  </si>
  <si>
    <t>978538_87</t>
  </si>
  <si>
    <t>Scanmarker Reader</t>
  </si>
  <si>
    <t>Anastasis</t>
  </si>
  <si>
    <t>PO-011652</t>
  </si>
  <si>
    <t>0107A_108</t>
  </si>
  <si>
    <t>2x12655_89</t>
  </si>
  <si>
    <t>Set timbrini dei giudizi</t>
  </si>
  <si>
    <t>35059175_25</t>
  </si>
  <si>
    <t>Speaker portatile Usb</t>
  </si>
  <si>
    <t>6GX01F_32</t>
  </si>
  <si>
    <t>Stampante HP Multifunzione Laser Bianco e Nero A4</t>
  </si>
  <si>
    <t>BM539_26</t>
  </si>
  <si>
    <t>Amplificatore Da Cintura Karma</t>
  </si>
  <si>
    <t>C11CG96402_29</t>
  </si>
  <si>
    <t>Stampante Epson Inkjet Bianco e Nero Epson</t>
  </si>
  <si>
    <t>C2101049B_10</t>
  </si>
  <si>
    <t>Notebook HP 11,6 Touch</t>
  </si>
  <si>
    <t>C2101617_9</t>
  </si>
  <si>
    <t>Notebook Acer 15.6 Intel Core i5</t>
  </si>
  <si>
    <t>F2B56ET_19</t>
  </si>
  <si>
    <t>Masterizzatore e Lettore Dvd Portatile HP</t>
  </si>
  <si>
    <t>PO-011653</t>
  </si>
  <si>
    <t>8D4S7ES_ABZ_8</t>
  </si>
  <si>
    <t>Notebook HP 15,6 Intel Core i3</t>
  </si>
  <si>
    <t>Monti &amp; Russo - MR Digital</t>
  </si>
  <si>
    <t>HELGI_23</t>
  </si>
  <si>
    <t>Casse acustiche da 100W</t>
  </si>
  <si>
    <t>45400_70</t>
  </si>
  <si>
    <t>Lego education - BRICQ Motion Prime</t>
  </si>
  <si>
    <t>QUEENKEY_COLOR _94</t>
  </si>
  <si>
    <t>Tastiera per disabili</t>
  </si>
  <si>
    <t>ICA_TR30_4</t>
  </si>
  <si>
    <t>Carrello per monitor</t>
  </si>
  <si>
    <t>PO-011654</t>
  </si>
  <si>
    <t>12317_63</t>
  </si>
  <si>
    <t>Armadio 2 ante con pannello ecologico</t>
  </si>
  <si>
    <t>CAMAL SRL</t>
  </si>
  <si>
    <t>12328_64</t>
  </si>
  <si>
    <t>Armadio 9 vani con pannello ecologico</t>
  </si>
  <si>
    <t>16003_61</t>
  </si>
  <si>
    <t>Carrello per pittura con pannello ecologico</t>
  </si>
  <si>
    <t>699920_83</t>
  </si>
  <si>
    <t>Tastiera digitale 49 tasti</t>
  </si>
  <si>
    <t>827917_76</t>
  </si>
  <si>
    <t>Costruzioni colorate legno</t>
  </si>
  <si>
    <t>BTSGA460_92</t>
  </si>
  <si>
    <t>Set BS Toys</t>
  </si>
  <si>
    <t>BTSGAKIT1_96</t>
  </si>
  <si>
    <t>Set 3 grandi sfide</t>
  </si>
  <si>
    <t>EL25B_66</t>
  </si>
  <si>
    <t>Tavolo pieghevole con pannello ecologico</t>
  </si>
  <si>
    <t>NF0781_62</t>
  </si>
  <si>
    <t>Carrello porta colori con pannello ecologico</t>
  </si>
  <si>
    <t>SW03_113</t>
  </si>
  <si>
    <t>Cronometro in acciaio</t>
  </si>
  <si>
    <t>PO-011655</t>
  </si>
  <si>
    <t>06-06-2025</t>
  </si>
  <si>
    <t>PO-011682</t>
  </si>
  <si>
    <t>09-06-2025</t>
  </si>
  <si>
    <t>PO-011683</t>
  </si>
  <si>
    <t>SM-X210NZAAEUE_11</t>
  </si>
  <si>
    <t>Tablet Samsung Galaxy 10,5 Wifi</t>
  </si>
  <si>
    <t>PO-011684</t>
  </si>
  <si>
    <t>50003835_40</t>
  </si>
  <si>
    <t>Metro laser digitale</t>
  </si>
  <si>
    <t>PO-011686</t>
  </si>
  <si>
    <t>10-06-2025</t>
  </si>
  <si>
    <t>PO-011694</t>
  </si>
  <si>
    <t>11-06-2025</t>
  </si>
  <si>
    <t>19-06-2025</t>
  </si>
  <si>
    <t>24-06-2025</t>
  </si>
  <si>
    <t>PO-011709</t>
  </si>
  <si>
    <t>C2100740_191</t>
  </si>
  <si>
    <t>Sistema audio portatile</t>
  </si>
  <si>
    <t>12-06-2025</t>
  </si>
  <si>
    <t>PO-011721</t>
  </si>
  <si>
    <t>0603264503</t>
  </si>
  <si>
    <t>PO-011722</t>
  </si>
  <si>
    <t>PO-011738</t>
  </si>
  <si>
    <t>06033B9103</t>
  </si>
  <si>
    <t>UniversalVac 18 Set</t>
  </si>
  <si>
    <t>PO-011739</t>
  </si>
  <si>
    <t>LKR-E01-CW203 - 37862</t>
  </si>
  <si>
    <t>LKR-E01-CW208 - 31970</t>
  </si>
  <si>
    <t>PO-011740</t>
  </si>
  <si>
    <t>PO-011741</t>
  </si>
  <si>
    <t>PO-011742</t>
  </si>
  <si>
    <t>PO-012679</t>
  </si>
  <si>
    <t>18-06-2025</t>
  </si>
  <si>
    <t>PO-012680</t>
  </si>
  <si>
    <t>PO-012681</t>
  </si>
  <si>
    <t>PO-012682</t>
  </si>
  <si>
    <t>PO-012687</t>
  </si>
  <si>
    <t>PO-013049</t>
  </si>
  <si>
    <t>CW0782</t>
  </si>
  <si>
    <t>Servingpan 28cm</t>
  </si>
  <si>
    <t>CW0848</t>
  </si>
  <si>
    <t>Stewpot 20cm w/lid</t>
  </si>
  <si>
    <t>CW0846</t>
  </si>
  <si>
    <t>Stockpot 16cm w/lid</t>
  </si>
  <si>
    <t>CW0847</t>
  </si>
  <si>
    <t>Saucepan 16cm w/o lid</t>
  </si>
  <si>
    <t>CW0849</t>
  </si>
  <si>
    <t>Stockpot 24cm w/lid</t>
  </si>
  <si>
    <t>LZW-E01-CW104</t>
  </si>
  <si>
    <t>Frypan 16cm ceramic coated</t>
  </si>
  <si>
    <t>LZW-E01-CW105</t>
  </si>
  <si>
    <t>Frying pan, 20cm, ceramic coated</t>
  </si>
  <si>
    <t>LZW-E01-CW106</t>
  </si>
  <si>
    <t>Frying pan, 24cm, ceramic coated</t>
  </si>
  <si>
    <t>LZW-E01-CW107</t>
  </si>
  <si>
    <t>Frying pan, 28cm, ceramic coated</t>
  </si>
  <si>
    <t>PO-013050</t>
  </si>
  <si>
    <t>DW0618</t>
  </si>
  <si>
    <t>Dinner plate 27cm 2 pc set</t>
  </si>
  <si>
    <t>Cerexport</t>
  </si>
  <si>
    <t>DW0619</t>
  </si>
  <si>
    <t>Side plate 21 cm 2pc set</t>
  </si>
  <si>
    <t>PO-013053</t>
  </si>
  <si>
    <t>PO-013176</t>
  </si>
  <si>
    <t>20-06-2025</t>
  </si>
  <si>
    <t>PO-013178</t>
  </si>
  <si>
    <t>23-06-2025</t>
  </si>
  <si>
    <t>PO-013180</t>
  </si>
  <si>
    <t>KN0446-ISB</t>
  </si>
  <si>
    <t>KN0446-KI</t>
  </si>
  <si>
    <t>KN0447-KI</t>
  </si>
  <si>
    <t>KN0448-ISB</t>
  </si>
  <si>
    <t>KN0448-KI</t>
  </si>
  <si>
    <t>KN0475-ISB</t>
  </si>
  <si>
    <t>KN0475-KI</t>
  </si>
  <si>
    <t>02-07-2025</t>
  </si>
  <si>
    <t>PO-013332</t>
  </si>
  <si>
    <t>30-06-2025</t>
  </si>
  <si>
    <t>PO-013333</t>
  </si>
  <si>
    <t>PO-013334</t>
  </si>
  <si>
    <t>PO-013335</t>
  </si>
  <si>
    <t>PO-013338</t>
  </si>
  <si>
    <t>DW0621</t>
  </si>
  <si>
    <t>Deep plate 20cm 2pc set</t>
  </si>
  <si>
    <t>PO-013339</t>
  </si>
  <si>
    <t>PO-013341</t>
  </si>
  <si>
    <t>PO-013342</t>
  </si>
  <si>
    <t>PO-013343</t>
  </si>
  <si>
    <t>PO-013344</t>
  </si>
  <si>
    <t>PO-013345</t>
  </si>
  <si>
    <t>LMO-E01-TO301</t>
  </si>
  <si>
    <t>Guesttowel  30x50cm - grey - set of 2 .</t>
  </si>
  <si>
    <t>Welspun Global Brands Ltd</t>
  </si>
  <si>
    <t>LMO-E01-TO302</t>
  </si>
  <si>
    <t>Guesttowel  30x50cm - lightblue - set of 2</t>
  </si>
  <si>
    <t>LMO-E01-TO303</t>
  </si>
  <si>
    <t>Guesttowel  30x50cm - lightgreen - set of 2</t>
  </si>
  <si>
    <t>LMO-E01-TO304</t>
  </si>
  <si>
    <t>Handtowel  50x100cm - grey - Set of 2</t>
  </si>
  <si>
    <t>LMO-E01-TO305</t>
  </si>
  <si>
    <t>Handtowel  50x100cm - lightblue  - Set of 2</t>
  </si>
  <si>
    <t>LMO-E01-TO306</t>
  </si>
  <si>
    <t>Handtowel  50x100cm - lightgreen  - Set of 2</t>
  </si>
  <si>
    <t>LMO-E01-TO307</t>
  </si>
  <si>
    <t>bathtowel 70x140cm - grey</t>
  </si>
  <si>
    <t>LMO-E01-TO308</t>
  </si>
  <si>
    <t>bathtowel 70x140cm - lightblue</t>
  </si>
  <si>
    <t>LMO-E01-TO309</t>
  </si>
  <si>
    <t>bathtowel 70x140cm - lightgreen</t>
  </si>
  <si>
    <t>LMO-E01-TO313</t>
  </si>
  <si>
    <t>Bathmat 50x80cm - grey</t>
  </si>
  <si>
    <t>LMO-E01-TO310</t>
  </si>
  <si>
    <t>Wellnesstowel 75x180cm - grey</t>
  </si>
  <si>
    <t>PO-013395</t>
  </si>
  <si>
    <t>03-07-2025</t>
  </si>
  <si>
    <t>PO-013396</t>
  </si>
  <si>
    <t>PO-013398</t>
  </si>
  <si>
    <t>PO-013399</t>
  </si>
  <si>
    <t>PO-013400</t>
  </si>
  <si>
    <t>PO-013401</t>
  </si>
  <si>
    <t>PO-013402</t>
  </si>
  <si>
    <t>PO-013409</t>
  </si>
  <si>
    <t>04-07-2025</t>
  </si>
  <si>
    <t>PO-013417</t>
  </si>
  <si>
    <t>LUB-E01-OW102</t>
  </si>
  <si>
    <t>Square tray 1L (KIT)</t>
  </si>
  <si>
    <t>LUB-E01-OW103</t>
  </si>
  <si>
    <t>Rectangular tray 2L (32 x 20 x 5 cm) (KIT)</t>
  </si>
  <si>
    <t>LUB-E01-OW104</t>
  </si>
  <si>
    <t>Rectangular tray 3,6L (39 x 24 x 6 cm) (KIT)</t>
  </si>
  <si>
    <t>PO-013421</t>
  </si>
  <si>
    <t>Backpack</t>
  </si>
  <si>
    <t>11-07-2025</t>
  </si>
  <si>
    <t>LMD10003-E01</t>
  </si>
  <si>
    <t>Rigid Trolley</t>
  </si>
  <si>
    <t>LMD10006-E01</t>
  </si>
  <si>
    <t>Travel Bag</t>
  </si>
  <si>
    <t>PO-016393</t>
  </si>
  <si>
    <t>G0351101</t>
  </si>
  <si>
    <t>Monopoly Deal Refresh</t>
  </si>
  <si>
    <t>07-07-2025</t>
  </si>
  <si>
    <t>Hasbro Consumer Products Licensing Ltd</t>
  </si>
  <si>
    <t>PO-016401</t>
  </si>
  <si>
    <t>LCS-E01-LU107</t>
  </si>
  <si>
    <t>Sports bottle 700ml</t>
  </si>
  <si>
    <t>PO-016402</t>
  </si>
  <si>
    <t>LCS-E01-LU108</t>
  </si>
  <si>
    <t>Cotton sport towel</t>
  </si>
  <si>
    <t>PO-016403</t>
  </si>
  <si>
    <t>LCS-E01-LU101</t>
  </si>
  <si>
    <t>XIAMEN CITY SPARK TECH. CO., LTD.</t>
  </si>
  <si>
    <t>LCS-E01-LU103</t>
  </si>
  <si>
    <t>Vanity Bag</t>
  </si>
  <si>
    <t>LCS-E01-LU102</t>
  </si>
  <si>
    <t>Duffel</t>
  </si>
  <si>
    <t>LCS-E01-LU104</t>
  </si>
  <si>
    <t>Waist bag</t>
  </si>
  <si>
    <t>PO-016404</t>
  </si>
  <si>
    <t>LCS-E01-LU109</t>
  </si>
  <si>
    <t>Microfiber sport towel</t>
  </si>
  <si>
    <t>PO-016405</t>
  </si>
  <si>
    <t>LCS-E01-LU110</t>
  </si>
  <si>
    <t>Cap</t>
  </si>
  <si>
    <t>DNS</t>
  </si>
  <si>
    <t>PO-016413</t>
  </si>
  <si>
    <t>PO-016414</t>
  </si>
  <si>
    <t>PO-016416</t>
  </si>
  <si>
    <t>PO-016417</t>
  </si>
  <si>
    <t>PO-016418</t>
  </si>
  <si>
    <t>PO-016456</t>
  </si>
  <si>
    <t>08-07-2025</t>
  </si>
  <si>
    <t>PO-016457</t>
  </si>
  <si>
    <t>09-07-2025</t>
  </si>
  <si>
    <t>PO-016464</t>
  </si>
  <si>
    <t>29-07-2025</t>
  </si>
  <si>
    <t>Stilema srl USD</t>
  </si>
  <si>
    <t>PO-016465</t>
  </si>
  <si>
    <t>16-07-2025</t>
  </si>
  <si>
    <t>PO-016492</t>
  </si>
  <si>
    <t>10-07-2025</t>
  </si>
  <si>
    <t>PO-016506</t>
  </si>
  <si>
    <t>PO-016507</t>
  </si>
  <si>
    <t>PO-016508</t>
  </si>
  <si>
    <t>Xiamen Create Living Co. Ltd.</t>
  </si>
  <si>
    <t>PO-016509</t>
  </si>
  <si>
    <t>PO-016510</t>
  </si>
  <si>
    <t>PO-016511</t>
  </si>
  <si>
    <t>PO-016512</t>
  </si>
  <si>
    <t>PO-016514</t>
  </si>
  <si>
    <t>PO-016531</t>
  </si>
  <si>
    <t>LRVKB-E01-BW101</t>
  </si>
  <si>
    <t>Springform 24x7cm</t>
  </si>
  <si>
    <t>Linkfair Household (HK) Limited</t>
  </si>
  <si>
    <t>PO-016532</t>
  </si>
  <si>
    <t>LRVKB-E01-BW109</t>
  </si>
  <si>
    <t>Cake Form 24x13x6cm</t>
  </si>
  <si>
    <t>PO-016533</t>
  </si>
  <si>
    <t>LRVKB-E01-CW101</t>
  </si>
  <si>
    <t>Cast iron casserole 24cm</t>
  </si>
  <si>
    <t>PO-016534</t>
  </si>
  <si>
    <t>PO-016538</t>
  </si>
  <si>
    <t>PO-016541</t>
  </si>
  <si>
    <t>14-07-2025</t>
  </si>
  <si>
    <t>PO-016545</t>
  </si>
  <si>
    <t>PO-016546</t>
  </si>
  <si>
    <t>PO-016547</t>
  </si>
  <si>
    <t>PO-016550</t>
  </si>
  <si>
    <t>PO-016551</t>
  </si>
  <si>
    <t>PO-016552</t>
  </si>
  <si>
    <t>PO-016553</t>
  </si>
  <si>
    <t>PO-016554</t>
  </si>
  <si>
    <t>18-07-2025</t>
  </si>
  <si>
    <t>PO-016567</t>
  </si>
  <si>
    <t>PO-016568</t>
  </si>
  <si>
    <t>LRVKB-E01-KN107</t>
  </si>
  <si>
    <t>Zester</t>
  </si>
  <si>
    <t>PO-016574</t>
  </si>
  <si>
    <t>17-07-2025</t>
  </si>
  <si>
    <t>KN0449</t>
  </si>
  <si>
    <t>Santoku Knife 180mm</t>
  </si>
  <si>
    <t>KN0450</t>
  </si>
  <si>
    <t>Chef´s Knife 200mm</t>
  </si>
  <si>
    <t>23-07-2025</t>
  </si>
  <si>
    <t>PO-016585</t>
  </si>
  <si>
    <t>LPY-E01-ST402L</t>
  </si>
  <si>
    <t>Lid of glass storage vacuum rnd 1100ml</t>
  </si>
  <si>
    <t>LPY-E01-ST410</t>
  </si>
  <si>
    <t>22-07-2025</t>
  </si>
  <si>
    <t>21-07-2025</t>
  </si>
  <si>
    <t>PO-016589</t>
  </si>
  <si>
    <t>PO-016591</t>
  </si>
  <si>
    <t>LCA-E01-OW103</t>
  </si>
  <si>
    <t>Round Baker</t>
  </si>
  <si>
    <t>LCA-E01-OW104</t>
  </si>
  <si>
    <t>Rectangular Baker M</t>
  </si>
  <si>
    <t>PO-016594</t>
  </si>
  <si>
    <t>LCA-E01-OW107</t>
  </si>
  <si>
    <t>Round Casserole with lid</t>
  </si>
  <si>
    <t>LCA-E01-DW101</t>
  </si>
  <si>
    <t>Bowl 12cm 2 pcs</t>
  </si>
  <si>
    <t>LCA-E01-DW102</t>
  </si>
  <si>
    <t>Dessert plate 18cm 2 pcs</t>
  </si>
  <si>
    <t>LCA-E01-DW103</t>
  </si>
  <si>
    <t>Pasta/Soup plate 2 pcs</t>
  </si>
  <si>
    <t>LCA-E01-DW104</t>
  </si>
  <si>
    <t>Dinner plate 26cm 2 pcs</t>
  </si>
  <si>
    <t>PO-016598</t>
  </si>
  <si>
    <t>ALI04_IPS25_34</t>
  </si>
  <si>
    <t>SET FORBICI</t>
  </si>
  <si>
    <t>ALI31_IPS25_35</t>
  </si>
  <si>
    <t>SET SCRIVI E CANCELLA</t>
  </si>
  <si>
    <t>MPC5M10C_IPS25_36</t>
  </si>
  <si>
    <t>VALIGETTA POSCA 10PZ COLORI ASSORTITI</t>
  </si>
  <si>
    <t>PP84013107_IPS25_38</t>
  </si>
  <si>
    <t>SCHOOL BOX 112 PEZZI</t>
  </si>
  <si>
    <t>642_IPS25_39</t>
  </si>
  <si>
    <t>SET 20 COLLE STICK</t>
  </si>
  <si>
    <t>204BR1000_IPS25_40</t>
  </si>
  <si>
    <t>SET 12 BOTTIGLIE TEMPERE COLORI PRIMARI 1</t>
  </si>
  <si>
    <t>204BR1000AD_IPS25_41</t>
  </si>
  <si>
    <t>SET 12 BOTTIGLIE TEMPERE COLORI ADDIZIONALI 1</t>
  </si>
  <si>
    <t>285MOD500B_IPS25_42</t>
  </si>
  <si>
    <t>SET 12 PANETTI DI PASTA BIANCA 500 GR</t>
  </si>
  <si>
    <t>286MOD500T_IPS25_43</t>
  </si>
  <si>
    <t>SET 12 PANETTI DI PASTA TERRACOTTA  500 G</t>
  </si>
  <si>
    <t>114A22SG_IPS25_44</t>
  </si>
  <si>
    <t>SET 10 PZ  BLISTER 22 PASTIGLIE ACQUERELLO</t>
  </si>
  <si>
    <t>333CV1000_IPS25_45</t>
  </si>
  <si>
    <t>SET 6 BOTTIGLIE DI COLLA VINILICA DA 1000 G</t>
  </si>
  <si>
    <t>99ALI202_IPS25_46</t>
  </si>
  <si>
    <t>SET TELE PITTURA DECO STUDIO 28 PZ</t>
  </si>
  <si>
    <t>13342_IPS25_47</t>
  </si>
  <si>
    <t>BAULETTO MAMBO 180</t>
  </si>
  <si>
    <t>13344_IPS25_48</t>
  </si>
  <si>
    <t>BAULETTO RUMBA</t>
  </si>
  <si>
    <t>A33X234_IPS25_49</t>
  </si>
  <si>
    <t>SET 4 RISME DA 100 CARTONCINI PRISMA</t>
  </si>
  <si>
    <t>A35X234_IPS25_50</t>
  </si>
  <si>
    <t>SET 4 RISME DA 100 FOGLI DI CARTONCINI BRISTOL</t>
  </si>
  <si>
    <t>99ALI10222_IPS25_83</t>
  </si>
  <si>
    <t>SET 3 VALIGETTE APPRENDIMENTO BASE</t>
  </si>
  <si>
    <t>XY0089_IPS25_97</t>
  </si>
  <si>
    <t>SET 5 PALLONI VOLLEY</t>
  </si>
  <si>
    <t>2071_IPS25_98</t>
  </si>
  <si>
    <t>SET 6 PALLONI CALCIO PIXEL</t>
  </si>
  <si>
    <t>18054_IPS25_99</t>
  </si>
  <si>
    <t>SET PORTA CALCIO 2 IN 1</t>
  </si>
  <si>
    <t>2110_IPS25_100</t>
  </si>
  <si>
    <t>SET 6 PALLONI VOLLEY PIXEL</t>
  </si>
  <si>
    <t>AHF016_IPS25_101</t>
  </si>
  <si>
    <t>SET 10 CORDE SALTO</t>
  </si>
  <si>
    <t>C-163I_IPS25_102</t>
  </si>
  <si>
    <t>TENNIS TAVOLO</t>
  </si>
  <si>
    <t>TM 750_IPS25_103</t>
  </si>
  <si>
    <t>TERMOMETRO A INFRAROSSI MULTIFUNZIONE</t>
  </si>
  <si>
    <t>BU570_IPS25_104</t>
  </si>
  <si>
    <t>MISURATORE DI PRESSIONE DA BRACCIO DIGITALE</t>
  </si>
  <si>
    <t>PM180_IPS25_105</t>
  </si>
  <si>
    <t>PULSOSSIMETRO</t>
  </si>
  <si>
    <t>60305_IPS25_106</t>
  </si>
  <si>
    <t>SET 6 PALLONI IN SPUGNA</t>
  </si>
  <si>
    <t>PO-016599</t>
  </si>
  <si>
    <t>IRSRDR8_IPS25_31</t>
  </si>
  <si>
    <t>IRIS PEN READER 8</t>
  </si>
  <si>
    <t>PO-016600</t>
  </si>
  <si>
    <t>112146_IPS25_66</t>
  </si>
  <si>
    <t>SET 3 COLLA A CALDO</t>
  </si>
  <si>
    <t>983114_IPS25_67</t>
  </si>
  <si>
    <t>TRONCO UMANO SCOMPONIBILE CM 85</t>
  </si>
  <si>
    <t>9836_IPS25_68</t>
  </si>
  <si>
    <t>SCHELETRO UMANO ALTEZZA 180CM</t>
  </si>
  <si>
    <t>987103_IPS25_69</t>
  </si>
  <si>
    <t>SISTEMA SOLARE LUMINOSO</t>
  </si>
  <si>
    <t>981324_IPS25_70</t>
  </si>
  <si>
    <t>TELESCOPIO CANNOCCHIALE</t>
  </si>
  <si>
    <t>985770_IPS25_72</t>
  </si>
  <si>
    <t>PALLINO CODING - 2 PEZZI</t>
  </si>
  <si>
    <t>974611_IPS25_81</t>
  </si>
  <si>
    <t>MULTIBASE MAGNETICO</t>
  </si>
  <si>
    <t>872075_IPS25_82</t>
  </si>
  <si>
    <t>MINI BLOCKS 500PZ</t>
  </si>
  <si>
    <t>971327_IPS25_84</t>
  </si>
  <si>
    <t>GEOMETRIA ECO</t>
  </si>
  <si>
    <t>978545_IPS25_85</t>
  </si>
  <si>
    <t>LEZIONI DI GEOMETRIA</t>
  </si>
  <si>
    <t>887719_IPS25_86</t>
  </si>
  <si>
    <t>IMPARIAMO A CONTARE - VERSIONE ECO</t>
  </si>
  <si>
    <t>834911_IPS25_87</t>
  </si>
  <si>
    <t>IMPARARE I NUMERI</t>
  </si>
  <si>
    <t>699004_IPS25_84</t>
  </si>
  <si>
    <t>SET MUSICALE</t>
  </si>
  <si>
    <t>770608_IPS25_96</t>
  </si>
  <si>
    <t>MEMO TONDO DELLE EMOZIONI</t>
  </si>
  <si>
    <t>933724_IPS25_107</t>
  </si>
  <si>
    <t>SET BASE MULTISPORT</t>
  </si>
  <si>
    <t>PO-016601</t>
  </si>
  <si>
    <t>C2103039_IPS25_1</t>
  </si>
  <si>
    <t>MONITOR 65 TOUCH</t>
  </si>
  <si>
    <t>C2103057_IPS25_2</t>
  </si>
  <si>
    <t>INSTALLAZIONE MONITOR TOUCH</t>
  </si>
  <si>
    <t>C2100053_IPS25_3</t>
  </si>
  <si>
    <t>CARRELLO VIEWSONIC PORTA MONITOR</t>
  </si>
  <si>
    <t>C2100040_IPS25_4</t>
  </si>
  <si>
    <t>VIDEOPROIETTORE FOCALE ULTRA CORTA CON STAFFA (VID</t>
  </si>
  <si>
    <t>C2101629_IPS25_5</t>
  </si>
  <si>
    <t>CHROMEBOOK 14 FULL HD CON LICENZA</t>
  </si>
  <si>
    <t>C2100704_IPS25_6</t>
  </si>
  <si>
    <t>NOTEBOOK 15.6 CELERON</t>
  </si>
  <si>
    <t>C2102202_IPS25_7</t>
  </si>
  <si>
    <t>NOTEBOOK I3</t>
  </si>
  <si>
    <t>C2101617_IPS25_8</t>
  </si>
  <si>
    <t>NOTEBOOK ACER 15.6 FULL HD</t>
  </si>
  <si>
    <t>C2100332_IPS25_9</t>
  </si>
  <si>
    <t>TABLET 10,1</t>
  </si>
  <si>
    <t>C2100754_IPS25_10</t>
  </si>
  <si>
    <t>MONITOR PER PC 24 FULL HD</t>
  </si>
  <si>
    <t>C2103918_IPS25_11</t>
  </si>
  <si>
    <t>SET 5 LICENZE MICROSOFT OFFICE STANDARD PERPETUE</t>
  </si>
  <si>
    <t>C2103055_IPS25_12</t>
  </si>
  <si>
    <t>MASTERIZZATORE E LETTORE DVD PORTATILE HP</t>
  </si>
  <si>
    <t>C2103056_IPS25_13</t>
  </si>
  <si>
    <t>HARD DISK PORTATILE USB</t>
  </si>
  <si>
    <t>C2103058_IPS25_14</t>
  </si>
  <si>
    <t>SET DI 5 CAVI HDMI DA 5 MT</t>
  </si>
  <si>
    <t>C2600630_IPS25_15</t>
  </si>
  <si>
    <t>ADATTATORE USB TYPE-C HDMI</t>
  </si>
  <si>
    <t>C2100741_IPS25_16</t>
  </si>
  <si>
    <t>SCHERMO PER PROIETTORI</t>
  </si>
  <si>
    <t>C2100388_IPS25_17</t>
  </si>
  <si>
    <t>DOCUMENT CAMERA, VISUALIZER, WEBCAM</t>
  </si>
  <si>
    <t>C2100077_IPS25_18</t>
  </si>
  <si>
    <t>SOUNDBAR PREAMPLIFICATA 90W</t>
  </si>
  <si>
    <t>C2100063_IPS25_19</t>
  </si>
  <si>
    <t>COPPIA DI CASSE IN LEGNO PREAMPLIFICATE DA 100W</t>
  </si>
  <si>
    <t>C2103053_IPS25_20</t>
  </si>
  <si>
    <t>SPEAKER PORTATILE USB</t>
  </si>
  <si>
    <t>C2100783_IPS25_21</t>
  </si>
  <si>
    <t>AMPLIFICATORE DA CINTURA KARMA</t>
  </si>
  <si>
    <t>C2102703_IPS25_22</t>
  </si>
  <si>
    <t>MICROFONO WIRELESS CON RICEVITORE</t>
  </si>
  <si>
    <t>C2103060_IPS25_23</t>
  </si>
  <si>
    <t>CASSA TRASPORTABILE AMPLIFICATA A BATTERIA</t>
  </si>
  <si>
    <t>C2102279_IPS25_24</t>
  </si>
  <si>
    <t>STAMPANTE INKJET BIANCO E NERO EPSON ECOTANK</t>
  </si>
  <si>
    <t>C2102704_IPS25_25</t>
  </si>
  <si>
    <t>STAMPANTE MULTIFUNZIONE INKJET A4</t>
  </si>
  <si>
    <t>C2102280_IPS25_26</t>
  </si>
  <si>
    <t>STAMPANTE MULTIFUNZIONE LASER BIANCO E NERO A4</t>
  </si>
  <si>
    <t>C2600919_IPS25_27</t>
  </si>
  <si>
    <t>FUJITSU SCANNER</t>
  </si>
  <si>
    <t>C2103063_IPS25_28</t>
  </si>
  <si>
    <t>SET DI 3 MOUSE WIRELESS AMBI DESTRI</t>
  </si>
  <si>
    <t>C2103062_IPS25_29</t>
  </si>
  <si>
    <t>PRESENTER</t>
  </si>
  <si>
    <t>C2103917_IPS25_30</t>
  </si>
  <si>
    <t>12 LICENZE MINECRAFT</t>
  </si>
  <si>
    <t>C2103050_IPS25_51</t>
  </si>
  <si>
    <t>CUCITRICE AD ALTI SPESSORI</t>
  </si>
  <si>
    <t>C2103049_IPS25_52</t>
  </si>
  <si>
    <t>TAGLIERINA ROTANTE A3</t>
  </si>
  <si>
    <t>C2103051_IPS25_53</t>
  </si>
  <si>
    <t>DISTRUGGI DOCUMENTI</t>
  </si>
  <si>
    <t>C2103044_IPS25_54</t>
  </si>
  <si>
    <t>PLASTIFICATRICE INSPIRE A3</t>
  </si>
  <si>
    <t>10xC2103047_IPS25_55</t>
  </si>
  <si>
    <t>1000 POUCHE A4</t>
  </si>
  <si>
    <t>5xC2103048_IPS25_56</t>
  </si>
  <si>
    <t>500 POUCHE A3</t>
  </si>
  <si>
    <t>C2103068_IPS25_57</t>
  </si>
  <si>
    <t>RILEGATRICE A DORSI PLASTICI</t>
  </si>
  <si>
    <t>C2103042_IPS25_71</t>
  </si>
  <si>
    <t>MICROSCOPIO 2 MEGA PIXEL CON SCHERMO 4,3</t>
  </si>
  <si>
    <t>C2100099_IPS25_73</t>
  </si>
  <si>
    <t>LEGO EDUCATION BRICQ MOTION PRIME</t>
  </si>
  <si>
    <t>C2100084_IPS25_74</t>
  </si>
  <si>
    <t>LEGO EDUCATION SPIKE ESSENTIAL</t>
  </si>
  <si>
    <t>C2103037 _IPS25_75</t>
  </si>
  <si>
    <t>BANCO DA LAVORO</t>
  </si>
  <si>
    <t>C2103040_IPS25_76</t>
  </si>
  <si>
    <t>SET AMBIENTI MINECRAFT MONDI DA SCOPRIRE</t>
  </si>
  <si>
    <t>C2103038_IPS25_77</t>
  </si>
  <si>
    <t>GIOCO DA TAVOLO MINECRAFT</t>
  </si>
  <si>
    <t>C2104849_IPS25_108</t>
  </si>
  <si>
    <t>CARRELLO PORTA PALLONI</t>
  </si>
  <si>
    <t>C2101998_IPS25_109</t>
  </si>
  <si>
    <t>MEGAFONO USB KARMA</t>
  </si>
  <si>
    <t>C2103074_IPS25_110</t>
  </si>
  <si>
    <t>PO-016602</t>
  </si>
  <si>
    <t>8923_IPS25_90</t>
  </si>
  <si>
    <t>FLAUTO DOLCE</t>
  </si>
  <si>
    <t>ALFRA FLAUTO FACILE</t>
  </si>
  <si>
    <t>897_IPS25_91</t>
  </si>
  <si>
    <t>BATTERIA ARROTOLABILE IN SILICONE</t>
  </si>
  <si>
    <t>25-07-2025</t>
  </si>
  <si>
    <t>PO-016607</t>
  </si>
  <si>
    <t>28-07-2025</t>
  </si>
  <si>
    <t>30-07-2025</t>
  </si>
  <si>
    <t>LMI-E01-BK105</t>
  </si>
  <si>
    <t>Minecraft set 2 cereal bowls</t>
  </si>
  <si>
    <t>LMI-E01-BK101</t>
  </si>
  <si>
    <t>Minecraft white square mug Pig</t>
  </si>
  <si>
    <t>LMI-E01-BK102</t>
  </si>
  <si>
    <t>Minecraft white square mug Creeper</t>
  </si>
  <si>
    <t>PO-016626</t>
  </si>
  <si>
    <t>293741_IPS25_66</t>
  </si>
  <si>
    <t>VENTILATORE SMART A TORRE</t>
  </si>
  <si>
    <t>ARTE LIGHT SRL</t>
  </si>
  <si>
    <t>PO-016627</t>
  </si>
  <si>
    <t>BOXI0171_IPS25_78</t>
  </si>
  <si>
    <t>SET 24 CARTINE GEOGRAFICHE</t>
  </si>
  <si>
    <t>Grupo Erik Editores SL</t>
  </si>
  <si>
    <t>PO-016628</t>
  </si>
  <si>
    <t>0330ORFPIT_IPS25_79</t>
  </si>
  <si>
    <t>4 MAPPAMONDI ORION</t>
  </si>
  <si>
    <t>Tecnodidattica Spa</t>
  </si>
  <si>
    <t>0331C0P4IT_IPS25_80</t>
  </si>
  <si>
    <t>4 MAPPAMONDI CARBON CLASSIC</t>
  </si>
  <si>
    <t>PO-016633</t>
  </si>
  <si>
    <t>24-07-2025</t>
  </si>
  <si>
    <t>PO-016635</t>
  </si>
  <si>
    <t>LCA-E01-KU101</t>
  </si>
  <si>
    <t>Set of Kitchen Utensils</t>
  </si>
  <si>
    <t>Conair LLC Continental Conair Ltd</t>
  </si>
  <si>
    <t>PO-016638</t>
  </si>
  <si>
    <t>PO-016640</t>
  </si>
  <si>
    <t>LPY-E01-ST402</t>
  </si>
  <si>
    <t>Glass storage vacuum md 1100m</t>
  </si>
  <si>
    <t>LPY-E01-ST406</t>
  </si>
  <si>
    <t>LPY-E01-ST407</t>
  </si>
  <si>
    <t>PO-016650</t>
  </si>
  <si>
    <t>LTW-E01-ST406</t>
  </si>
  <si>
    <t>One touch fresh sq. 370ml</t>
  </si>
  <si>
    <t>Party IP Holdings LLC</t>
  </si>
  <si>
    <t>LTW-E01-ST407</t>
  </si>
  <si>
    <t>One touch fresh sq. 810ml</t>
  </si>
  <si>
    <t>LTW-E01-ST408</t>
  </si>
  <si>
    <t>One touch fresh sq. 1250ml</t>
  </si>
  <si>
    <t>LTW-E01-ST209</t>
  </si>
  <si>
    <t>Snack Box Oblong</t>
  </si>
  <si>
    <t>LTW-E01-ST606</t>
  </si>
  <si>
    <t>Wonderlier bowl 2500ml</t>
  </si>
  <si>
    <t>LTW-E01-ST607</t>
  </si>
  <si>
    <t>Speedy Mando</t>
  </si>
  <si>
    <t>LTW-E01-ST610</t>
  </si>
  <si>
    <t>Freezer mates Gen II 1L 2pc set</t>
  </si>
  <si>
    <t>LTW-E01-ST611</t>
  </si>
  <si>
    <t>Wonderlier bowl 775ml 3pc set</t>
  </si>
  <si>
    <t>LTW-E01-ST614</t>
  </si>
  <si>
    <t>Snack Box Small</t>
  </si>
  <si>
    <t>LTW-E01-ST615</t>
  </si>
  <si>
    <t>Eco Sports bottle EDD 750ml</t>
  </si>
  <si>
    <t>LTW-E01-ST616</t>
  </si>
  <si>
    <t>Cereal bowls 500ml various (3pc set)</t>
  </si>
  <si>
    <t>PO-016659</t>
  </si>
  <si>
    <t>TUPPERWARE (CHINA) CO., LTD</t>
  </si>
  <si>
    <t>PO-016661</t>
  </si>
  <si>
    <t>TUPPERWARE INDIA PVT LTD</t>
  </si>
  <si>
    <t>PO-016662</t>
  </si>
  <si>
    <t>418020_IPS25_32</t>
  </si>
  <si>
    <t>MICROFONO PROFESSIONALE A CONDENSATORE</t>
  </si>
  <si>
    <t>483010_IPS25_33</t>
  </si>
  <si>
    <t>CUFFIA WIRELESS CON RIDUZIONE RUMORE</t>
  </si>
  <si>
    <t>53243_IPS25_37</t>
  </si>
  <si>
    <t>SET 1020 COLORI</t>
  </si>
  <si>
    <t>16003_IPS25_59</t>
  </si>
  <si>
    <t>CARRELLO PORTA FOGLI E COLORI CON PANNELLO ECOLOGICO</t>
  </si>
  <si>
    <t>NF0781_IPS25_60</t>
  </si>
  <si>
    <t>CARRELLO PORTA COLORI FANTASIA CON PANNELLO ECOLOG</t>
  </si>
  <si>
    <t>12317_IPS25_61</t>
  </si>
  <si>
    <t>ARMADIO 2 ANTE CON RIPIANI CON PANNELLO ECOLOGICO</t>
  </si>
  <si>
    <t>12328_IPS25_62</t>
  </si>
  <si>
    <t>ARMADIO 9 VANI - PANNELLO ECOLOGICO</t>
  </si>
  <si>
    <t>EL216B _IPS25_63</t>
  </si>
  <si>
    <t>LIBRERIA COMPATTA CON TRE RIPIANI REGOLABILI</t>
  </si>
  <si>
    <t>G110AT3W_IPS25_64</t>
  </si>
  <si>
    <t>SET SGABELLO FACTOTUM CON TAPPETINO STEP STOOL</t>
  </si>
  <si>
    <t>SOH3411_IPS25_65</t>
  </si>
  <si>
    <t>RADIATORE AD OLIO ELLETTRICO 11 ELEMENTI</t>
  </si>
  <si>
    <t>50956_IPS25_88</t>
  </si>
  <si>
    <t>BLOCCHI ARCHITETTURA</t>
  </si>
  <si>
    <t>154920_IPS25_92</t>
  </si>
  <si>
    <t>TASTIERA DIGITALE 49 TASTI</t>
  </si>
  <si>
    <t>BTSGA014_IPS25_93</t>
  </si>
  <si>
    <t>GIOCHI ABILITA</t>
  </si>
  <si>
    <t>BTSGA263_IPS25_94</t>
  </si>
  <si>
    <t>GIOCHI CLASSICI</t>
  </si>
  <si>
    <t>SMR307_IPS25_95</t>
  </si>
  <si>
    <t>SET GIOCHI DA TAVOLO ABILMENTE</t>
  </si>
  <si>
    <t>40410_IPS25_111</t>
  </si>
  <si>
    <t>SET PSICOMOTORIO 72 PZ</t>
  </si>
  <si>
    <t>643P8_IPS25_112</t>
  </si>
  <si>
    <t>SET DA 8 MATERASSINI PIEGHEVOLI</t>
  </si>
  <si>
    <t>33034_IPS25_113</t>
  </si>
  <si>
    <t>FORME SENSORIALI ARCOBALENO</t>
  </si>
  <si>
    <t>PO-016668</t>
  </si>
  <si>
    <t>PO-016670</t>
  </si>
  <si>
    <t>PO-016671</t>
  </si>
  <si>
    <t>PO-016672</t>
  </si>
  <si>
    <t>27-08-2025</t>
  </si>
  <si>
    <t>PO-013330</t>
  </si>
  <si>
    <t>27-06-2025</t>
  </si>
  <si>
    <t>PO-016683</t>
  </si>
  <si>
    <t>31-07-2025</t>
  </si>
  <si>
    <t>PO-016684</t>
  </si>
  <si>
    <t>PO-016685</t>
  </si>
  <si>
    <t>PO-016686</t>
  </si>
  <si>
    <t>PO-016687</t>
  </si>
  <si>
    <t>01-08-2025</t>
  </si>
  <si>
    <t>LKR-E01-KN219-23420</t>
  </si>
  <si>
    <t>Scissors</t>
  </si>
  <si>
    <t>PO-016693</t>
  </si>
  <si>
    <t>PO-016694</t>
  </si>
  <si>
    <t>05.3.N10.40_15</t>
  </si>
  <si>
    <t>Set 5 palloni calcio mis 4</t>
  </si>
  <si>
    <t>PO-016695</t>
  </si>
  <si>
    <t>11630_183</t>
  </si>
  <si>
    <t>Cavalletto flip chart magnetico</t>
  </si>
  <si>
    <t>PO-016696</t>
  </si>
  <si>
    <t>C2101619_185</t>
  </si>
  <si>
    <t>Notebook Acer 15,6" intel i3</t>
  </si>
  <si>
    <t>PO-016712</t>
  </si>
  <si>
    <t>SSF-HKG711- Figurine Bottles</t>
  </si>
  <si>
    <t>Re-useable Atomizer Bottle with Figurine Lid</t>
  </si>
  <si>
    <t>05-08-2025</t>
  </si>
  <si>
    <t>Eastcolight</t>
  </si>
  <si>
    <t>PO-016713</t>
  </si>
  <si>
    <t>PO-016714</t>
  </si>
  <si>
    <t>PO-016715</t>
  </si>
  <si>
    <t>PO-016716</t>
  </si>
  <si>
    <t>PO-016717</t>
  </si>
  <si>
    <t>PO-016720</t>
  </si>
  <si>
    <t>11-08-2025</t>
  </si>
  <si>
    <t>PO-016722</t>
  </si>
  <si>
    <t>12-08-2025</t>
  </si>
  <si>
    <t>PO-016724</t>
  </si>
  <si>
    <t>SSF-HKG711-DWG</t>
  </si>
  <si>
    <t>Double Walled Glasses with Facet cut styling</t>
  </si>
  <si>
    <t>14-08-2025</t>
  </si>
  <si>
    <t>Meridian International Ltd.</t>
  </si>
  <si>
    <t>PO-016725</t>
  </si>
  <si>
    <t>SSF-HKG711-1LGS</t>
  </si>
  <si>
    <t>1L glass storage / lunch box</t>
  </si>
  <si>
    <t>Shulopal (Guangzhou) Co., Ltd.</t>
  </si>
  <si>
    <t>PO-016727</t>
  </si>
  <si>
    <t>LDY-E01-SP108</t>
  </si>
  <si>
    <t>Disney Conad IT Book rigid cover</t>
  </si>
  <si>
    <t>PO-016728</t>
  </si>
  <si>
    <t>KN0449-ISB</t>
  </si>
  <si>
    <t>KN0449-KI</t>
  </si>
  <si>
    <t>21-08-2025</t>
  </si>
  <si>
    <t>PO-011681</t>
  </si>
  <si>
    <t>6020.20</t>
  </si>
  <si>
    <t>ClassicTraveller Square Emblem 0,6L</t>
  </si>
  <si>
    <t>KN0450-ISB</t>
  </si>
  <si>
    <t>KN0450-KI</t>
  </si>
  <si>
    <t>PO-016730</t>
  </si>
  <si>
    <t>PO-016731</t>
  </si>
  <si>
    <t>PO-016732</t>
  </si>
  <si>
    <t>PO-016733</t>
  </si>
  <si>
    <t>PO-016734</t>
  </si>
  <si>
    <t>PO-016735</t>
  </si>
  <si>
    <t>PO-016736</t>
  </si>
  <si>
    <t>PO-016737</t>
  </si>
  <si>
    <t>PO-016738</t>
  </si>
  <si>
    <t>PO-016740</t>
  </si>
  <si>
    <t>22-08-2025</t>
  </si>
  <si>
    <t>PO-016745</t>
  </si>
  <si>
    <t>PO-016757</t>
  </si>
  <si>
    <t>29-08-2025</t>
  </si>
  <si>
    <t>PO-016762</t>
  </si>
  <si>
    <t>PULLBUOYS-CK_x5_115</t>
  </si>
  <si>
    <t>Set 5 pullbuoy nuoto</t>
  </si>
  <si>
    <t>01-09-2025</t>
  </si>
  <si>
    <t>PO-016763</t>
  </si>
  <si>
    <t>MA024_PAL026_151</t>
  </si>
  <si>
    <t>Set 6 felpe + 6 pantaloni allenamento Polarfleece</t>
  </si>
  <si>
    <t>PO-016764</t>
  </si>
  <si>
    <t>6025_B_160</t>
  </si>
  <si>
    <t>Set 3 canotte bambino taglia 4xs-3xs-xxs</t>
  </si>
  <si>
    <t>PO-016765</t>
  </si>
  <si>
    <t>PO-016766</t>
  </si>
  <si>
    <t>1580_70</t>
  </si>
  <si>
    <t>Pedana elastica</t>
  </si>
  <si>
    <t>3020_120</t>
  </si>
  <si>
    <t>Set 10 ostacoli over</t>
  </si>
  <si>
    <t>7520_35</t>
  </si>
  <si>
    <t>Rete in nylon pesante con cavo d'acciaio</t>
  </si>
  <si>
    <t>7903_42</t>
  </si>
  <si>
    <t>Tennis tavolo per interno</t>
  </si>
  <si>
    <t>FOL.4005.1_62</t>
  </si>
  <si>
    <t>Set 2 canestri basket senza tabellone</t>
  </si>
  <si>
    <t>PO-016768</t>
  </si>
  <si>
    <t>02-09-2025</t>
  </si>
  <si>
    <t>PO-016769</t>
  </si>
  <si>
    <t>PO-016770</t>
  </si>
  <si>
    <t>LUB-E09-ST103</t>
  </si>
  <si>
    <t>HANGZHOU FREETRON TECH IND CO.LTD</t>
  </si>
  <si>
    <t>PO-016771</t>
  </si>
  <si>
    <t>PO-016772</t>
  </si>
  <si>
    <t>PO-016776</t>
  </si>
  <si>
    <t>04-09-2025</t>
  </si>
  <si>
    <t>PO-016777</t>
  </si>
  <si>
    <t>PO-016778</t>
  </si>
  <si>
    <t>PO-016779</t>
  </si>
  <si>
    <t>PO-016780</t>
  </si>
  <si>
    <t>12-09-2025</t>
  </si>
  <si>
    <t>PO-016784</t>
  </si>
  <si>
    <t>LUB-E01-TX101</t>
  </si>
  <si>
    <t>Kitchen towel set of 3 pieces</t>
  </si>
  <si>
    <t>08-09-2025</t>
  </si>
  <si>
    <t>PO-016786</t>
  </si>
  <si>
    <t>PO-016787</t>
  </si>
  <si>
    <t>LUB-E09-PL101</t>
  </si>
  <si>
    <t>Caterpillar plush</t>
  </si>
  <si>
    <t>Shanghai Gravim Industrial Co.,Ltd</t>
  </si>
  <si>
    <t>PO-016788</t>
  </si>
  <si>
    <t>PO-016789</t>
  </si>
  <si>
    <t>LUB-E09-CL101</t>
  </si>
  <si>
    <t>Alarm Clock</t>
  </si>
  <si>
    <t>PO-016790</t>
  </si>
  <si>
    <t>PO-016791</t>
  </si>
  <si>
    <t>PO-016802</t>
  </si>
  <si>
    <t>10-09-2025</t>
  </si>
  <si>
    <t>Tupperware (SH) Industrial Co., Ltd</t>
  </si>
  <si>
    <t>PO-016807</t>
  </si>
  <si>
    <t>11-09-2025</t>
  </si>
  <si>
    <t>PO-016808</t>
  </si>
  <si>
    <t>PO-016813</t>
  </si>
  <si>
    <t>PO-016814</t>
  </si>
  <si>
    <t>PO-016815</t>
  </si>
  <si>
    <t>KN0494</t>
  </si>
  <si>
    <t>PO-016816</t>
  </si>
  <si>
    <t>PO-016817</t>
  </si>
  <si>
    <t>PO-016818</t>
  </si>
  <si>
    <t>15-09-2025</t>
  </si>
  <si>
    <t>PO-016819</t>
  </si>
  <si>
    <t>PO-016821</t>
  </si>
  <si>
    <t>16-09-2025</t>
  </si>
  <si>
    <t>PO-016839</t>
  </si>
  <si>
    <t>LUB-E01-ST110</t>
  </si>
  <si>
    <t>Dry storage sq. AS 3pc set</t>
  </si>
  <si>
    <t>19-09-2025</t>
  </si>
  <si>
    <t>PO-016840</t>
  </si>
  <si>
    <t>PO-016841</t>
  </si>
  <si>
    <t>PO-016842</t>
  </si>
  <si>
    <t>PO-016846</t>
  </si>
  <si>
    <t>22-09-2025</t>
  </si>
  <si>
    <t>PO-016848</t>
  </si>
  <si>
    <t>LHP-E01-BF01</t>
  </si>
  <si>
    <t>Hermione on the Hogwarts Express (locomotive)</t>
  </si>
  <si>
    <t>LHP-E01-BF02</t>
  </si>
  <si>
    <t>Ron on the Hogwarts Express (train carriage)</t>
  </si>
  <si>
    <t>LHP-E01-BF03</t>
  </si>
  <si>
    <t>Dumbledore</t>
  </si>
  <si>
    <t>LHP-E01-BF04</t>
  </si>
  <si>
    <t>Voldemort</t>
  </si>
  <si>
    <t>LHP-E01-BF05</t>
  </si>
  <si>
    <t>Harry on a broomstick</t>
  </si>
  <si>
    <t>LHP-E01-BF06</t>
  </si>
  <si>
    <t>Hagrid on a motorcycle</t>
  </si>
  <si>
    <t>LHP-E01-BF07</t>
  </si>
  <si>
    <t>Hedwig with packages - for sale</t>
  </si>
  <si>
    <t>LHP-E01-BF08</t>
  </si>
  <si>
    <t>Ginny - for sale</t>
  </si>
  <si>
    <t>LHP-E01-BF09</t>
  </si>
  <si>
    <t>Bellatrix - for sale</t>
  </si>
  <si>
    <t>LHP-E01-BF10</t>
  </si>
  <si>
    <t>Ford Anglia - for sale</t>
  </si>
  <si>
    <t>LHP-E01-BF11</t>
  </si>
  <si>
    <t>The Knight Bus - for sale</t>
  </si>
  <si>
    <t>LHP-E01-BF12</t>
  </si>
  <si>
    <t>Draco on a broomstick - for sale</t>
  </si>
  <si>
    <t>PO-016849</t>
  </si>
  <si>
    <t>23-09-2025</t>
  </si>
  <si>
    <t>PO-016850</t>
  </si>
  <si>
    <t>PO-016851</t>
  </si>
  <si>
    <t>PO-016864</t>
  </si>
  <si>
    <t>26-09-2025</t>
  </si>
  <si>
    <t>PO-016865</t>
  </si>
  <si>
    <t>PO-016867</t>
  </si>
  <si>
    <t>11184097</t>
  </si>
  <si>
    <t>Supersonic chopper compact</t>
  </si>
  <si>
    <t>29-09-2025</t>
  </si>
  <si>
    <t>PO-016868</t>
  </si>
  <si>
    <t>30-09-2025</t>
  </si>
  <si>
    <t>PO-016876</t>
  </si>
  <si>
    <t>08-10-2025</t>
  </si>
  <si>
    <t>PO-016880</t>
  </si>
  <si>
    <t>01-10-2025</t>
  </si>
  <si>
    <t>PO-016882</t>
  </si>
  <si>
    <t>PO-016884</t>
  </si>
  <si>
    <t>03-10-2025</t>
  </si>
  <si>
    <t>15-10-2025</t>
  </si>
  <si>
    <t>PO-016899</t>
  </si>
  <si>
    <t>PO-016900</t>
  </si>
  <si>
    <t>PO-016901</t>
  </si>
  <si>
    <t>PO-016902</t>
  </si>
  <si>
    <t>PO-016903</t>
  </si>
  <si>
    <t>PO-016904</t>
  </si>
  <si>
    <t>16-10-2025</t>
  </si>
  <si>
    <t>LRVKB-E01-BW112</t>
  </si>
  <si>
    <t>Baking sheet 40x27x2cm</t>
  </si>
  <si>
    <t>20-10-2025</t>
  </si>
  <si>
    <t>14-10-2025</t>
  </si>
  <si>
    <t>PO-016975</t>
  </si>
  <si>
    <t>PO-016978</t>
  </si>
  <si>
    <t>17-10-2025</t>
  </si>
  <si>
    <t>PO-016984</t>
  </si>
  <si>
    <t>23-10-2025</t>
  </si>
  <si>
    <t>24-10-2025</t>
  </si>
  <si>
    <t>PO-017237</t>
  </si>
  <si>
    <t>LDS-E01-DW102</t>
  </si>
  <si>
    <t>Disney mug beige 300ml</t>
  </si>
  <si>
    <t>LDS-E01-DW104</t>
  </si>
  <si>
    <t>Disney bowl beige 520ml</t>
  </si>
  <si>
    <t>LDS-E01-DW106</t>
  </si>
  <si>
    <t>Disney 21cm plate beige</t>
  </si>
  <si>
    <t>LDS-E01-DW108</t>
  </si>
  <si>
    <t>Disney 26cm plate beige</t>
  </si>
  <si>
    <t>LDS-E01-DW103</t>
  </si>
  <si>
    <t>Disney mug blue 300ml</t>
  </si>
  <si>
    <t>LDS-E01-DW105</t>
  </si>
  <si>
    <t>Disney bowl blue 520ml</t>
  </si>
  <si>
    <t>LDS-E01-DW107</t>
  </si>
  <si>
    <t>Disney 21cm plate blue</t>
  </si>
  <si>
    <t>LDS-E01-DW109</t>
  </si>
  <si>
    <t>Disney 26cm plate blue</t>
  </si>
  <si>
    <t>PO-017238</t>
  </si>
  <si>
    <t>LRVKB-E01-KN209</t>
  </si>
  <si>
    <t>Cutting Board</t>
  </si>
  <si>
    <t>TAIZHOU CITY JOYHOME IMP &amp; EXP CO., LTD</t>
  </si>
  <si>
    <t>PO-017239</t>
  </si>
  <si>
    <t>LRVKB-E01-KN202</t>
  </si>
  <si>
    <t>LRVKB-E01-KN203</t>
  </si>
  <si>
    <t>LRVKB-E01-KN204</t>
  </si>
  <si>
    <t>LRVKB-E01-KN205</t>
  </si>
  <si>
    <t>LRVKB-E01-KN206</t>
  </si>
  <si>
    <t>LRVKB-E01-KN207</t>
  </si>
  <si>
    <t>LRVKB-E01-KN208</t>
  </si>
  <si>
    <t>LRVKB-E01-KN211</t>
  </si>
  <si>
    <t>Kitchen Scissors</t>
  </si>
  <si>
    <t>PO-017241</t>
  </si>
  <si>
    <t>10-10-2025</t>
  </si>
  <si>
    <t>PO-017242</t>
  </si>
  <si>
    <t>PO-017244</t>
  </si>
  <si>
    <t>21-10-2025</t>
  </si>
  <si>
    <t>PO-017251</t>
  </si>
  <si>
    <t>PO-017252</t>
  </si>
  <si>
    <t>PO-017253</t>
  </si>
  <si>
    <t>27-10-2025</t>
  </si>
  <si>
    <t>PO-017258</t>
  </si>
  <si>
    <t>13-10-2025</t>
  </si>
  <si>
    <t>PO-017259</t>
  </si>
  <si>
    <t>28-10-2025</t>
  </si>
  <si>
    <t>PO-017263</t>
  </si>
  <si>
    <t>30-10-2025</t>
  </si>
  <si>
    <t>31-10-2025</t>
  </si>
  <si>
    <t>PO-017271</t>
  </si>
  <si>
    <t>LCS-E01-BQ112</t>
  </si>
  <si>
    <t>Carving board</t>
  </si>
  <si>
    <t>PO-017272</t>
  </si>
  <si>
    <t>LCS-E01-BQ113</t>
  </si>
  <si>
    <t>BBQ Carving Knife</t>
  </si>
  <si>
    <t>PO-017274</t>
  </si>
  <si>
    <t>PO-017275</t>
  </si>
  <si>
    <t>PO-017276</t>
  </si>
  <si>
    <t>PO-017277</t>
  </si>
  <si>
    <t>PO-017278</t>
  </si>
  <si>
    <t>PO-017280</t>
  </si>
  <si>
    <t>PO-017282</t>
  </si>
  <si>
    <t>PO-017283</t>
  </si>
  <si>
    <t>PO-017284</t>
  </si>
  <si>
    <t>PO-017285</t>
  </si>
  <si>
    <t>LPY-E01-ST401</t>
  </si>
  <si>
    <t>LPY-E01-ST408</t>
  </si>
  <si>
    <t>PO-017288</t>
  </si>
  <si>
    <t>LRVKB-E01-KN210</t>
  </si>
  <si>
    <t>Knife Block</t>
  </si>
  <si>
    <t>PO-017292</t>
  </si>
  <si>
    <t>PO-017293</t>
  </si>
  <si>
    <t>PO-017297</t>
  </si>
  <si>
    <t>PO-017298</t>
  </si>
  <si>
    <t>PO-017299</t>
  </si>
  <si>
    <t>PO-017302</t>
  </si>
  <si>
    <t>PO-017303</t>
  </si>
  <si>
    <t>PO-017304</t>
  </si>
  <si>
    <t>PO-017305</t>
  </si>
  <si>
    <t>PO-017307</t>
  </si>
  <si>
    <t>PO-017308</t>
  </si>
  <si>
    <t>PO-017309</t>
  </si>
  <si>
    <t>PO-017310</t>
  </si>
  <si>
    <t>PO-017318</t>
  </si>
  <si>
    <t>PO-017319</t>
  </si>
  <si>
    <t>PO-017320</t>
  </si>
  <si>
    <t>PO-017331</t>
  </si>
  <si>
    <t>LPK-E01-CU01</t>
  </si>
  <si>
    <t>Pikachu cushion</t>
  </si>
  <si>
    <t>LPK-E01-CU02</t>
  </si>
  <si>
    <t>Evoli (Eevee) cushion</t>
  </si>
  <si>
    <t>LPK-E01-CU03</t>
  </si>
  <si>
    <t>Bulbizarre (Bulbasaur) cushion</t>
  </si>
  <si>
    <t>LPK-E01-CU04</t>
  </si>
  <si>
    <t>Salamèche (Charmander) cushion</t>
  </si>
  <si>
    <t>PO-017357</t>
  </si>
  <si>
    <t>PO-017360</t>
  </si>
  <si>
    <t>LPK-E01-ACC08</t>
  </si>
  <si>
    <t>Pokemon Umbrella</t>
  </si>
  <si>
    <t>Shaoxingshi Shangyu Heng Dun</t>
  </si>
  <si>
    <t>PO-017364</t>
  </si>
  <si>
    <t>LCS-E01-BQ110</t>
  </si>
  <si>
    <t>Marinate Dish</t>
  </si>
  <si>
    <t>LCS-E01-BQ111</t>
  </si>
  <si>
    <t>BBQ Utensil set</t>
  </si>
  <si>
    <t>LCS-E01-BQ115</t>
  </si>
  <si>
    <t>LCS-E01-BQ118</t>
  </si>
  <si>
    <t>Single BBQ Heat Proof Mitt</t>
  </si>
  <si>
    <t>PO-017371</t>
  </si>
  <si>
    <t>LDSY-E01-SP302</t>
  </si>
  <si>
    <t>Disney Sport Marbles - 33mm</t>
  </si>
  <si>
    <t>PO-017379</t>
  </si>
  <si>
    <t>LKR-E01-OW105 - 28174</t>
  </si>
  <si>
    <t>Rectangular tray 3,6l</t>
  </si>
  <si>
    <t>PO-017382</t>
  </si>
  <si>
    <t>PO-017384</t>
  </si>
  <si>
    <t>LMI-E01-SP109</t>
  </si>
  <si>
    <t>Minecraft patch in flowpack-Auchan PL</t>
  </si>
  <si>
    <t>PO-017389</t>
  </si>
  <si>
    <t>FOL.1083_CS25_78</t>
  </si>
  <si>
    <t>SET 10 PEZZI CERCHI IN PVC A SEZIONE ROTONDA</t>
  </si>
  <si>
    <t>PO-017390</t>
  </si>
  <si>
    <t>PO-017391</t>
  </si>
  <si>
    <t>PO-016697</t>
  </si>
  <si>
    <t>PO-017395</t>
  </si>
  <si>
    <t>PO-017396</t>
  </si>
  <si>
    <t>22-10-2025</t>
  </si>
  <si>
    <t>PO-017408</t>
  </si>
  <si>
    <t>PO-017416</t>
  </si>
  <si>
    <t>PO-017432</t>
  </si>
  <si>
    <t>LPE-E01-OW103</t>
  </si>
  <si>
    <t>Rectangular dish 30cm</t>
  </si>
  <si>
    <t>PO-017435</t>
  </si>
  <si>
    <t>PO-017436</t>
  </si>
  <si>
    <t>PO-017437</t>
  </si>
  <si>
    <t>LDSY-E01-TO114</t>
  </si>
  <si>
    <t>Disney Key Chain Mixed OC Canada</t>
  </si>
  <si>
    <t>Product Development Partners Ltd</t>
  </si>
  <si>
    <t>PO-017438</t>
  </si>
  <si>
    <t>PO-017441</t>
  </si>
  <si>
    <t>LPE-E01-KN101</t>
  </si>
  <si>
    <t>LPE-E01-KN106</t>
  </si>
  <si>
    <t>Chef knife</t>
  </si>
  <si>
    <t>LPE-E01-KN107</t>
  </si>
  <si>
    <t>2pcs Steak Knife</t>
  </si>
  <si>
    <t>PO-017443</t>
  </si>
  <si>
    <t>PO-017439</t>
  </si>
  <si>
    <t>P2I200410_CS25_17</t>
  </si>
  <si>
    <t>SET 6 PEZZI FOOTBALL TRAINER</t>
  </si>
  <si>
    <t>P2I150050_CS25_18</t>
  </si>
  <si>
    <t>RETE DA ALLENAMENTO CALCIO</t>
  </si>
  <si>
    <t>41TK_CS25_19</t>
  </si>
  <si>
    <t>SET 6 PEZZI AGILITY GRID ESAGONALE</t>
  </si>
  <si>
    <t>XY0093_CS25_21</t>
  </si>
  <si>
    <t>DIVISA PORTIERE DA CALCIO JUNIOR 3PZ</t>
  </si>
  <si>
    <t>01520_CS25_25</t>
  </si>
  <si>
    <t>SET 20 PEZZI PALLONI FOOTBALL JUNIOR</t>
  </si>
  <si>
    <t>XY0094_CS25_26</t>
  </si>
  <si>
    <t>SET 10 PEZZI PALLONI CALCIO ROBORO CON BORSA</t>
  </si>
  <si>
    <t>02021_CS25_56</t>
  </si>
  <si>
    <t>SET 20 PEZZI PALLONI MINI VOLLEY</t>
  </si>
  <si>
    <t>BA-11_CS25_71</t>
  </si>
  <si>
    <t>TABELLONE DA BASKET SEATTLE</t>
  </si>
  <si>
    <t>88EB_CS25_101</t>
  </si>
  <si>
    <t>SET 12 PEZZI OCCHIALINI DA NUOTO JUNIOR</t>
  </si>
  <si>
    <t>88DC_CS25_102</t>
  </si>
  <si>
    <t>SET 12 PEZZI OCCHIALINI DA NUOTO ADULTO</t>
  </si>
  <si>
    <t>15973_CS25_103</t>
  </si>
  <si>
    <t>SET 24 PEZZI NOODLES</t>
  </si>
  <si>
    <t>KB1X4_CS25_132</t>
  </si>
  <si>
    <t>SET 2 PEZZI KETTLEBELL COMFORT 4 KG</t>
  </si>
  <si>
    <t>BELLKIT15_CS25_133</t>
  </si>
  <si>
    <t>SET PESI COMPONIBILE</t>
  </si>
  <si>
    <t>STEPPER01_CS25_134</t>
  </si>
  <si>
    <t>AEROBIC STEPPER</t>
  </si>
  <si>
    <t>EBND01_CS25_135</t>
  </si>
  <si>
    <t>SET 5 PEZZI FASCE ELASTICHE</t>
  </si>
  <si>
    <t>AHF-158_CS25_136</t>
  </si>
  <si>
    <t>SPALLIERA SVEDESE</t>
  </si>
  <si>
    <t>BO-180_CS25_137</t>
  </si>
  <si>
    <t>BILANCIERE OLIMPIONICO</t>
  </si>
  <si>
    <t>TE15490_CS25_138</t>
  </si>
  <si>
    <t>BILANCIA SMART CONNECT</t>
  </si>
  <si>
    <t>13414_CS25_163</t>
  </si>
  <si>
    <t>TABELLONE SEGNAPUNTI MULTISPORT</t>
  </si>
  <si>
    <t>42HB_CS25_164</t>
  </si>
  <si>
    <t>SET 6 PEZZI MANUBRI PER ESERCIZI</t>
  </si>
  <si>
    <t>42HC_CS25_165</t>
  </si>
  <si>
    <t>SET 12 PEZZI CORDE PER SALTARE</t>
  </si>
  <si>
    <t>42HA_CS25_166</t>
  </si>
  <si>
    <t>SET 4 PEZZI RUOTE PER ADDOMINALI</t>
  </si>
  <si>
    <t>WBX-400_CS25_167</t>
  </si>
  <si>
    <t>PANCA DA PESISTICA</t>
  </si>
  <si>
    <t>SRX-8500_CS25_168</t>
  </si>
  <si>
    <t>SPINBIKE</t>
  </si>
  <si>
    <t>P2I202880_CS25_170</t>
  </si>
  <si>
    <t>SET 10 PEZZI IMPACCO CALDO E FREDDO RIUTILIZZABILI</t>
  </si>
  <si>
    <t>75OB_CS25_178</t>
  </si>
  <si>
    <t>SET 12 PEZZI PETTORINE DA ALLENAMENTO JUNIOR</t>
  </si>
  <si>
    <t>XY0097_CS25_179</t>
  </si>
  <si>
    <t>SET 2 PEZZI GIUBBOTTO BENCH</t>
  </si>
  <si>
    <t>XY0098_CS25_180</t>
  </si>
  <si>
    <t>COPPIA DI PARURE INVERNO</t>
  </si>
  <si>
    <t>S07134_CS25_196</t>
  </si>
  <si>
    <t>PORTANTINA PORTA FERITI</t>
  </si>
  <si>
    <t>S07312_CS25_201</t>
  </si>
  <si>
    <t>PANCA CON SCHIENALE APPENDIABITI E PORTABORSE</t>
  </si>
  <si>
    <t>S07322_CS25_202</t>
  </si>
  <si>
    <t>TAVOLA APPENDIABITI CON TETTUCCIO</t>
  </si>
  <si>
    <t>S07304_CS25_203</t>
  </si>
  <si>
    <t>PANCA DA SPOGLIATOIO 1 METRO</t>
  </si>
  <si>
    <t>08844_CS25_208</t>
  </si>
  <si>
    <t>SPOGLIATOIO IN METALLO A 3 POSTI</t>
  </si>
  <si>
    <t>MPROUCVL_CS25_209</t>
  </si>
  <si>
    <t>CALCIOBALILLA MASTER PRO</t>
  </si>
  <si>
    <t>OTIR2000_CS25_210</t>
  </si>
  <si>
    <t>COMPRESSORE ARIA DIGITALE RIC</t>
  </si>
  <si>
    <t>AR4P16_CS25_211</t>
  </si>
  <si>
    <t>TATANKA TORRE CERAMICA DIGITALE</t>
  </si>
  <si>
    <t>130004_CS25_212</t>
  </si>
  <si>
    <t>SCALETTA A 3 GRADINI ANTISCIVOLO</t>
  </si>
  <si>
    <t>99ALI/004_CS25_225</t>
  </si>
  <si>
    <t>SET 2 PEZZI CASSETTA PORTAVALORI</t>
  </si>
  <si>
    <t>08012_CS25_226</t>
  </si>
  <si>
    <t>BACHECA IN SUGHERO PROFESSIONALE</t>
  </si>
  <si>
    <t>08723_CS25_227</t>
  </si>
  <si>
    <t>LAVAGNA MAGNETICA PROFESSIONALE</t>
  </si>
  <si>
    <t>E-CONKIT25_CS25_228</t>
  </si>
  <si>
    <t>SET ECOLINE CANCELLERIA</t>
  </si>
  <si>
    <t>T818X6_CS25_229</t>
  </si>
  <si>
    <t>SET 18 PALLINE TENNIS</t>
  </si>
  <si>
    <t>TP6063X6_CS25_230</t>
  </si>
  <si>
    <t>SET 18 PEZZI PALLINE PADEL</t>
  </si>
  <si>
    <t>F160_CS25_231</t>
  </si>
  <si>
    <t>TABELLONE SEGNAPUNTI ELETTRONICO MULTISPORT</t>
  </si>
  <si>
    <t>PO-017444</t>
  </si>
  <si>
    <t>WV2000504XB_CS25_57</t>
  </si>
  <si>
    <t>SET 6 PEZZI PALLONI PRO TOUR</t>
  </si>
  <si>
    <t>EVOLUTION_CS25_66</t>
  </si>
  <si>
    <t>PALLONE BASKET WILSON EVOLUTION</t>
  </si>
  <si>
    <t>REACTION CS25_67</t>
  </si>
  <si>
    <t>SET 2 PEZZI PALLONI DA MINIBASKET</t>
  </si>
  <si>
    <t>WTB1417XB05_CS25_68</t>
  </si>
  <si>
    <t>SET 6 PEZZI PALLONI DA BASKET MVP, MISURA 5</t>
  </si>
  <si>
    <t>WTB1419XB07_CS25_69</t>
  </si>
  <si>
    <t>SET 6 PEZZI PALLONI DA BASKET MVP,  MISURA 7</t>
  </si>
  <si>
    <t>WTB201960_CS25_70</t>
  </si>
  <si>
    <t>BORSA TRAVEL DA BASKET</t>
  </si>
  <si>
    <t>WTH1816_CS25_154</t>
  </si>
  <si>
    <t>BORSA PORTA PALLONI</t>
  </si>
  <si>
    <t>PO-017445</t>
  </si>
  <si>
    <t>933715_CS25_151</t>
  </si>
  <si>
    <t>CARRELLO PORTAPALLONI IN PLASTICA</t>
  </si>
  <si>
    <t>945709_CS25_152</t>
  </si>
  <si>
    <t>POMPA PER PALLONI</t>
  </si>
  <si>
    <t>910952_CS25_198</t>
  </si>
  <si>
    <t>ARMADIETTO DEL PRONTO SOCCORSO</t>
  </si>
  <si>
    <t>921004_CS25_213</t>
  </si>
  <si>
    <t>KIT LAVAGNA A FOGLI MOBILI</t>
  </si>
  <si>
    <t>PO-017446</t>
  </si>
  <si>
    <t>C219357_CS25_4</t>
  </si>
  <si>
    <t>COPPIA DI MINI PORTE DA CALCIO FISSE IN ACCIAIO</t>
  </si>
  <si>
    <t>C219358_CS25_5</t>
  </si>
  <si>
    <t>COPPIA DI MINI PORTE DA CALCIO PIEGHEVOLI</t>
  </si>
  <si>
    <t>C219359_CS25_11</t>
  </si>
  <si>
    <t>TRACCIA LINEE MODULAR</t>
  </si>
  <si>
    <t>C219360_CS25_23</t>
  </si>
  <si>
    <t>SET 10 PAIA DI CALZETTONI CALCIO BAMBINO</t>
  </si>
  <si>
    <t>C219361_CS25_24</t>
  </si>
  <si>
    <t>SET 10 PAIA DI CALZETTONI CALCIO ADULTO</t>
  </si>
  <si>
    <t>C219362_CS25_59</t>
  </si>
  <si>
    <t>SET 2 PAIA DI CALZE DA BASKET JUNIOR</t>
  </si>
  <si>
    <t>C219363_CS25_61</t>
  </si>
  <si>
    <t>RETE DA BASKET</t>
  </si>
  <si>
    <t>C219364_CS25_72</t>
  </si>
  <si>
    <t>PAO KICKBOXING MUAY THAI</t>
  </si>
  <si>
    <t>C219365_CS25_73</t>
  </si>
  <si>
    <t>SUPPORTO AUTOPORTANTE PER SACCO DA BOXE</t>
  </si>
  <si>
    <t>C219366_CS25_81</t>
  </si>
  <si>
    <t>TRAVE IN SCHIUMA PER PSICOMOTRICITÀ</t>
  </si>
  <si>
    <t>C219367_CS25_95</t>
  </si>
  <si>
    <t>CINTURA DA PISCINA DA 15 A 60 KG</t>
  </si>
  <si>
    <t>C219368_CS25_96</t>
  </si>
  <si>
    <t>SET 3 PEZZI PALETTE DA PISCINA TAGLIA M</t>
  </si>
  <si>
    <t>C219369_CS25_97</t>
  </si>
  <si>
    <t>PALLONE DA PALLANUOTO WP900</t>
  </si>
  <si>
    <t>C219370_CS25_98</t>
  </si>
  <si>
    <t>PARACADUTE DA NUOTO 900</t>
  </si>
  <si>
    <t>C219371_CS25_99</t>
  </si>
  <si>
    <t>SET 3 PEZZI TAVOLETTA DA PISCINA 100</t>
  </si>
  <si>
    <t>C219372_CS25_100</t>
  </si>
  <si>
    <t>SET 3 PEZZI TAVOLETTA DA PISCINA 500 GONFIABILE</t>
  </si>
  <si>
    <t>C219373_CS25_105</t>
  </si>
  <si>
    <t>OSTACOLO IN FERRO CON ALTEZZA REGOLABILE</t>
  </si>
  <si>
    <t>C219374_CS25_114</t>
  </si>
  <si>
    <t>TRAMPOLINO ELASTICO</t>
  </si>
  <si>
    <t>C219375_CS25_200</t>
  </si>
  <si>
    <t>C219376_CS25_214</t>
  </si>
  <si>
    <t>COPPIA DI CASSE PREAMPLIFICATE</t>
  </si>
  <si>
    <t>C219377_CS25_215</t>
  </si>
  <si>
    <t>MONITOR 27 FULL HD</t>
  </si>
  <si>
    <t>C219378_CS25_216</t>
  </si>
  <si>
    <t>STAMPANTE MULTIFUNZIONE INKJET A COLORI A3</t>
  </si>
  <si>
    <t>C219379_CS25_217</t>
  </si>
  <si>
    <t>NOTEBOOK 15,6 FULL HD I7</t>
  </si>
  <si>
    <t>C219380_CS25_218</t>
  </si>
  <si>
    <t>SISTEMA AUDIO PORTATILE</t>
  </si>
  <si>
    <t>C219381_CS25_219</t>
  </si>
  <si>
    <t>SISTEMA MICRO HI-FI</t>
  </si>
  <si>
    <t>C219382_CS25_220</t>
  </si>
  <si>
    <t>PLASTIFICATRICE OFFICE A3</t>
  </si>
  <si>
    <t>C219383_CS25_221</t>
  </si>
  <si>
    <t>OROLOGIO DA PARETE EXTRALARGE</t>
  </si>
  <si>
    <t>C219384_CS25_222</t>
  </si>
  <si>
    <t>STAMPANTE LASER BN</t>
  </si>
  <si>
    <t>PO-017447</t>
  </si>
  <si>
    <t>420977_CS25_31</t>
  </si>
  <si>
    <t>SET 5 PEZZI PALLONI DA ALLENAMENTO GTR4000</t>
  </si>
  <si>
    <t>28102S0726_CS25_32</t>
  </si>
  <si>
    <t>SET 5 PEZZI PALLONI DA GARA IMPERIUM</t>
  </si>
  <si>
    <t>85518605_CS25_33</t>
  </si>
  <si>
    <t>SET 4 PEZZI PARADENTI TRICOLORE SENIOR</t>
  </si>
  <si>
    <t>89111850_CS25_34</t>
  </si>
  <si>
    <t>SCUDO DA PLACCAGGIO SENIOR</t>
  </si>
  <si>
    <t>89111852_CS25_35</t>
  </si>
  <si>
    <t>SCUDO DA PLACCAGGIO JUNIOR</t>
  </si>
  <si>
    <t>83010000_CS25_36</t>
  </si>
  <si>
    <t>SET 4 PEZZI SACCHE PORTA PALLONI</t>
  </si>
  <si>
    <t>PO-017451</t>
  </si>
  <si>
    <t>LMI-E01-SP303</t>
  </si>
  <si>
    <t>24 Tagz Minecraft</t>
  </si>
  <si>
    <t>PO-017449</t>
  </si>
  <si>
    <t>064203_CS25_9</t>
  </si>
  <si>
    <t>COPPIA DI PORTICINE POP UP CON BORSA E RETE</t>
  </si>
  <si>
    <t>063200_CS25_12</t>
  </si>
  <si>
    <t>SET 3 PEZZI LAVAGNE CALCIO 3D</t>
  </si>
  <si>
    <t>205702_CS25_13</t>
  </si>
  <si>
    <t>KIT CORNER</t>
  </si>
  <si>
    <t>063095_CS25_14</t>
  </si>
  <si>
    <t>KIT GUARDALINEE</t>
  </si>
  <si>
    <t>063476_CS25_15</t>
  </si>
  <si>
    <t>SAGOMA GONFIABILE</t>
  </si>
  <si>
    <t>062797_CS25_16</t>
  </si>
  <si>
    <t>TABELLA CAMBIO GIOCATORI</t>
  </si>
  <si>
    <t>063248_CS25_37</t>
  </si>
  <si>
    <t>SET 10 PEZZI CINTURE CON FLAG RUGBY</t>
  </si>
  <si>
    <t>063203_CS25_38</t>
  </si>
  <si>
    <t>SET 3 PEZZI LAVAGNE 3D RUGBY</t>
  </si>
  <si>
    <t>013015_CS25_42</t>
  </si>
  <si>
    <t>KIT PICKLEBALL</t>
  </si>
  <si>
    <t>013007_CS25_43</t>
  </si>
  <si>
    <t>RETE PICKLEBALL</t>
  </si>
  <si>
    <t>053010_CS25_52</t>
  </si>
  <si>
    <t>TABELLONE SEGNAPUNTI DA VOLLEY</t>
  </si>
  <si>
    <t>V300W_CS25_53</t>
  </si>
  <si>
    <t>PALLONE VOLLEY UFFICIALE APPROVATO FIVB</t>
  </si>
  <si>
    <t>V330W_CS25_54</t>
  </si>
  <si>
    <t>PALLONE VOLLEY DA ALLENAMENTO</t>
  </si>
  <si>
    <t>VS123W-L_CS25_55</t>
  </si>
  <si>
    <t>SET 2 PEZZI PALLONI DA MINIVOLLEY</t>
  </si>
  <si>
    <t>063420_CS25_58</t>
  </si>
  <si>
    <t>SET 3 PEZZI LAVAGNE 3D VOLLEY</t>
  </si>
  <si>
    <t>053008_CS25_62</t>
  </si>
  <si>
    <t>TABELLONE SEGNAPUNTI DA BASKET</t>
  </si>
  <si>
    <t>063202_CS25_63</t>
  </si>
  <si>
    <t>SET 3 PEZZI LAVAGNA 3D DA BASKET</t>
  </si>
  <si>
    <t>180510_CS25_82</t>
  </si>
  <si>
    <t>SET 4 PEZZI CLAVETTE IN NYLON</t>
  </si>
  <si>
    <t>099001_CS25_83</t>
  </si>
  <si>
    <t>SET 4 PEZZI NASTRI RITMICA</t>
  </si>
  <si>
    <t>102010_CS25_84</t>
  </si>
  <si>
    <t>SET 5 PEZZI BASTONI IN LEGNO VERNICIATO</t>
  </si>
  <si>
    <t>044092_CS25_85</t>
  </si>
  <si>
    <t>SET 5 PEZZI CORDE RITMICA</t>
  </si>
  <si>
    <t>C33800_CS25_86</t>
  </si>
  <si>
    <t>SET 5 PEZZI MATERASSINI PER YOGA E PILATES PLUS</t>
  </si>
  <si>
    <t>222500_CS25_87</t>
  </si>
  <si>
    <t>SET 5 PEZZI PALLE YOGA E PILATES</t>
  </si>
  <si>
    <t>100089_CS25_89</t>
  </si>
  <si>
    <t>SET 2 PEZZI PALLONI HANDBALL ULTIMA 30.3</t>
  </si>
  <si>
    <t>100093_CS25_90</t>
  </si>
  <si>
    <t>SET 2 PEZZI PALLONI MINI HANDBALL SOFT BA0</t>
  </si>
  <si>
    <t>014044_CS25_92</t>
  </si>
  <si>
    <t>SUPPORTO CON PINZA PER RETE PING PONG</t>
  </si>
  <si>
    <t>181406_CS25_106</t>
  </si>
  <si>
    <t>DISCO IN GOMMA A 3 IMPUGNATURE</t>
  </si>
  <si>
    <t>VT5000_CS25_107</t>
  </si>
  <si>
    <t>SET 3 PEZZI PALLINE DA LANCIO IN GOMMA</t>
  </si>
  <si>
    <t>025032_CS25_110</t>
  </si>
  <si>
    <t>SET 3 PEZZI OSTACOLI REGOLABILI BAMBINO</t>
  </si>
  <si>
    <t>50050_CS25_111</t>
  </si>
  <si>
    <t>SET 5 PEZZI CERCHI PIATTI IN PVC</t>
  </si>
  <si>
    <t>33800_CS25_112</t>
  </si>
  <si>
    <t>SET 5 PEZZI OSTACOLI MACH</t>
  </si>
  <si>
    <t>220520_CS25_115</t>
  </si>
  <si>
    <t>SET 4 PEZZI CAVIGLIERE APPESANTITE KG 2</t>
  </si>
  <si>
    <t>002022_CS25_116</t>
  </si>
  <si>
    <t>SET 4 PEZZI MANUBRIO VINYL KG 1</t>
  </si>
  <si>
    <t>002025_CS25_117</t>
  </si>
  <si>
    <t>SET 4 PEZZI MANUBRIO VINYL KG 3</t>
  </si>
  <si>
    <t>180610_CS25_120</t>
  </si>
  <si>
    <t>PALLA MEDICA OVER CON IMPUGNATURA KG 1</t>
  </si>
  <si>
    <t>180620_CS25_121</t>
  </si>
  <si>
    <t>PALLA MEDICA OVER CON IMPUGNATURA KG 2</t>
  </si>
  <si>
    <t>220200_CS25_122</t>
  </si>
  <si>
    <t>PEDANA BOSU</t>
  </si>
  <si>
    <t>100143_CS25_123</t>
  </si>
  <si>
    <t>PEDANA C1 SKIMMY</t>
  </si>
  <si>
    <t>180801_CS25_124</t>
  </si>
  <si>
    <t>SET 2 PEZZI PALLA MEDICA BUBBLE KG 1</t>
  </si>
  <si>
    <t>180802_CS25_125</t>
  </si>
  <si>
    <t>SET 2 PEZZI PALLA MEDICA BUBBLE KG 2</t>
  </si>
  <si>
    <t>044071_CS25_126</t>
  </si>
  <si>
    <t>TAVOLETTA TONDA</t>
  </si>
  <si>
    <t>502126_CS25_139</t>
  </si>
  <si>
    <t>MEGAFONO</t>
  </si>
  <si>
    <t>024051_CS25_140</t>
  </si>
  <si>
    <t>ROTELLA METRICA CON IMPUGNATURA</t>
  </si>
  <si>
    <t>240300_CS25_141</t>
  </si>
  <si>
    <t>SET 10 PEZZI CONO CALPESTABILE</t>
  </si>
  <si>
    <t>233000_CS25_142</t>
  </si>
  <si>
    <t>SET 10 PEZZI CONO FORATO</t>
  </si>
  <si>
    <t>231002_CS25_143</t>
  </si>
  <si>
    <t>SET 12 PEZZI ASTA CM 100</t>
  </si>
  <si>
    <t>231602_CS25_144</t>
  </si>
  <si>
    <t>SET 12 PEZZI ASTA CM 160</t>
  </si>
  <si>
    <t>202017_CS25_145</t>
  </si>
  <si>
    <t>SET 12 PEZZI PALO SLALOM TOP</t>
  </si>
  <si>
    <t>240200_CS25_146</t>
  </si>
  <si>
    <t>SET 5 PEZZI BASE CUPOLA MULTIFUNZIONE</t>
  </si>
  <si>
    <t>202300_CS25_147</t>
  </si>
  <si>
    <t>SET 48 PEZZI DELIMITATORI</t>
  </si>
  <si>
    <t>211390_CS25_148</t>
  </si>
  <si>
    <t>SET 24 PEZZI DISCHI PIATTI</t>
  </si>
  <si>
    <t>411600_CS25_149</t>
  </si>
  <si>
    <t>MINICOMPRESSORE RAIDER</t>
  </si>
  <si>
    <t>119002_CS25_153</t>
  </si>
  <si>
    <t>CONTENITORE PORTA PALLONI CHIUSO PIEGHEVOLE</t>
  </si>
  <si>
    <t>025004_CS25_159</t>
  </si>
  <si>
    <t>TESTIMONI PVC 6 COLORI KIT 6 PZ</t>
  </si>
  <si>
    <t>250006_CS25_169</t>
  </si>
  <si>
    <t>SET 6 BORRACCE CON CESTELLO</t>
  </si>
  <si>
    <t>550356_CS25_193</t>
  </si>
  <si>
    <t>SET 10 PEZZI NASTRO TAPE H 5 CM</t>
  </si>
  <si>
    <t>550912_CS25_194</t>
  </si>
  <si>
    <t>SET 10 PEZZI SALVAPELLE</t>
  </si>
  <si>
    <t>163297_CS25_197</t>
  </si>
  <si>
    <t>SET 6 GHIACCIO SPRAY</t>
  </si>
  <si>
    <t>PO-017453</t>
  </si>
  <si>
    <t>KITP009_CS25_22</t>
  </si>
  <si>
    <t>SET 2 PEZZI KIT PORTIERE HYGUANA GIALLO</t>
  </si>
  <si>
    <t>PAL023M5_CS25_27</t>
  </si>
  <si>
    <t>SET 5 PEZZI PALLONE ACADEMY FRECCIA</t>
  </si>
  <si>
    <t>PA025_SET5_CS25_28</t>
  </si>
  <si>
    <t>SET 5 PEZZI PALLONE GARA MATCH NEW MAYA</t>
  </si>
  <si>
    <t>GU09-SET2_CS25_29</t>
  </si>
  <si>
    <t>SET 2 PAIA GUANTI  PORTIERE STOP ACADEMY</t>
  </si>
  <si>
    <t>PALBV03_CS25_41</t>
  </si>
  <si>
    <t>SET 5 PEZZI PALLONE BEACH VOLLEY</t>
  </si>
  <si>
    <t>RK11_CS25_44</t>
  </si>
  <si>
    <t>RACCHETTA PADEL</t>
  </si>
  <si>
    <t>C003_CS25_60</t>
  </si>
  <si>
    <t>SET 10 PAIA CALZE DA BASKET ADULTO</t>
  </si>
  <si>
    <t>B041_CS25_171</t>
  </si>
  <si>
    <t>SET 2 PEZZI BORSA BRERA</t>
  </si>
  <si>
    <t>B081_CS25_172</t>
  </si>
  <si>
    <t>SET 2 PEZZI ZAINO EUROPA</t>
  </si>
  <si>
    <t>B030_SET2_CS25_173</t>
  </si>
  <si>
    <t>SET 2 PEZZI BORSA REVOLUTION BIG</t>
  </si>
  <si>
    <t>MICR24M_CS25_174</t>
  </si>
  <si>
    <t>SET 4 PEZZI ACCAPPATOIO MICROFIBRA UOMO</t>
  </si>
  <si>
    <t>MICR24F_CS25_175</t>
  </si>
  <si>
    <t>SET 4 PEZZI ACCAPPATOIO MICROFIBRA DONNA</t>
  </si>
  <si>
    <t>A00513SET12_CS25_176</t>
  </si>
  <si>
    <t>SET 12 PEZZI TELO SPORT</t>
  </si>
  <si>
    <t>SET12BOR_CS25_177</t>
  </si>
  <si>
    <t>SET 12 PEZZI BORRACCE IN ACCIAIO</t>
  </si>
  <si>
    <t>TR034_SET5_CS25_181</t>
  </si>
  <si>
    <t>SET 5 PEZZI TUTA CUBA POLARFLLECE</t>
  </si>
  <si>
    <t>RJ001_SET5_CS25_182</t>
  </si>
  <si>
    <t>SET 5 PEZZI GIACCA RAIN  ANTIVENTO</t>
  </si>
  <si>
    <t>G013_SET5_CS25_183</t>
  </si>
  <si>
    <t>SET 5 PEZZI GIUBBOTTO OLANDA 180 GR</t>
  </si>
  <si>
    <t>MAC03_CS25_184</t>
  </si>
  <si>
    <t>SET 10 PEZZI T-SHIRT CAPO INTERLOCK</t>
  </si>
  <si>
    <t>P018_CS25_185</t>
  </si>
  <si>
    <t>SET 10 PEZZI  SHORT CAPO</t>
  </si>
  <si>
    <t>MA023_SET5_CS25_186</t>
  </si>
  <si>
    <t>SET 5 PEZZI MAGLIA ALLENAMNETO HALFZIP</t>
  </si>
  <si>
    <t>LEG02_SET5_CS25_187</t>
  </si>
  <si>
    <t>SET 5 PEZZI LEGGINGS DONNA</t>
  </si>
  <si>
    <t>P005_SET5_CS25_188</t>
  </si>
  <si>
    <t>SET 5 PEZZI PANTA SLIM UNISEX</t>
  </si>
  <si>
    <t>CT02_SET10_CS25_189</t>
  </si>
  <si>
    <t>SET 10 PEZZI CASACCA DOUBLE</t>
  </si>
  <si>
    <t>CT01_SET10_CS25_190</t>
  </si>
  <si>
    <t>SET 10 PEZZI CASACCA ALLENAMENTO IN MESH</t>
  </si>
  <si>
    <t>C007_SET10_CS25_191</t>
  </si>
  <si>
    <t>SET 10 PAIA CALZE SPORT DA ALLENAMENTO</t>
  </si>
  <si>
    <t>GIN01_SET5_CS25_192</t>
  </si>
  <si>
    <t>SET 5 PAIA GINOCCHIERA LIGHT - JUNIOR</t>
  </si>
  <si>
    <t>PO-017454</t>
  </si>
  <si>
    <t>BAG0027_CS25_199</t>
  </si>
  <si>
    <t>BORSA MEDICA PER IL PRONTO INTERVENTO</t>
  </si>
  <si>
    <t>Sixtus Italia srl</t>
  </si>
  <si>
    <t>PO-017455</t>
  </si>
  <si>
    <t>7611MP_CS25_1</t>
  </si>
  <si>
    <t>SET DI 20 MAGLIE DA CALCIO PERSONALIZZABILI</t>
  </si>
  <si>
    <t>PO-017456</t>
  </si>
  <si>
    <t>FOL.6030.1_CS25_2</t>
  </si>
  <si>
    <t>PORTA SINGOLA MINICALCIO IN ACCIAIO CON RETE</t>
  </si>
  <si>
    <t>6033_CS25_3</t>
  </si>
  <si>
    <t>COPPIA DI PORTE DA CALCIO TRASPORTABILI</t>
  </si>
  <si>
    <t>6120_CS25_6</t>
  </si>
  <si>
    <t>COPPIA DI RETI DA CALCIO</t>
  </si>
  <si>
    <t>6800S_CS25_7</t>
  </si>
  <si>
    <t>PORTA CALCETTO SINGOLA IN ACCIAIO</t>
  </si>
  <si>
    <t>6820_CS25_8</t>
  </si>
  <si>
    <t>COPPIA DI RETI DA CALCETTO</t>
  </si>
  <si>
    <t>FOL.FM0001.1_CS25_10</t>
  </si>
  <si>
    <t>CARRELLO SEGNACAMPO A POMPA MANUALE</t>
  </si>
  <si>
    <t>7524_CS25_39</t>
  </si>
  <si>
    <t>RETE DA TENNIS SUPER TORNEO</t>
  </si>
  <si>
    <t>7520_CS25_40</t>
  </si>
  <si>
    <t>RETE DA TENNIS CON CAVO DI ACCIAIO</t>
  </si>
  <si>
    <t>5304_CS25_45</t>
  </si>
  <si>
    <t>IMPIANTO MINIVOLLEY</t>
  </si>
  <si>
    <t>4009_CS25_46</t>
  </si>
  <si>
    <t>COPPIA DI PROTEZIONI IMBOTTITE  MINIVOLLEY</t>
  </si>
  <si>
    <t>5020_CS25_47</t>
  </si>
  <si>
    <t>IMPIANTO DI PALLAVOLO A TRALICCIO</t>
  </si>
  <si>
    <t>5527_CS25_48</t>
  </si>
  <si>
    <t>COPPIA DI PROTEZIONI IMBOTTITE PER IMPIANTO VOLLEY</t>
  </si>
  <si>
    <t>5205_CS25_49</t>
  </si>
  <si>
    <t>RETE DA PALLAVOLO PESANTE</t>
  </si>
  <si>
    <t>5350_CS25_50</t>
  </si>
  <si>
    <t>RETE DA MINIVOLLEY</t>
  </si>
  <si>
    <t>2062_CS25_51</t>
  </si>
  <si>
    <t>COPPIA DI POLSIERE AD UNA FASCIA DA 500 GR CAD.</t>
  </si>
  <si>
    <t>FOL.4005.1_CS25_64</t>
  </si>
  <si>
    <t>COPPIA DI CANESTRI DA BASKET</t>
  </si>
  <si>
    <t>4230_CS25_65</t>
  </si>
  <si>
    <t>MEZZO IMPIANTO BASKET E MINIBASKET TRASPORTABILE</t>
  </si>
  <si>
    <t>8111_CS25_74</t>
  </si>
  <si>
    <t>SACCO BOXE DA 30 KG</t>
  </si>
  <si>
    <t>8151_CS25_75</t>
  </si>
  <si>
    <t>SACCO BOX CON PEDANA RIEMPIBILE</t>
  </si>
  <si>
    <t>8113_CS25_76</t>
  </si>
  <si>
    <t>SACCO BOXE DA 50 KG</t>
  </si>
  <si>
    <t>FOL.1183.1_CS25_79</t>
  </si>
  <si>
    <t>SET 10 PEZZI FUNICELLE PIOMBATE</t>
  </si>
  <si>
    <t>FOL.1505_CS25_80</t>
  </si>
  <si>
    <t>SET 5 PEZZI PALLE GINNASTICA RITMICA</t>
  </si>
  <si>
    <t>7903_CS25_91</t>
  </si>
  <si>
    <t>TENNIS TAVOLO PER INTERNO</t>
  </si>
  <si>
    <t>3020_CS25_104</t>
  </si>
  <si>
    <t>SET 10 PEZZI OSTACOLI OVER</t>
  </si>
  <si>
    <t>FOL.9311.1_CS25_108</t>
  </si>
  <si>
    <t>SET 5 PEZZI PALLE PSICOMOTORIE</t>
  </si>
  <si>
    <t>FOL.1377.1_CS25_109</t>
  </si>
  <si>
    <t>SET 10 PEZZI STUOIE</t>
  </si>
  <si>
    <t>FOL.1083_CS25_113</t>
  </si>
  <si>
    <t>SET 10 PEZZI CERCHI IN NYLON</t>
  </si>
  <si>
    <t>1201_CS25_118</t>
  </si>
  <si>
    <t>MATERASSO IN GOMMA ESPANSA</t>
  </si>
  <si>
    <t>1709_CS25_119</t>
  </si>
  <si>
    <t>TRAMPOLINO ELASTICO FISSO</t>
  </si>
  <si>
    <t>1037_CS25_150</t>
  </si>
  <si>
    <t>CARRELLO PORTA PALLONI IN ACCIAIO</t>
  </si>
  <si>
    <t>3602_CS25_158</t>
  </si>
  <si>
    <t>COPPIA RITTI PER SALTO IN ALTO</t>
  </si>
  <si>
    <t>9200_CS25_195</t>
  </si>
  <si>
    <t>LETTINO DA INFERMERIA</t>
  </si>
  <si>
    <t>9006_CS25_204</t>
  </si>
  <si>
    <t>PANCA DA SPOGLIATOIO 2 METRI</t>
  </si>
  <si>
    <t>PO-017460</t>
  </si>
  <si>
    <t>PO-017462</t>
  </si>
  <si>
    <t>BOXE05_CS25_77</t>
  </si>
  <si>
    <t>SACCO BOXE A PERA</t>
  </si>
  <si>
    <t>PS31244_CS25_88</t>
  </si>
  <si>
    <t>SET 4 PEZZI GYM BALL</t>
  </si>
  <si>
    <t>102S6_CS25_93</t>
  </si>
  <si>
    <t>SET 6 PEZZI RACCHETTE DA PING PONG</t>
  </si>
  <si>
    <t>040M_CS25_94</t>
  </si>
  <si>
    <t>60 PALLINE DA PING PONG IN BARATTOLO</t>
  </si>
  <si>
    <t>PS643P8_CS25_127</t>
  </si>
  <si>
    <t>SET 8 PEZZI MATERASSINO PIEGHEVOLE</t>
  </si>
  <si>
    <t>PFM006_CS25_128</t>
  </si>
  <si>
    <t>SET 20 PEZZI ELASTICI FITNESS</t>
  </si>
  <si>
    <t>PFM008_CS25_129</t>
  </si>
  <si>
    <t>SET 10 PEZZI STRETCH BAND</t>
  </si>
  <si>
    <t>PFM009_CS25_130</t>
  </si>
  <si>
    <t>SET PESI (20 KG)</t>
  </si>
  <si>
    <t>PFM010_CS25_131</t>
  </si>
  <si>
    <t>SET 2 PEZZI BALANCE BOARD CON MANIGLIE</t>
  </si>
  <si>
    <t>MJ-SW001-04_CS25_155</t>
  </si>
  <si>
    <t>SET 4 PEZZI CRONOMETRO IMPERMEABILE</t>
  </si>
  <si>
    <t>MJ-SW003_CS25_156</t>
  </si>
  <si>
    <t>CRONOMETRO IN ACCIAIO ALTA PRECISIONE</t>
  </si>
  <si>
    <t>3CAM 2002_CS25_157</t>
  </si>
  <si>
    <t>ACTION CAM</t>
  </si>
  <si>
    <t>PFM005_CS25_160</t>
  </si>
  <si>
    <t>PANCA DA PESISTICA E PER ADDOMINALI</t>
  </si>
  <si>
    <t>PFM004_CS25_161</t>
  </si>
  <si>
    <t>TAPIS ROULANT</t>
  </si>
  <si>
    <t>PFM40_CS25_162</t>
  </si>
  <si>
    <t>POWER TOWER</t>
  </si>
  <si>
    <t>RPC 50_CS25_205</t>
  </si>
  <si>
    <t>PROLUNGA CON AVVOLGICAVO</t>
  </si>
  <si>
    <t>FDG5013_CS25_206</t>
  </si>
  <si>
    <t>VALIGETTA ATTREZZI</t>
  </si>
  <si>
    <t>FDR 1800_CS25_207</t>
  </si>
  <si>
    <t>SCAFFALE</t>
  </si>
  <si>
    <t>SW00008_CS25_223</t>
  </si>
  <si>
    <t>DISPENSER</t>
  </si>
  <si>
    <t>SWK 2510WH_CS25_224</t>
  </si>
  <si>
    <t>ELECTRIC KETTLE</t>
  </si>
  <si>
    <t>PO-017466</t>
  </si>
  <si>
    <t>PO-017473</t>
  </si>
  <si>
    <t>LMA-B01-SP101</t>
  </si>
  <si>
    <t>Marvel Discs-Bistek 2026</t>
  </si>
  <si>
    <t>LMA-B01-SP102</t>
  </si>
  <si>
    <t>Marvel Album-Bistek 2026</t>
  </si>
  <si>
    <t>LMA-B01-SP103</t>
  </si>
  <si>
    <t>Marvel Disc holder-Bistek 2026</t>
  </si>
  <si>
    <t>PO-017477</t>
  </si>
  <si>
    <t>612471</t>
  </si>
  <si>
    <t>Hardside luggage carry-on 54cm, 35l</t>
  </si>
  <si>
    <t>Victorinox AG</t>
  </si>
  <si>
    <t>PO-017478</t>
  </si>
  <si>
    <t>LMI-E01-BK106</t>
  </si>
  <si>
    <t>Minecraft water bottle Pig</t>
  </si>
  <si>
    <t>LMI-E01-BK107</t>
  </si>
  <si>
    <t>Minecraft water bottle Creeper</t>
  </si>
  <si>
    <t>LMI-E01-BK111</t>
  </si>
  <si>
    <t>LMI-E01-BK112</t>
  </si>
  <si>
    <t>PO-017481</t>
  </si>
  <si>
    <t>LMI-E01-PLU107</t>
  </si>
  <si>
    <t>LMI-E01-TX101</t>
  </si>
  <si>
    <t>PO-017483</t>
  </si>
  <si>
    <t>29-10-2025</t>
  </si>
  <si>
    <t>PO-017484</t>
  </si>
  <si>
    <t>PO-017485</t>
  </si>
  <si>
    <t>PO-017487</t>
  </si>
  <si>
    <t>WV2000504XB</t>
  </si>
  <si>
    <t>PALLONE PROTOUR</t>
  </si>
  <si>
    <t>WTB1417XB05 PIECE</t>
  </si>
  <si>
    <t>PALLONE DA BASKET MVP, MISURA 5</t>
  </si>
  <si>
    <t>WTB1419XB07 PIECE</t>
  </si>
  <si>
    <t>PALLONE DA BASKET MVP, MISURA 7</t>
  </si>
  <si>
    <t>REACTION</t>
  </si>
  <si>
    <t>PALLONE DA MINIBASKET</t>
  </si>
  <si>
    <t>PO-017491</t>
  </si>
  <si>
    <t>PO-017492</t>
  </si>
  <si>
    <t>PO-017493</t>
  </si>
  <si>
    <t>PO-017494</t>
  </si>
  <si>
    <t>PO-017495</t>
  </si>
  <si>
    <t>PO-017496</t>
  </si>
  <si>
    <t>PO-017497</t>
  </si>
  <si>
    <t>PO-017498</t>
  </si>
  <si>
    <t>PO-017500</t>
  </si>
  <si>
    <t>27-11-2025</t>
  </si>
  <si>
    <t>LPY-E01-ST411</t>
  </si>
  <si>
    <t>PO-017501</t>
  </si>
  <si>
    <t>PO-017502</t>
  </si>
  <si>
    <t>PO-017503</t>
  </si>
  <si>
    <t>PO-017504</t>
  </si>
  <si>
    <t>PO-017505</t>
  </si>
  <si>
    <t>PO-017506</t>
  </si>
  <si>
    <t>PO-017507</t>
  </si>
  <si>
    <t>PO-017508</t>
  </si>
  <si>
    <t>PO-017509</t>
  </si>
  <si>
    <t>PO-017510</t>
  </si>
  <si>
    <t>PO-017517</t>
  </si>
  <si>
    <t>04-11-2025</t>
  </si>
  <si>
    <t>PO-017524</t>
  </si>
  <si>
    <t>05-11-2025</t>
  </si>
  <si>
    <t>PO-017530</t>
  </si>
  <si>
    <t>06-11-2025</t>
  </si>
  <si>
    <t>PO-017531</t>
  </si>
  <si>
    <t>PO-017532</t>
  </si>
  <si>
    <t>PO-017533</t>
  </si>
  <si>
    <t>PO-017534</t>
  </si>
  <si>
    <t>PO-017535</t>
  </si>
  <si>
    <t>PO-017537</t>
  </si>
  <si>
    <t>LDSY-B01-SP102</t>
  </si>
  <si>
    <t>Disney Magic Kitchen Flowpack with 4 stickers</t>
  </si>
  <si>
    <t>07-11-2025</t>
  </si>
  <si>
    <t>Hung Hing Off-Set Printing</t>
  </si>
  <si>
    <t>PO-017538</t>
  </si>
  <si>
    <t>LCS-E01-BQ114</t>
  </si>
  <si>
    <t>Veggie Grill Basket</t>
  </si>
  <si>
    <t>PO-017545</t>
  </si>
  <si>
    <t>10-11-2025</t>
  </si>
  <si>
    <t>PO-017546</t>
  </si>
  <si>
    <t>11-11-2025</t>
  </si>
  <si>
    <t>PO-017547</t>
  </si>
  <si>
    <t>PO-017550</t>
  </si>
  <si>
    <t>12-11-2025</t>
  </si>
  <si>
    <t>PO-017554</t>
  </si>
  <si>
    <t>PO-017557</t>
  </si>
  <si>
    <t>LDY-U01-SP102</t>
  </si>
  <si>
    <t>Disney X Loblaw 3.0 Stickerspack for free FR</t>
  </si>
  <si>
    <t>PO-017558</t>
  </si>
  <si>
    <t>LDY-U01-SP202</t>
  </si>
  <si>
    <t>Disney X Loblaw 3.0 Album for stickers FR</t>
  </si>
  <si>
    <t>PO-017559</t>
  </si>
  <si>
    <t>LDY-U01-SP201</t>
  </si>
  <si>
    <t>Disney X Loblaw 3.0 Album for stickers EN</t>
  </si>
  <si>
    <t>PO-017560</t>
  </si>
  <si>
    <t>PO-017561</t>
  </si>
  <si>
    <t>PO-017562</t>
  </si>
  <si>
    <t>PO-017563</t>
  </si>
  <si>
    <t>PO-017564</t>
  </si>
  <si>
    <t>LDY-U01-SP101</t>
  </si>
  <si>
    <t>Disney X Loblaw 3.0 Stickerspack for free EN</t>
  </si>
  <si>
    <t>PO-017565</t>
  </si>
  <si>
    <t>PO-017566</t>
  </si>
  <si>
    <t>PO-017567</t>
  </si>
  <si>
    <t>PO-017568</t>
  </si>
  <si>
    <t>PO-017569</t>
  </si>
  <si>
    <t>21-11-2025</t>
  </si>
  <si>
    <t>PO-017577</t>
  </si>
  <si>
    <t>LWE-E01-LU112</t>
  </si>
  <si>
    <t>Cabin trolley</t>
  </si>
  <si>
    <t>13-11-2025</t>
  </si>
  <si>
    <t>PO-017578</t>
  </si>
  <si>
    <t>PO-017579</t>
  </si>
  <si>
    <t>PO-017583</t>
  </si>
  <si>
    <t>PO-018714</t>
  </si>
  <si>
    <t>14-11-2025</t>
  </si>
  <si>
    <t>PO-019733</t>
  </si>
  <si>
    <t>LDY-U01-SP103</t>
  </si>
  <si>
    <t>Disney X Loblaw 3.0 Stickerpack free EN Esso</t>
  </si>
  <si>
    <t>17-11-2025</t>
  </si>
  <si>
    <t>PO-019734</t>
  </si>
  <si>
    <t>LDY-U01-SP104</t>
  </si>
  <si>
    <t>Disney X Loblaw 3.0 Stickerpack free FR Esso</t>
  </si>
  <si>
    <t>26-11-2025</t>
  </si>
  <si>
    <t>28-11-2025</t>
  </si>
  <si>
    <t>PO-019915</t>
  </si>
  <si>
    <t>19-11-2025</t>
  </si>
  <si>
    <t>PO-019917</t>
  </si>
  <si>
    <t>PO-019918</t>
  </si>
  <si>
    <t>01-12-2025</t>
  </si>
  <si>
    <t>02-12-2025</t>
  </si>
  <si>
    <t>05-12-2025</t>
  </si>
  <si>
    <t>PO-019931</t>
  </si>
  <si>
    <t>KN0722</t>
  </si>
  <si>
    <t>Vegetable Knife 80mm</t>
  </si>
  <si>
    <t>KN0724</t>
  </si>
  <si>
    <t>KN0729</t>
  </si>
  <si>
    <t>Chef´s Knife Compact 150mm</t>
  </si>
  <si>
    <t>KN0725</t>
  </si>
  <si>
    <t>KN0727</t>
  </si>
  <si>
    <t>KN0728</t>
  </si>
  <si>
    <t>KN0730</t>
  </si>
  <si>
    <t>Steak knife (2pcs set)</t>
  </si>
  <si>
    <t>PO-019960</t>
  </si>
  <si>
    <t>PO-019966</t>
  </si>
  <si>
    <t>PO-019967</t>
  </si>
  <si>
    <t>PO-019969</t>
  </si>
  <si>
    <t>PO-019970</t>
  </si>
  <si>
    <t>LPE-E01-OW108</t>
  </si>
  <si>
    <t>Cereal bowl 13cm set/2</t>
  </si>
  <si>
    <t>08-12-2025</t>
  </si>
  <si>
    <t>PO-019973</t>
  </si>
  <si>
    <t>PO-019976</t>
  </si>
  <si>
    <t>10-12-2025</t>
  </si>
  <si>
    <t>12-12-2025</t>
  </si>
  <si>
    <t>PO-019986</t>
  </si>
  <si>
    <t>PO-019991</t>
  </si>
  <si>
    <t>PO-019992</t>
  </si>
  <si>
    <t>PO-019996</t>
  </si>
  <si>
    <t>PO-019997</t>
  </si>
  <si>
    <t>PO-019998</t>
  </si>
  <si>
    <t>PO-020014</t>
  </si>
  <si>
    <t>PO-020015</t>
  </si>
  <si>
    <t>PO-020028</t>
  </si>
  <si>
    <t>03-12-2025</t>
  </si>
  <si>
    <t>PO-020029</t>
  </si>
  <si>
    <t>PO-020030</t>
  </si>
  <si>
    <t>PO-020031</t>
  </si>
  <si>
    <t>PO-020037</t>
  </si>
  <si>
    <t>PO-020038</t>
  </si>
  <si>
    <t>PO-020039</t>
  </si>
  <si>
    <t>PO-020040</t>
  </si>
  <si>
    <t>11-12-2025</t>
  </si>
  <si>
    <t>PO-020056</t>
  </si>
  <si>
    <t>LDY-E01-SP106</t>
  </si>
  <si>
    <t>Disney Conad IT NESpack with 4 stickers + 1 BP</t>
  </si>
  <si>
    <t>04-12-2025</t>
  </si>
  <si>
    <t>LDY-E01-SP107</t>
  </si>
  <si>
    <t>Disney Conad IT Sticker album</t>
  </si>
  <si>
    <t>PO-020057</t>
  </si>
  <si>
    <t>PO-020058</t>
  </si>
  <si>
    <t>PO-020061</t>
  </si>
  <si>
    <t>PO-020063</t>
  </si>
  <si>
    <t>PO-020065</t>
  </si>
  <si>
    <t>PO-020066</t>
  </si>
  <si>
    <t>PO-020067</t>
  </si>
  <si>
    <t>PO-020068</t>
  </si>
  <si>
    <t>PO-020069</t>
  </si>
  <si>
    <t>PO-020070</t>
  </si>
  <si>
    <t>PO-020071</t>
  </si>
  <si>
    <t>PO-020072</t>
  </si>
  <si>
    <t>PO-020073</t>
  </si>
  <si>
    <t>PO-020074</t>
  </si>
  <si>
    <t>PO-020075</t>
  </si>
  <si>
    <t>PO-020076</t>
  </si>
  <si>
    <t>PO-020077</t>
  </si>
  <si>
    <t>PO-020078</t>
  </si>
  <si>
    <t>PO-020082</t>
  </si>
  <si>
    <t>PO-011304</t>
  </si>
  <si>
    <t>PO-020087</t>
  </si>
  <si>
    <t>PO-020089</t>
  </si>
  <si>
    <t>PO-020091</t>
  </si>
  <si>
    <t>15-12-2025</t>
  </si>
  <si>
    <t>PO-020104</t>
  </si>
  <si>
    <t>PO-020106</t>
  </si>
  <si>
    <t>PO-020112</t>
  </si>
  <si>
    <t>LDSY-E01-SP103</t>
  </si>
  <si>
    <t>Disney paper discs ø45mm</t>
  </si>
  <si>
    <t>LDSY-E01-SP202</t>
  </si>
  <si>
    <t>Disney album for paper discs</t>
  </si>
  <si>
    <t>PO-020113</t>
  </si>
  <si>
    <t>PO-020116</t>
  </si>
  <si>
    <t>LCS-E01-LU111</t>
  </si>
  <si>
    <t>SS bottle 500ml</t>
  </si>
  <si>
    <t>PO-020117</t>
  </si>
  <si>
    <t>PO-020118</t>
  </si>
  <si>
    <t>PO-020119</t>
  </si>
  <si>
    <t>PO-020120</t>
  </si>
  <si>
    <t>LDSY-E01-SP104</t>
  </si>
  <si>
    <t>Disney paper discs ø45mm - 3 discs per flowpack</t>
  </si>
  <si>
    <t>PO-020123</t>
  </si>
  <si>
    <t>PO-020124</t>
  </si>
  <si>
    <t>17-12-2025</t>
  </si>
  <si>
    <t>PO-020141</t>
  </si>
  <si>
    <t>PO-020142</t>
  </si>
  <si>
    <t>PO-020143</t>
  </si>
  <si>
    <t>PO-020148</t>
  </si>
  <si>
    <t>KN0494-ISB</t>
  </si>
  <si>
    <t>PO-020149</t>
  </si>
  <si>
    <t>PO-020151</t>
  </si>
  <si>
    <t>PO-020152</t>
  </si>
  <si>
    <t>PO-020153</t>
  </si>
  <si>
    <t>PO-020154</t>
  </si>
  <si>
    <t>PO-020155</t>
  </si>
  <si>
    <t>PO-020156</t>
  </si>
  <si>
    <t>PO-020157</t>
  </si>
  <si>
    <t>16-12-2025</t>
  </si>
  <si>
    <t>PO-020177</t>
  </si>
  <si>
    <t>PO-020179</t>
  </si>
  <si>
    <t>LCS-A01-ST102</t>
  </si>
  <si>
    <t>Mini Glass Rectangular Container with Lid</t>
  </si>
  <si>
    <t>LCS-A01-ST107</t>
  </si>
  <si>
    <t>Snap Lid To-Go Container</t>
  </si>
  <si>
    <t>LCS-A01-ST113</t>
  </si>
  <si>
    <t>Small Glass Container with Lid</t>
  </si>
  <si>
    <t>LCS-A01-ST112</t>
  </si>
  <si>
    <t>Glass Cookware Dish with Lid</t>
  </si>
  <si>
    <t>LCS-A01-ST101-A</t>
  </si>
  <si>
    <t>LCS-A01-ST103-A</t>
  </si>
  <si>
    <t>LCS-A01-ST105-A</t>
  </si>
  <si>
    <t>PO-020180</t>
  </si>
  <si>
    <t>23-12-2025</t>
  </si>
  <si>
    <t>PO-020181</t>
  </si>
  <si>
    <t>LPE-E01-OW109 - KIT</t>
  </si>
  <si>
    <t>Sauté Pan</t>
  </si>
  <si>
    <t>18-12-2025</t>
  </si>
  <si>
    <t>PO-020189</t>
  </si>
  <si>
    <t>LDS-E01-MAF101</t>
  </si>
  <si>
    <t>Disney Plush Mickey and Friends Mickey</t>
  </si>
  <si>
    <t>LDS-E01-MAF102</t>
  </si>
  <si>
    <t>Disney Plush Mickey and Friends Minnie</t>
  </si>
  <si>
    <t>LDS-E01-MAF103</t>
  </si>
  <si>
    <t>Disney Plush Mickey and Friends Donald</t>
  </si>
  <si>
    <t>LDSY-E01-TO122</t>
  </si>
  <si>
    <t>Disney Elsa plush</t>
  </si>
  <si>
    <t>LDY-E01-TO101</t>
  </si>
  <si>
    <t>Plush Disney Classics Stitch</t>
  </si>
  <si>
    <t>LPX-E01-TO108</t>
  </si>
  <si>
    <t>Plush Disney Pixar McQueen</t>
  </si>
  <si>
    <t>29-12-2025</t>
  </si>
  <si>
    <t>PO-020203</t>
  </si>
  <si>
    <t>LDSY-E01-BAG101</t>
  </si>
  <si>
    <t>Disney Mickey bag Wellness</t>
  </si>
  <si>
    <t>PO-020205</t>
  </si>
  <si>
    <t>LDSY-E01-TO201</t>
  </si>
  <si>
    <t>Guest towel 2pc set - 40x60cm (1x milk, 1x indigo)</t>
  </si>
  <si>
    <t>Oguzhan Tekstil San. VE TIC. A.S.</t>
  </si>
  <si>
    <t>LDSY-E01-TO202</t>
  </si>
  <si>
    <t>Hand towel 2pc set - 60x100cm (1x milk, 1x indigo)</t>
  </si>
  <si>
    <t>LDSY-E01-TO203</t>
  </si>
  <si>
    <t>Bath towel 80*150 cm - 76x150cm (milk)</t>
  </si>
  <si>
    <t>LDSY-E01-TO204</t>
  </si>
  <si>
    <t>Bath towel 80*150 cm - 76x150cm (indigo)</t>
  </si>
  <si>
    <t>LDSY-E01-TO205</t>
  </si>
  <si>
    <t>Bathmat - 50x80cm  (indigo)</t>
  </si>
  <si>
    <t>LDSY-E01-TO206</t>
  </si>
  <si>
    <t>Bathrobe S/M (milk)</t>
  </si>
  <si>
    <t>LDSY-E01-TO207</t>
  </si>
  <si>
    <t>Bathrobe L/XL (indigo)</t>
  </si>
  <si>
    <t>PO-020204</t>
  </si>
  <si>
    <t>LDSY-E01-TO208</t>
  </si>
  <si>
    <t>Kids poncho - 70x70cm</t>
  </si>
  <si>
    <t>LDSY-E01-TO209</t>
  </si>
  <si>
    <t>Turban - 58x27cm (indigo)</t>
  </si>
  <si>
    <t>PO-020207</t>
  </si>
  <si>
    <t>28-12-2025</t>
  </si>
  <si>
    <t>PO-020208</t>
  </si>
  <si>
    <t>PO-020210</t>
  </si>
  <si>
    <t>2609256F56</t>
  </si>
  <si>
    <t>31-piece Screwdriver Bit &amp; Ratchet Set</t>
  </si>
  <si>
    <t>0603672708</t>
  </si>
  <si>
    <t>Zamo III laser measure incl. wheel adapter</t>
  </si>
  <si>
    <t>0603354007</t>
  </si>
  <si>
    <t>PSM 80 A - Multisander</t>
  </si>
  <si>
    <t>0603103003</t>
  </si>
  <si>
    <t>UniversalMulti 12</t>
  </si>
  <si>
    <t>06008B5100</t>
  </si>
  <si>
    <t>Handheld manual loppers -</t>
  </si>
  <si>
    <t>2607011432</t>
  </si>
  <si>
    <t>38-piece X-Line drill and screwdriver set</t>
  </si>
  <si>
    <t>06008B5000</t>
  </si>
  <si>
    <t>Handheld manual secateurs</t>
  </si>
  <si>
    <t>PO-020212</t>
  </si>
  <si>
    <t>LDSY-E01-DW114</t>
  </si>
  <si>
    <t>Disney Mickey and Friends serving plate 1pc</t>
  </si>
  <si>
    <t>31-12-2025</t>
  </si>
  <si>
    <t>PO-020213</t>
  </si>
  <si>
    <t>PO-020214</t>
  </si>
  <si>
    <t>LDSY-E01-DW110</t>
  </si>
  <si>
    <t>Disney Mickey and Friends 2pc set mugs 300ml</t>
  </si>
  <si>
    <t>LDSY-E01-DW111</t>
  </si>
  <si>
    <t>Disney Mickey and Friends 2pc set bowls 520ml</t>
  </si>
  <si>
    <t>LDSY-E01-DW112</t>
  </si>
  <si>
    <t>Disney Mickey and Friends 2pc set breakfast plate 21cm</t>
  </si>
  <si>
    <t>LDSY-E01-DW113</t>
  </si>
  <si>
    <t>Disney Mickey and Friends 2pc set dinner plate 26cm</t>
  </si>
  <si>
    <t>LDSY-E01-DW115</t>
  </si>
  <si>
    <t>Disney Mickey and Friends ramekin 2pc set</t>
  </si>
  <si>
    <t>PO-020215</t>
  </si>
  <si>
    <t>Row Labels</t>
  </si>
  <si>
    <t>Grand Total</t>
  </si>
  <si>
    <t>Sum of Quantity</t>
  </si>
  <si>
    <t>Item Description2</t>
  </si>
  <si>
    <t>Details for Sum of Quantity - Supplier Site: Supplier Site Name: Sun Trend International Limited</t>
  </si>
  <si>
    <t>Details for Sum of Quantity - Supplier Site: Supplier Site Name: WUXI CHUANGWEN TEXTILE TECHNOLOGY CO</t>
  </si>
  <si>
    <t>Details for Sum of Quantity - Supplier Site: Supplier Site Name: Hung Hing Off-Set Printing</t>
  </si>
  <si>
    <t>Details for Sum of Quantity - Supplier Site: Supplier Site Name: Wing Mau Products Development Ltd</t>
  </si>
  <si>
    <t>Details for Sum of Quantity - Supplier Site: Supplier Site Name: Loko Verpakkingen</t>
  </si>
  <si>
    <t>Details for Sum of Quantity - Supplier Site: Supplier Site Name: Daneels Media Group</t>
  </si>
  <si>
    <t>Details for Sum of Quantity - Supplier Site: Supplier Site Name: Edis - Cartotecnica Sinigaglia</t>
  </si>
  <si>
    <t>Sourcing manager</t>
  </si>
  <si>
    <t>Dennus</t>
  </si>
  <si>
    <t>Ada or Katrina</t>
  </si>
  <si>
    <t>Katrina or Winnie</t>
  </si>
  <si>
    <t>?</t>
  </si>
  <si>
    <t>Benny</t>
  </si>
  <si>
    <t>Category</t>
  </si>
  <si>
    <t>Echo</t>
  </si>
  <si>
    <t>Ada</t>
  </si>
  <si>
    <t>Theo</t>
  </si>
  <si>
    <t>Supply chain manager</t>
  </si>
  <si>
    <t>Willemijn</t>
  </si>
  <si>
    <t>Esther</t>
  </si>
  <si>
    <t>Janson</t>
  </si>
  <si>
    <t>Barbara</t>
  </si>
  <si>
    <t>Karen</t>
  </si>
  <si>
    <t>Details for Sum of Quantity - Supplier Site: Supplier Site Name: Rotolito Spa</t>
  </si>
  <si>
    <t>Product</t>
  </si>
  <si>
    <t>Rafael</t>
  </si>
  <si>
    <t>Steven</t>
  </si>
  <si>
    <t>Plush</t>
  </si>
  <si>
    <t>Alu bakeware</t>
  </si>
  <si>
    <t>Luggage</t>
  </si>
  <si>
    <t>Bottle</t>
  </si>
  <si>
    <t>Plastic storage</t>
  </si>
  <si>
    <t>Towels</t>
  </si>
  <si>
    <t>Cards</t>
  </si>
  <si>
    <t>Plush and Fixeez</t>
  </si>
  <si>
    <t>Albums and cardboard builders</t>
  </si>
  <si>
    <t>Details for Sum of Quantity - Supplier Site: Supplier Site Name: Paqt BV - Esveco Print B.V</t>
  </si>
  <si>
    <t>Knives</t>
  </si>
  <si>
    <t>Details for Sum of Quantity - Supplier Site: Supplier Site Name: GLOBETRADE DELUCO NV - USD</t>
  </si>
  <si>
    <t>Storage</t>
  </si>
  <si>
    <t>Ceramics</t>
  </si>
  <si>
    <t>Pyrex</t>
  </si>
  <si>
    <t>Wreaths</t>
  </si>
  <si>
    <t>Glassware</t>
  </si>
  <si>
    <t>Ovenware</t>
  </si>
  <si>
    <t>Cast iron</t>
  </si>
  <si>
    <t>Garden</t>
  </si>
  <si>
    <t>COOP kids</t>
  </si>
  <si>
    <t>Seven eleven</t>
  </si>
  <si>
    <t>Knifeblock</t>
  </si>
  <si>
    <t>Cookware</t>
  </si>
  <si>
    <t>DIY</t>
  </si>
  <si>
    <t>Album</t>
  </si>
  <si>
    <t>Rens</t>
  </si>
  <si>
    <t>Kitchen utensils</t>
  </si>
  <si>
    <t>Italy community</t>
  </si>
  <si>
    <t>Umbrella</t>
  </si>
  <si>
    <t>Cutlery</t>
  </si>
  <si>
    <t>Games</t>
  </si>
  <si>
    <t>Cups</t>
  </si>
  <si>
    <t>Glassware double walled</t>
  </si>
  <si>
    <t>Toys</t>
  </si>
  <si>
    <t>Stainless steel utensils</t>
  </si>
  <si>
    <t>Curtis stone caps?</t>
  </si>
  <si>
    <t>Details for Sum of Quantity - Supplier Site: Supplier Site Name: Forma Italia</t>
  </si>
  <si>
    <t>Christmas bells</t>
  </si>
  <si>
    <t>Glassware Ichendorf</t>
  </si>
  <si>
    <t>Album Tagz</t>
  </si>
  <si>
    <t xml:space="preserve">NES pack 4 cards &amp; 1 fixee </t>
  </si>
  <si>
    <t>Details for Sum of Quantity - Supplier Site: Supplier Site Name: Paqt BV</t>
  </si>
  <si>
    <t>Natgeo album</t>
  </si>
  <si>
    <t>Paw patrol album</t>
  </si>
  <si>
    <t>Disney album</t>
  </si>
  <si>
    <t>Column1</t>
  </si>
  <si>
    <t>4card + 2 stickers</t>
  </si>
  <si>
    <t>4 +</t>
  </si>
  <si>
    <t>4+</t>
  </si>
  <si>
    <t>Morrisons cards in flowpack</t>
  </si>
  <si>
    <t>Stickerpack 4 stickers flowpack</t>
  </si>
  <si>
    <t>NES Stickerpack 4 stickers</t>
  </si>
  <si>
    <t>NES Cardspack 2 cards</t>
  </si>
  <si>
    <t>NES 4 cards 2 stickers</t>
  </si>
  <si>
    <t>NES Monopoly pack 2 cards</t>
  </si>
  <si>
    <t>NES Natgeo 4 cards pack</t>
  </si>
  <si>
    <t>NES Paw patrol stickers</t>
  </si>
  <si>
    <t>NES Starwars 3 cardspack</t>
  </si>
  <si>
    <t>Entertainment</t>
  </si>
  <si>
    <t>Lifestyle</t>
  </si>
  <si>
    <t>PCC</t>
  </si>
  <si>
    <t>Total emissions</t>
  </si>
  <si>
    <t>Details for Sum of Quantity - Supplier Site: Supplier Site Name: Product Development Partners Ltd</t>
  </si>
  <si>
    <t>Details for Sum of Quantity - Supplier Site: Supplier Site Name: Xiamen Newgate Outdoor Products</t>
  </si>
  <si>
    <t>Details for Sum of Quantity - Supplier Site: Supplier Site Name: Shantou Dihua Trading Co Ltd</t>
  </si>
  <si>
    <t>Details for Sum of Quantity - Supplier Site: Supplier Site Name: Eastcolight</t>
  </si>
  <si>
    <t>Details for Sum of Quantity - Supplier Site: Supplier Site Name: Gloria Fortune Enterprises Holdings Ltd</t>
  </si>
  <si>
    <t>Details for Sum of Quantity - Supplier Site: Supplier Site Name: Aurora World HK Ltd.,</t>
  </si>
  <si>
    <t>Details for Sum of Quantity - Supplier Site: Supplier Site Name: Zhejiang Feijian Industry &amp; Trade Co Ltd</t>
  </si>
  <si>
    <t>Details for Sum of Quantity - Supplier Site: Supplier Site Name: Shanghai Gravim Industrial Co.,Ltd</t>
  </si>
  <si>
    <t>Details for Sum of Quantity - Supplier Site: Supplier Site Name: RONG LIN WAH INDUSTRIAL CO., LTD</t>
  </si>
  <si>
    <t>Details for Sum of Quantity - Supplier Site: Supplier Site Name: Shulopal (Guangzhou) Co., Ltd.</t>
  </si>
  <si>
    <t>Details for Sum of Quantity - Supplier Site: Supplier Site Name: Meridian International Ltd.</t>
  </si>
  <si>
    <t>Details for Sum of Quantity - Supplier Site: Supplier Site Name: Yongkang Xinduo Cups Co Ltd</t>
  </si>
  <si>
    <t>Details for Sum of Quantity - Supplier Site: Supplier Site Name: Sun Hing Printing Company Limited</t>
  </si>
  <si>
    <t>Details for Sum of Quantity - Supplier Site: Supplier Site Name: Shaoxingshi Shangyu Heng Dun</t>
  </si>
  <si>
    <t>Details for Sum of Quantity - Supplier Site: Supplier Site Name: Hasbro Consumer Products Licensing Ltd</t>
  </si>
  <si>
    <t>Details for Sum of Quantity - Supplier Site: Supplier Site Name: Prolific Industrial Limited</t>
  </si>
  <si>
    <t>Details for Sum of Quantity - Supplier Site: Supplier Site Name: Ningbo Zhenhai Kylin Craft Article Co., Ltd</t>
  </si>
  <si>
    <t>Details for Sum of Quantity - Supplier Site: Supplier Site Name: Lianyungang Binli Manufacture Co., Ltd</t>
  </si>
  <si>
    <t>Details for Sum of Quantity - Supplier Site: Supplier Site Name: Xiamen Tuzh Umbrella Co., Ltd</t>
  </si>
  <si>
    <t xml:space="preserve"> </t>
  </si>
  <si>
    <t>Packaging</t>
  </si>
  <si>
    <t>Polybag for outercarton</t>
  </si>
  <si>
    <t>Paper hangtag with plastic connector</t>
  </si>
  <si>
    <t>Cardboard giftbox</t>
  </si>
  <si>
    <t>No packaging</t>
  </si>
  <si>
    <t>Paper flowpack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</si>
</sst>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b/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0" fillId="4" borderId="0" xfId="0" applyFill="1" applyAlignment="1">
      <alignment horizontal="left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3" xfId="0" applyBorder="1"/>
  </cellXfs>
  <cellStyles count="1">
    <cellStyle name="Normal" xfId="0" builtinId="0"/>
  </cellStyles>
  <dxfs count="40"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on van Dok" refreshedDate="46043.704500231484" createdVersion="8" refreshedVersion="8" minRefreshableVersion="3" recordCount="2232" xr:uid="{7AC24C43-27A4-4964-9519-79CD10AD7985}">
  <cacheSource type="worksheet">
    <worksheetSource ref="A1:I2233" sheet="ESG - Order Quantities 2025"/>
  </cacheSource>
  <cacheFields count="9">
    <cacheField name="Purchase Order  Number" numFmtId="0">
      <sharedItems/>
    </cacheField>
    <cacheField name="Item Being Procured: Item Number" numFmtId="0">
      <sharedItems count="1366">
        <s v="KU0307"/>
        <s v="LMN-E01-OW107"/>
        <s v="LMN-E01-OW101"/>
        <s v="LMI-E01-PLU101"/>
        <s v="LMI-E01-PLU102"/>
        <s v="LMI-E01-PLU103"/>
        <s v="LMI-E01-PLU104"/>
        <s v="LMI-E01-PLU105"/>
        <s v="LMI-E01-PLU106"/>
        <s v="LBD-E01-GA102"/>
        <s v="LBD-E01-GA104"/>
        <s v="LBD-E01-GA110"/>
        <s v="7570_38"/>
        <s v="HT3911_41"/>
        <s v="P2I230020_128"/>
        <s v="P2I200670_129"/>
        <s v="13302_176"/>
        <s v="08012_180"/>
        <s v="C21031008_87"/>
        <s v="C21031013_92"/>
        <s v="C21031015_94"/>
        <s v="C2103074_174"/>
        <s v="C21031005_187"/>
        <s v="AQFIN-C38_113"/>
        <s v="AQFIN-C42_114"/>
        <s v="420977_20"/>
        <s v="85518605_22"/>
        <s v="PAL026_12"/>
        <s v="PAL026_13"/>
        <s v="81311405_26"/>
        <s v="RK05_47"/>
        <s v="C003_69"/>
        <s v="CT01_152"/>
        <s v="CT02_153"/>
        <s v="B041_166"/>
        <s v="B081_167"/>
        <s v="8-1281215055_108"/>
        <s v="6554_146"/>
        <s v="5050_D_159"/>
        <s v="PS31244_73"/>
        <s v="PS643P8_131"/>
        <s v="PFM006_132"/>
        <s v="PFM007_133"/>
        <s v="PFM008_134"/>
        <s v="SET2BALANCE_136"/>
        <s v="MJ-SW001-04_172"/>
        <s v="6800S_3"/>
        <s v="6405_17"/>
        <s v="5205_58"/>
        <s v="2062_60"/>
        <s v="1201_71"/>
        <s v="1576_74"/>
        <s v="8111_79"/>
        <s v="7010_86"/>
        <s v="9429G_121"/>
        <s v="6440_122"/>
        <s v="FOL.1080.1_123"/>
        <s v="FOL.6457.1_124"/>
        <s v="FOL.1377.1_125"/>
        <s v="6409_164"/>
        <s v="1037_169"/>
        <s v="9006_177"/>
        <s v="LKR-E01-ST104"/>
        <s v="LKR-E01-ST105"/>
        <s v="LKR-E01-ST106"/>
        <s v="LKR-E01-ST103"/>
        <s v="LKR-E01-ST107"/>
        <s v="LKR-E02-ST116 - 23433"/>
        <s v="LKR-E01-ST102"/>
        <s v="P2I800130_139"/>
        <s v="WTH01020XB"/>
        <s v="WZ3018703XB7"/>
        <s v="WZ3018703XB5"/>
        <s v="KN0674"/>
        <s v="KN0709"/>
        <s v="LKR-E01-CW301"/>
        <s v="LKR-E01-CW303"/>
        <s v="LKR-E01-CW304"/>
        <s v="LKR-E01-CW305"/>
        <s v="LKR-E01-CW308"/>
        <s v="LKR-E01-CW309"/>
        <s v="LKR-E01-CW310"/>
        <s v="LBD-E01-GA103"/>
        <s v="LPE-E01-KU103"/>
        <s v="CW0620"/>
        <s v="LBD-E01-GA101"/>
        <s v="LBD-E01-GA109"/>
        <s v="LPE-E01-OW102"/>
        <s v="LPE-E01-OW104"/>
        <s v="LMI-E01-LG101"/>
        <s v="LBD-E01-GA107"/>
        <s v="LBD-E01-GA108"/>
        <s v="LBD-E01-GA111"/>
        <s v="0603264561"/>
        <s v="1600A02W7V"/>
        <s v="06033E0001"/>
        <s v="06039E0004"/>
        <s v="LSW-E01-SP101"/>
        <s v="KN0697"/>
        <s v="KN0698"/>
        <s v="LIDL-E01-ST101"/>
        <s v="LIDL-E01-ST102"/>
        <s v="LIDL-E01-ST103"/>
        <s v="LIDL-E01-ST104"/>
        <s v="LIDL-E01-ST105"/>
        <s v="LIDL-E01-ST106"/>
        <s v="LIDL-E01-ST108"/>
        <s v="LIDL-E01-ST109"/>
        <s v="CY0635"/>
        <s v="CY0636"/>
        <s v="CY0823"/>
        <s v="CY0642"/>
        <s v="LPY-E01-ST102"/>
        <s v="LPY-E01-ST101"/>
        <s v="LRVKB-E02-OW102"/>
        <s v="CY0469"/>
        <s v="CY0471"/>
        <s v="LAN-A01-OTG02"/>
        <s v="LAN-A01-OTG01"/>
        <s v="LAN-A01-OTG07"/>
        <s v="KN0661"/>
        <s v="KN0662"/>
        <s v="KN0663"/>
        <s v="KN0664"/>
        <s v="KN0665"/>
        <s v="KN0666"/>
        <s v="LAN-A01-OTG04"/>
        <s v="LVB-E01-DW105"/>
        <s v="LVB-E01-DW106"/>
        <s v="LAN-A01-OTG05"/>
        <s v="LAN-A01-OTG06"/>
        <s v="LCS-A01-ST101"/>
        <s v="LCS-A01-ST109"/>
        <s v="LCS-A01-ST103"/>
        <s v="LCS-A01-ST105"/>
        <s v="LCS-A01-ST108"/>
        <s v="LDY-E01-SP-102"/>
        <s v="LPY-E01-ST107"/>
        <s v="CY0799"/>
        <s v="CY0800"/>
        <s v="CY0802"/>
        <s v="CY0803"/>
        <s v="LUB-E09-TO103"/>
        <s v="LPE-E01-OW110"/>
        <s v="LMI-E01-BK209"/>
        <s v="LMI-E01-BK210"/>
        <s v="LMI-L01-LG202"/>
        <s v="LMI-E01-SP404"/>
        <s v="LMI-E01-BK211"/>
        <s v="LMI-E01-BK212"/>
        <s v="LMI-E01-UM201"/>
        <s v="LMI-L01-LG201"/>
        <s v="LMI-E01-SP302"/>
        <s v="LPP-E01-SP202"/>
        <s v="180615_137"/>
        <s v="180801_138"/>
        <s v="LPP-E01-SP102"/>
        <s v="1600A02BX3"/>
        <s v="0603681206"/>
        <s v="1600A02W7P"/>
        <s v="1600A02W7W"/>
        <s v="06008B5201"/>
        <s v="LUB-E09-LI103"/>
        <s v="LUB-E09-TO104"/>
        <s v="LUB-E09-DW101"/>
        <s v="LUB-E09-DW102"/>
        <s v="LUB-E09-TX102"/>
        <s v="LMI-E01-PLU207"/>
        <s v="LMI-E01-PLU204"/>
        <s v="LMI-E01-PLU205"/>
        <s v="LMI-E01-PLU206"/>
        <s v="LMI-E01-TX201"/>
        <s v="LHP-L01-BOT01"/>
        <s v="LHP-L01-BOT02"/>
        <s v="LHP-L01-BOT03"/>
        <s v="LHP-L01-BOT04"/>
        <s v="LHP-L01-DRAW01"/>
        <s v="LHP-E01-SP301"/>
        <s v="LDSY-E01-SP301"/>
        <s v="LRVKB-E01-CW201"/>
        <s v="LRVKB-E01-CW203"/>
        <s v="LRVKB-E01-CW204"/>
        <s v="LRVKB-E01-CW205"/>
        <s v="LRVKB-E01-CW208"/>
        <s v="LRVKB-E01-CW209"/>
        <s v="LPY-E01-OW105"/>
        <s v="SNP Mixed Bags (T1)"/>
        <s v="ARU01 B CO"/>
        <s v="C2602768"/>
        <s v="LPY-E01-OW106"/>
        <s v="LPY-E01-OW108"/>
        <s v="LPY-E01-OW104"/>
        <s v="KN0446"/>
        <s v="KN0448"/>
        <s v="OT0557"/>
        <s v="KN0495"/>
        <s v="SNP 2L Bottle"/>
        <s v="SNP T2 Tumblers"/>
        <s v="LMA-U01-SP102"/>
        <s v="LMA-U01-SP104"/>
        <s v="LMA-U01-SP204"/>
        <s v="LMA-U01-SP205"/>
        <s v="LDY-E01-XMB101"/>
        <s v="SNP Black Umbrella"/>
        <s v="SNP 20cm Plush Snoopy"/>
        <s v="SNP 1M Snuggly Snoopy"/>
        <s v="SNP Mini Hard Case"/>
        <s v="LHP-E01-SP3D3"/>
        <s v="LHP-E01-SP3D4"/>
        <s v="LDY-E01-XMB301"/>
        <s v="LDY-E01-XMB401"/>
        <s v="LDY-E01-SP201"/>
        <s v="LDY-E01-SP202"/>
        <s v="LPE-E01-OW101"/>
        <s v="KN0475"/>
        <s v="KN0447"/>
        <s v="LZW-E01-CW103"/>
        <s v="LIC-E01-GW103"/>
        <s v="LDY-E01-XMB201"/>
        <s v="LDY-L01-XMW101"/>
        <s v="LDSY-E01-SP102"/>
        <s v="LDSY-E01-SP201"/>
        <s v="LPY-E01-ST402_UK"/>
        <s v="LPY-E01-ST403_UK"/>
        <s v="LPY-E01-ST406_UK"/>
        <s v="LPY-E01-ST407_UK"/>
        <s v="LPY-E01-ST408_UK"/>
        <s v="LPY-E01-ST401_UK"/>
        <s v="LPY-E01-ST406L"/>
        <s v="LPY-E01-ST407L"/>
        <s v="LPY-E01-ST408L"/>
        <s v="05387_179"/>
        <s v="15973_116"/>
        <s v="75DA_197"/>
        <s v="BO-180_130"/>
        <s v="P2I100680_170"/>
        <s v="C2101998_194"/>
        <s v="C21031006_188"/>
        <s v="89111850_23"/>
        <s v="A870056SZG2_165"/>
        <s v="C001_9"/>
        <s v="MICR24-U_118"/>
        <s v="P018_155"/>
        <s v="PA024_14"/>
        <s v="8-709849086_109"/>
        <s v="7463_148"/>
        <s v="7609_A_163"/>
        <s v="MJ-SW003_173"/>
        <s v="PFM005_143"/>
        <s v="PFM009_135"/>
        <s v="1574_75"/>
        <s v="5304_54"/>
        <s v="5350_59"/>
        <s v="6120_2"/>
        <s v="6403_16"/>
        <s v="6820_4"/>
        <s v="7926_44"/>
        <s v="LPY-E01-ST401L"/>
        <s v="LDY-E01-SP103"/>
        <s v="LDY-E01-SP104"/>
        <s v="LDY-E01-SP105"/>
        <s v="WV2000505XBOF"/>
        <s v="LPY-E01-ST410_UK"/>
        <s v="LPX-L01-BPK101"/>
        <s v="LPX-L01-LUN101"/>
        <s v="LPX-L01-BAG101"/>
        <s v="LPX-L01-BTL101"/>
        <s v="LPX-L01-TEX101"/>
        <s v="LPX-L01-TEX102"/>
        <s v="LPX-L01-PCH101"/>
        <s v="LNG-E01-SP201"/>
        <s v="LNG-E01-SP101"/>
        <s v="LCS-A01-ST104"/>
        <s v="LCS-A01-ST106"/>
        <s v="1600A02W7U"/>
        <s v="DW0620"/>
        <s v="DW0624"/>
        <s v="OW0145"/>
        <s v="OW0147"/>
        <s v="OW0148"/>
        <s v="LSI02104E01"/>
        <s v="LSI02108E01"/>
        <s v="LSI02109E01"/>
        <s v="LSI02102E01"/>
        <s v="LMN-E01-OW103"/>
        <s v="LPE-E01-OW105"/>
        <s v="LCO020102E01"/>
        <s v="LCO020104E01"/>
        <s v="LCO020110E01"/>
        <s v="LCO020115E01"/>
        <s v="LCO020105E01"/>
        <s v="LCO020103E01"/>
        <s v="LCO020113E01"/>
        <s v="LCO020118E01"/>
        <s v="06039D3009"/>
        <s v="07823_181"/>
        <s v="MAC03_154"/>
        <s v="FOL.1083.1_78"/>
        <s v="LKR-E01-KN107 - 28019"/>
        <s v="LKR-E01-KN104 - 28023"/>
        <s v="LKR-E01-KN102 - 28024"/>
        <s v="LKR-E01-KN119-28222"/>
        <s v="LKR-C01-OW101 - 28170"/>
        <s v="LKR-C01-OW103 - 28172"/>
        <s v="LKR-C01-OW105 - 28174"/>
        <s v="LKR-C01-OW113 - 28182"/>
        <s v="LKR-C01-CW401 – 28178"/>
        <s v="LKR-C01-CW403 - 28180"/>
        <s v="LKR-E01-CW202 - 37861"/>
        <s v="LKR-E01-CW209 - 31971"/>
        <s v="LKR-E01-KN218 - 28030"/>
        <s v="LKR-E01-KN109 - 28025"/>
        <s v="KN0693"/>
        <s v="LNA-E01-DW201"/>
        <s v="LNA-E01-DW208"/>
        <s v="LKR-E01-KN220-23421"/>
        <s v="LKR-E01-ST101"/>
        <s v="LMO-E01-SP101"/>
        <s v="LMO-E01-SP102"/>
        <s v="GIA11020CO"/>
        <s v="GIA11024CO"/>
        <s v="GIA11428CO"/>
        <s v="GIA10124CO"/>
        <s v="GIA10632CO"/>
        <s v="GIA302CO"/>
        <s v="EG01/58 CO"/>
        <s v="10004_58"/>
        <s v="10011_56"/>
        <s v="204BR1000_44"/>
        <s v="525MINAB144_50"/>
        <s v="642_42"/>
        <s v="7777_37"/>
        <s v="99AL_002_112"/>
        <s v="A35X234_55"/>
        <s v="C_163I_102"/>
        <s v="GA3PL755_34"/>
        <s v="MD-AP100"/>
        <s v="LKCHDMI50"/>
        <s v="GPP58002"/>
        <s v="985770_78"/>
        <s v="827917_80"/>
        <s v="978538_87"/>
        <s v="0107A_108"/>
        <s v="2x12655_89"/>
        <s v="35059175_25"/>
        <s v="6GX01F_32"/>
        <s v="BM539_26"/>
        <s v="C11CG96402_29"/>
        <s v="C2101049B_10"/>
        <s v="C2101617_9"/>
        <s v="F2B56ET_19"/>
        <s v="8D4S7ES_ABZ_8"/>
        <s v="HELGI_23"/>
        <s v="45400_70"/>
        <s v="QUEENKEY_COLOR _94"/>
        <s v="ICA_TR30_4"/>
        <s v="12317_63"/>
        <s v="12328_64"/>
        <s v="16003_61"/>
        <s v="699920_83"/>
        <s v="827917_76"/>
        <s v="BTSGA460_92"/>
        <s v="BTSGAKIT1_96"/>
        <s v="EL25B_66"/>
        <s v="NF0781_62"/>
        <s v="SW03_113"/>
        <s v="SM-X210NZAAEUE_11"/>
        <s v="50003835_40"/>
        <s v="LSI02101E01"/>
        <s v="C2100740_191"/>
        <s v="0603264503"/>
        <s v="KN0700"/>
        <s v="06033B9103"/>
        <s v="LKR-E01-CW203 - 37862"/>
        <s v="LKR-E01-CW208 - 31970"/>
        <s v="CW0782"/>
        <s v="CW0848"/>
        <s v="CW0846"/>
        <s v="CW0847"/>
        <s v="CW0849"/>
        <s v="LZW-E01-CW104"/>
        <s v="LZW-E01-CW105"/>
        <s v="LZW-E01-CW106"/>
        <s v="LZW-E01-CW107"/>
        <s v="DW0618"/>
        <s v="DW0619"/>
        <s v="KN0446-ISB"/>
        <s v="KN0446-KI"/>
        <s v="KN0447-KI"/>
        <s v="KN0448-ISB"/>
        <s v="KN0448-KI"/>
        <s v="KN0475-ISB"/>
        <s v="KN0475-KI"/>
        <s v="DW0621"/>
        <s v="LMO-E01-TO301"/>
        <s v="LMO-E01-TO302"/>
        <s v="LMO-E01-TO303"/>
        <s v="LMO-E01-TO304"/>
        <s v="LMO-E01-TO305"/>
        <s v="LMO-E01-TO306"/>
        <s v="LMO-E01-TO307"/>
        <s v="LMO-E01-TO308"/>
        <s v="LMO-E01-TO309"/>
        <s v="LMO-E01-TO313"/>
        <s v="LMO-E01-TO310"/>
        <s v="KN0694"/>
        <s v="LUB-E01-OW102"/>
        <s v="LUB-E01-OW103"/>
        <s v="LUB-E01-OW104"/>
        <s v="G0351101"/>
        <s v="LCS-E01-LU107"/>
        <s v="LCS-E01-LU108"/>
        <s v="LCS-E01-LU101"/>
        <s v="LCS-E01-LU103"/>
        <s v="LCS-E01-LU102"/>
        <s v="LCS-E01-LU104"/>
        <s v="LCS-E01-LU109"/>
        <s v="LCS-E01-LU110"/>
        <s v="KN0682"/>
        <s v="LMD10003-E01"/>
        <s v="LMD10006-E01"/>
        <s v="KN0692"/>
        <s v="KN0696"/>
        <s v="LRVKB-E01-BW101"/>
        <s v="LRVKB-E01-BW109"/>
        <s v="LRVKB-E01-CW101"/>
        <s v="LRVKB-E01-KN107"/>
        <s v="KN0449"/>
        <s v="KN0450"/>
        <s v="LPY-E01-ST402L"/>
        <s v="LPY-E01-ST410"/>
        <s v="LCA-E01-OW103"/>
        <s v="LCA-E01-OW104"/>
        <s v="LCA-E01-OW107"/>
        <s v="LCA-E01-DW101"/>
        <s v="LCA-E01-DW102"/>
        <s v="LCA-E01-DW103"/>
        <s v="LCA-E01-DW104"/>
        <s v="ALI04_IPS25_34"/>
        <s v="ALI31_IPS25_35"/>
        <s v="MPC5M10C_IPS25_36"/>
        <s v="PP84013107_IPS25_38"/>
        <s v="642_IPS25_39"/>
        <s v="204BR1000_IPS25_40"/>
        <s v="204BR1000AD_IPS25_41"/>
        <s v="285MOD500B_IPS25_42"/>
        <s v="286MOD500T_IPS25_43"/>
        <s v="114A22SG_IPS25_44"/>
        <s v="333CV1000_IPS25_45"/>
        <s v="99ALI202_IPS25_46"/>
        <s v="13342_IPS25_47"/>
        <s v="13344_IPS25_48"/>
        <s v="A33X234_IPS25_49"/>
        <s v="A35X234_IPS25_50"/>
        <s v="99ALI10222_IPS25_83"/>
        <s v="XY0089_IPS25_97"/>
        <s v="2071_IPS25_98"/>
        <s v="18054_IPS25_99"/>
        <s v="2110_IPS25_100"/>
        <s v="AHF016_IPS25_101"/>
        <s v="C-163I_IPS25_102"/>
        <s v="TM 750_IPS25_103"/>
        <s v="BU570_IPS25_104"/>
        <s v="PM180_IPS25_105"/>
        <s v="60305_IPS25_106"/>
        <s v="IRSRDR8_IPS25_31"/>
        <s v="112146_IPS25_66"/>
        <s v="983114_IPS25_67"/>
        <s v="9836_IPS25_68"/>
        <s v="987103_IPS25_69"/>
        <s v="981324_IPS25_70"/>
        <s v="985770_IPS25_72"/>
        <s v="974611_IPS25_81"/>
        <s v="872075_IPS25_82"/>
        <s v="971327_IPS25_84"/>
        <s v="978545_IPS25_85"/>
        <s v="887719_IPS25_86"/>
        <s v="834911_IPS25_87"/>
        <s v="699004_IPS25_84"/>
        <s v="770608_IPS25_96"/>
        <s v="933724_IPS25_107"/>
        <s v="C2103039_IPS25_1"/>
        <s v="C2103057_IPS25_2"/>
        <s v="C2100053_IPS25_3"/>
        <s v="C2100040_IPS25_4"/>
        <s v="C2101629_IPS25_5"/>
        <s v="C2100704_IPS25_6"/>
        <s v="C2102202_IPS25_7"/>
        <s v="C2101617_IPS25_8"/>
        <s v="C2100332_IPS25_9"/>
        <s v="C2100754_IPS25_10"/>
        <s v="C2103918_IPS25_11"/>
        <s v="C2103055_IPS25_12"/>
        <s v="C2103056_IPS25_13"/>
        <s v="C2103058_IPS25_14"/>
        <s v="C2600630_IPS25_15"/>
        <s v="C2100741_IPS25_16"/>
        <s v="C2100388_IPS25_17"/>
        <s v="C2100077_IPS25_18"/>
        <s v="C2100063_IPS25_19"/>
        <s v="C2103053_IPS25_20"/>
        <s v="C2100783_IPS25_21"/>
        <s v="C2102703_IPS25_22"/>
        <s v="C2103060_IPS25_23"/>
        <s v="C2102279_IPS25_24"/>
        <s v="C2102704_IPS25_25"/>
        <s v="C2102280_IPS25_26"/>
        <s v="C2600919_IPS25_27"/>
        <s v="C2103063_IPS25_28"/>
        <s v="C2103062_IPS25_29"/>
        <s v="C2103917_IPS25_30"/>
        <s v="C2103050_IPS25_51"/>
        <s v="C2103049_IPS25_52"/>
        <s v="C2103051_IPS25_53"/>
        <s v="C2103044_IPS25_54"/>
        <s v="10xC2103047_IPS25_55"/>
        <s v="5xC2103048_IPS25_56"/>
        <s v="C2103068_IPS25_57"/>
        <s v="C2103042_IPS25_71"/>
        <s v="C2100099_IPS25_73"/>
        <s v="C2100084_IPS25_74"/>
        <s v="C2103037 _IPS25_75"/>
        <s v="C2103040_IPS25_76"/>
        <s v="C2103038_IPS25_77"/>
        <s v="C2104849_IPS25_108"/>
        <s v="C2101998_IPS25_109"/>
        <s v="C2103074_IPS25_110"/>
        <s v="8923_IPS25_90"/>
        <s v="897_IPS25_91"/>
        <s v="293741_IPS25_66"/>
        <s v="BOXI0171_IPS25_78"/>
        <s v="0330ORFPIT_IPS25_79"/>
        <s v="0331C0P4IT_IPS25_80"/>
        <s v="LCA-E01-KU101"/>
        <s v="LPY-E01-ST402"/>
        <s v="LPY-E01-ST406"/>
        <s v="LPY-E01-ST407"/>
        <s v="LTW-E01-ST406"/>
        <s v="LTW-E01-ST407"/>
        <s v="LTW-E01-ST408"/>
        <s v="LTW-E01-ST209"/>
        <s v="LTW-E01-ST606"/>
        <s v="LTW-E01-ST607"/>
        <s v="LTW-E01-ST610"/>
        <s v="LTW-E01-ST611"/>
        <s v="LTW-E01-ST614"/>
        <s v="LTW-E01-ST615"/>
        <s v="LTW-E01-ST616"/>
        <s v="418020_IPS25_32"/>
        <s v="483010_IPS25_33"/>
        <s v="53243_IPS25_37"/>
        <s v="16003_IPS25_59"/>
        <s v="NF0781_IPS25_60"/>
        <s v="12317_IPS25_61"/>
        <s v="12328_IPS25_62"/>
        <s v="EL216B _IPS25_63"/>
        <s v="G110AT3W_IPS25_64"/>
        <s v="SOH3411_IPS25_65"/>
        <s v="50956_IPS25_88"/>
        <s v="154920_IPS25_92"/>
        <s v="BTSGA014_IPS25_93"/>
        <s v="BTSGA263_IPS25_94"/>
        <s v="SMR307_IPS25_95"/>
        <s v="40410_IPS25_111"/>
        <s v="643P8_IPS25_112"/>
        <s v="33034_IPS25_113"/>
        <s v="LKR-E01-KN219-23420"/>
        <s v="05.3.N10.40_15"/>
        <s v="11630_183"/>
        <s v="C2101619_185"/>
        <s v="SSF-HKG711- Figurine Bottles"/>
        <s v="SSF-HKG711-DWG"/>
        <s v="SSF-HKG711-1LGS"/>
        <s v="LDY-E01-SP108"/>
        <s v="KN0449-ISB"/>
        <s v="KN0449-KI"/>
        <s v="6020.20"/>
        <s v="KN0450-ISB"/>
        <s v="KN0450-KI"/>
        <s v="LSI02106E01"/>
        <s v="LNA-E01-GW504"/>
        <s v="PULLBUOYS-CK_x5_115"/>
        <s v="MA024_PAL026_151"/>
        <s v="6025_B_160"/>
        <s v="1580_70"/>
        <s v="3020_120"/>
        <s v="7520_35"/>
        <s v="7903_42"/>
        <s v="FOL.4005.1_62"/>
        <s v="LUB-E09-ST103"/>
        <s v="LUB-E01-TX101"/>
        <s v="LUB-E09-PL101"/>
        <s v="LUB-E09-CL101"/>
        <s v="KN0494"/>
        <s v="LNA-E01-DW206"/>
        <s v="LNA-E01-DW205"/>
        <s v="LUB-E01-ST110"/>
        <s v="LHP-E01-BF01"/>
        <s v="LHP-E01-BF02"/>
        <s v="LHP-E01-BF03"/>
        <s v="LHP-E01-BF04"/>
        <s v="LHP-E01-BF05"/>
        <s v="LHP-E01-BF06"/>
        <s v="LHP-E01-BF07"/>
        <s v="LHP-E01-BF08"/>
        <s v="LHP-E01-BF09"/>
        <s v="LHP-E01-BF10"/>
        <s v="LHP-E01-BF11"/>
        <s v="LHP-E01-BF12"/>
        <s v="11184097"/>
        <s v="LCS-A01-BQ128"/>
        <s v="LDS-E01-DW102"/>
        <s v="LDS-E01-DW104"/>
        <s v="LDS-E01-DW106"/>
        <s v="LDS-E01-DW108"/>
        <s v="LDS-E01-DW103"/>
        <s v="LDS-E01-DW105"/>
        <s v="LDS-E01-DW107"/>
        <s v="LDS-E01-DW109"/>
        <s v="LRVKB-E01-KN209"/>
        <s v="LRVKB-E01-KN202"/>
        <s v="LRVKB-E01-KN203"/>
        <s v="LRVKB-E01-KN204"/>
        <s v="LRVKB-E01-KN205"/>
        <s v="LRVKB-E01-KN206"/>
        <s v="LRVKB-E01-KN207"/>
        <s v="LRVKB-E01-KN208"/>
        <s v="LRVKB-E01-KN211"/>
        <s v="LCS-E01-BQ112"/>
        <s v="LCS-E01-BQ113"/>
        <s v="PS0282"/>
        <s v="LPY-E01-ST401"/>
        <s v="LPY-E01-ST408"/>
        <s v="LRVKB-E01-KN210"/>
        <s v="LPK-E01-CU01"/>
        <s v="LPK-E01-CU02"/>
        <s v="LPK-E01-CU03"/>
        <s v="LPK-E01-CU04"/>
        <s v="LPK-E01-ACC08"/>
        <s v="LDSY-E01-SP302"/>
        <s v="LKR-E01-OW105 - 28174"/>
        <s v="LMI-E01-SP109"/>
        <s v="FOL.1083_CS25_78"/>
        <s v="LPE-E01-OW103"/>
        <s v="LDSY-E01-TO114"/>
        <s v="LPE-E01-KN101"/>
        <s v="LPE-E01-KN106"/>
        <s v="LPE-E01-KN107"/>
        <s v="P2I200410_CS25_17"/>
        <s v="P2I150050_CS25_18"/>
        <s v="41TK_CS25_19"/>
        <s v="XY0093_CS25_21"/>
        <s v="01520_CS25_25"/>
        <s v="XY0094_CS25_26"/>
        <s v="02021_CS25_56"/>
        <s v="BA-11_CS25_71"/>
        <s v="88EB_CS25_101"/>
        <s v="88DC_CS25_102"/>
        <s v="15973_CS25_103"/>
        <s v="KB1X4_CS25_132"/>
        <s v="BELLKIT15_CS25_133"/>
        <s v="STEPPER01_CS25_134"/>
        <s v="EBND01_CS25_135"/>
        <s v="AHF-158_CS25_136"/>
        <s v="BO-180_CS25_137"/>
        <s v="TE15490_CS25_138"/>
        <s v="13414_CS25_163"/>
        <s v="42HB_CS25_164"/>
        <s v="42HC_CS25_165"/>
        <s v="42HA_CS25_166"/>
        <s v="WBX-400_CS25_167"/>
        <s v="SRX-8500_CS25_168"/>
        <s v="P2I202880_CS25_170"/>
        <s v="75OB_CS25_178"/>
        <s v="XY0097_CS25_179"/>
        <s v="XY0098_CS25_180"/>
        <s v="S07134_CS25_196"/>
        <s v="S07312_CS25_201"/>
        <s v="S07322_CS25_202"/>
        <s v="S07304_CS25_203"/>
        <s v="08844_CS25_208"/>
        <s v="MPROUCVL_CS25_209"/>
        <s v="OTIR2000_CS25_210"/>
        <s v="AR4P16_CS25_211"/>
        <s v="130004_CS25_212"/>
        <s v="99ALI/004_CS25_225"/>
        <s v="08012_CS25_226"/>
        <s v="08723_CS25_227"/>
        <s v="E-CONKIT25_CS25_228"/>
        <s v="T818X6_CS25_229"/>
        <s v="TP6063X6_CS25_230"/>
        <s v="F160_CS25_231"/>
        <s v="WV2000504XB_CS25_57"/>
        <s v="EVOLUTION_CS25_66"/>
        <s v="REACTION CS25_67"/>
        <s v="WTB1417XB05_CS25_68"/>
        <s v="WTB1419XB07_CS25_69"/>
        <s v="WTB201960_CS25_70"/>
        <s v="WTH1816_CS25_154"/>
        <s v="933715_CS25_151"/>
        <s v="945709_CS25_152"/>
        <s v="910952_CS25_198"/>
        <s v="921004_CS25_213"/>
        <s v="C219357_CS25_4"/>
        <s v="C219358_CS25_5"/>
        <s v="C219359_CS25_11"/>
        <s v="C219360_CS25_23"/>
        <s v="C219361_CS25_24"/>
        <s v="C219362_CS25_59"/>
        <s v="C219363_CS25_61"/>
        <s v="C219364_CS25_72"/>
        <s v="C219365_CS25_73"/>
        <s v="C219366_CS25_81"/>
        <s v="C219367_CS25_95"/>
        <s v="C219368_CS25_96"/>
        <s v="C219369_CS25_97"/>
        <s v="C219370_CS25_98"/>
        <s v="C219371_CS25_99"/>
        <s v="C219372_CS25_100"/>
        <s v="C219373_CS25_105"/>
        <s v="C219374_CS25_114"/>
        <s v="C219375_CS25_200"/>
        <s v="C219376_CS25_214"/>
        <s v="C219377_CS25_215"/>
        <s v="C219378_CS25_216"/>
        <s v="C219379_CS25_217"/>
        <s v="C219380_CS25_218"/>
        <s v="C219381_CS25_219"/>
        <s v="C219382_CS25_220"/>
        <s v="C219383_CS25_221"/>
        <s v="C219384_CS25_222"/>
        <s v="420977_CS25_31"/>
        <s v="28102S0726_CS25_32"/>
        <s v="85518605_CS25_33"/>
        <s v="89111850_CS25_34"/>
        <s v="89111852_CS25_35"/>
        <s v="83010000_CS25_36"/>
        <s v="LMI-E01-SP303"/>
        <s v="064203_CS25_9"/>
        <s v="063200_CS25_12"/>
        <s v="205702_CS25_13"/>
        <s v="063095_CS25_14"/>
        <s v="063476_CS25_15"/>
        <s v="062797_CS25_16"/>
        <s v="063248_CS25_37"/>
        <s v="063203_CS25_38"/>
        <s v="013015_CS25_42"/>
        <s v="013007_CS25_43"/>
        <s v="053010_CS25_52"/>
        <s v="V300W_CS25_53"/>
        <s v="V330W_CS25_54"/>
        <s v="VS123W-L_CS25_55"/>
        <s v="063420_CS25_58"/>
        <s v="053008_CS25_62"/>
        <s v="063202_CS25_63"/>
        <s v="180510_CS25_82"/>
        <s v="099001_CS25_83"/>
        <s v="102010_CS25_84"/>
        <s v="044092_CS25_85"/>
        <s v="C33800_CS25_86"/>
        <s v="222500_CS25_87"/>
        <s v="100089_CS25_89"/>
        <s v="100093_CS25_90"/>
        <s v="014044_CS25_92"/>
        <s v="181406_CS25_106"/>
        <s v="VT5000_CS25_107"/>
        <s v="025032_CS25_110"/>
        <s v="50050_CS25_111"/>
        <s v="33800_CS25_112"/>
        <s v="220520_CS25_115"/>
        <s v="002022_CS25_116"/>
        <s v="002025_CS25_117"/>
        <s v="180610_CS25_120"/>
        <s v="180620_CS25_121"/>
        <s v="220200_CS25_122"/>
        <s v="100143_CS25_123"/>
        <s v="180801_CS25_124"/>
        <s v="180802_CS25_125"/>
        <s v="044071_CS25_126"/>
        <s v="502126_CS25_139"/>
        <s v="024051_CS25_140"/>
        <s v="240300_CS25_141"/>
        <s v="233000_CS25_142"/>
        <s v="231002_CS25_143"/>
        <s v="231602_CS25_144"/>
        <s v="202017_CS25_145"/>
        <s v="240200_CS25_146"/>
        <s v="202300_CS25_147"/>
        <s v="211390_CS25_148"/>
        <s v="411600_CS25_149"/>
        <s v="119002_CS25_153"/>
        <s v="025004_CS25_159"/>
        <s v="250006_CS25_169"/>
        <s v="550356_CS25_193"/>
        <s v="550912_CS25_194"/>
        <s v="163297_CS25_197"/>
        <s v="KITP009_CS25_22"/>
        <s v="PAL023M5_CS25_27"/>
        <s v="PA025_SET5_CS25_28"/>
        <s v="GU09-SET2_CS25_29"/>
        <s v="PALBV03_CS25_41"/>
        <s v="RK11_CS25_44"/>
        <s v="C003_CS25_60"/>
        <s v="B041_CS25_171"/>
        <s v="B081_CS25_172"/>
        <s v="B030_SET2_CS25_173"/>
        <s v="MICR24M_CS25_174"/>
        <s v="MICR24F_CS25_175"/>
        <s v="A00513SET12_CS25_176"/>
        <s v="SET12BOR_CS25_177"/>
        <s v="TR034_SET5_CS25_181"/>
        <s v="RJ001_SET5_CS25_182"/>
        <s v="G013_SET5_CS25_183"/>
        <s v="MAC03_CS25_184"/>
        <s v="P018_CS25_185"/>
        <s v="MA023_SET5_CS25_186"/>
        <s v="LEG02_SET5_CS25_187"/>
        <s v="P005_SET5_CS25_188"/>
        <s v="CT02_SET10_CS25_189"/>
        <s v="CT01_SET10_CS25_190"/>
        <s v="C007_SET10_CS25_191"/>
        <s v="GIN01_SET5_CS25_192"/>
        <s v="BAG0027_CS25_199"/>
        <s v="7611MP_CS25_1"/>
        <s v="FOL.6030.1_CS25_2"/>
        <s v="6033_CS25_3"/>
        <s v="6120_CS25_6"/>
        <s v="6800S_CS25_7"/>
        <s v="6820_CS25_8"/>
        <s v="FOL.FM0001.1_CS25_10"/>
        <s v="7524_CS25_39"/>
        <s v="7520_CS25_40"/>
        <s v="5304_CS25_45"/>
        <s v="4009_CS25_46"/>
        <s v="5020_CS25_47"/>
        <s v="5527_CS25_48"/>
        <s v="5205_CS25_49"/>
        <s v="5350_CS25_50"/>
        <s v="2062_CS25_51"/>
        <s v="FOL.4005.1_CS25_64"/>
        <s v="4230_CS25_65"/>
        <s v="8111_CS25_74"/>
        <s v="8151_CS25_75"/>
        <s v="8113_CS25_76"/>
        <s v="FOL.1183.1_CS25_79"/>
        <s v="FOL.1505_CS25_80"/>
        <s v="7903_CS25_91"/>
        <s v="3020_CS25_104"/>
        <s v="FOL.9311.1_CS25_108"/>
        <s v="FOL.1377.1_CS25_109"/>
        <s v="FOL.1083_CS25_113"/>
        <s v="1201_CS25_118"/>
        <s v="1709_CS25_119"/>
        <s v="1037_CS25_150"/>
        <s v="3602_CS25_158"/>
        <s v="9200_CS25_195"/>
        <s v="9006_CS25_204"/>
        <s v="BOXE05_CS25_77"/>
        <s v="PS31244_CS25_88"/>
        <s v="102S6_CS25_93"/>
        <s v="040M_CS25_94"/>
        <s v="PS643P8_CS25_127"/>
        <s v="PFM006_CS25_128"/>
        <s v="PFM008_CS25_129"/>
        <s v="PFM009_CS25_130"/>
        <s v="PFM010_CS25_131"/>
        <s v="MJ-SW001-04_CS25_155"/>
        <s v="MJ-SW003_CS25_156"/>
        <s v="3CAM 2002_CS25_157"/>
        <s v="PFM005_CS25_160"/>
        <s v="PFM004_CS25_161"/>
        <s v="PFM40_CS25_162"/>
        <s v="RPC 50_CS25_205"/>
        <s v="FDG5013_CS25_206"/>
        <s v="FDR 1800_CS25_207"/>
        <s v="SW00008_CS25_223"/>
        <s v="SWK 2510WH_CS25_224"/>
        <s v="LMA-B01-SP101"/>
        <s v="LMA-B01-SP102"/>
        <s v="LMA-B01-SP103"/>
        <s v="612471"/>
        <s v="LMI-E01-BK106"/>
        <s v="LMI-E01-BK107"/>
        <s v="LMI-E01-BK111"/>
        <s v="LMI-E01-BK112"/>
        <s v="LMI-E01-PLU107"/>
        <s v="LMI-E01-TX101"/>
        <s v="WV2000504XB"/>
        <s v="WTB1417XB05 PIECE"/>
        <s v="WTB1419XB07 PIECE"/>
        <s v="REACTION"/>
        <s v="LPY-E01-ST411"/>
        <s v="LCS-E01-BQ111"/>
        <s v="LDSY-B01-SP102"/>
        <s v="LCS-E01-BQ114"/>
        <s v="LDY-U01-SP102"/>
        <s v="LDY-U01-SP202"/>
        <s v="LDY-U01-SP201"/>
        <s v="LDY-U01-SP101"/>
        <s v="LWE-E01-LU112"/>
        <s v="LDY-U01-SP103"/>
        <s v="LDY-U01-SP104"/>
        <s v="KN0722"/>
        <s v="KN0724"/>
        <s v="KN0729"/>
        <s v="KN0725"/>
        <s v="KN0727"/>
        <s v="KN0728"/>
        <s v="KN0730"/>
        <s v="LPE-E01-OW108"/>
        <s v="LMI-E01-BK105"/>
        <s v="LMI-E01-BK101"/>
        <s v="LMI-E01-BK102"/>
        <s v="LMI-E01-SP107"/>
        <s v="LDY-E01-SP106"/>
        <s v="LDY-E01-SP107"/>
        <s v="LRVKB-E01-BW112"/>
        <s v="LDSY-E01-SP103"/>
        <s v="LDSY-E01-SP202"/>
        <s v="LCS-E01-LU111"/>
        <s v="LDSY-E01-SP104"/>
        <s v="KN0494-ISB"/>
        <s v="LCS-E01-BQ110"/>
        <s v="LCS-E01-BQ115"/>
        <s v="LCS-E01-BQ118"/>
        <s v="LCS-A01-ST102"/>
        <s v="LCS-A01-ST107"/>
        <s v="LCS-A01-ST113"/>
        <s v="LCS-A01-ST112"/>
        <s v="LCS-A01-ST101-A"/>
        <s v="LCS-A01-ST103-A"/>
        <s v="LCS-A01-ST105-A"/>
        <s v="LPE-E01-OW109 - KIT"/>
        <s v="LDS-E01-MAF101"/>
        <s v="LDS-E01-MAF102"/>
        <s v="LDS-E01-MAF103"/>
        <s v="LDSY-E01-TO122"/>
        <s v="LDY-E01-TO101"/>
        <s v="LPX-E01-TO108"/>
        <s v="LDSY-E01-BAG101"/>
        <s v="LDSY-E01-TO201"/>
        <s v="LDSY-E01-TO202"/>
        <s v="LDSY-E01-TO203"/>
        <s v="LDSY-E01-TO204"/>
        <s v="LDSY-E01-TO205"/>
        <s v="LDSY-E01-TO206"/>
        <s v="LDSY-E01-TO207"/>
        <s v="LDSY-E01-TO208"/>
        <s v="LDSY-E01-TO209"/>
        <s v="2609256F56"/>
        <s v="1600A0275G"/>
        <s v="1600A02Z9P"/>
        <s v="0603672708"/>
        <s v="1600A02Z9H"/>
        <s v="1600A02E6T"/>
        <s v="0603354007"/>
        <s v="0603103003"/>
        <s v="06008B5100"/>
        <s v="2607011432"/>
        <s v="06008B5000"/>
        <s v="LDSY-E01-DW114"/>
        <s v="LDSY-E01-DW110"/>
        <s v="LDSY-E01-DW111"/>
        <s v="LDSY-E01-DW112"/>
        <s v="LDSY-E01-DW113"/>
        <s v="LDSY-E01-DW115"/>
        <s v="6020.20-SP" u="1"/>
        <s v="6020.20-LB" u="1"/>
        <s v="KN0447-ISB" u="1"/>
        <s v="LZW-E01-CW103-UM" u="1"/>
        <s v="LZW-E01-CW103-TP" u="1"/>
        <s v="SampleBox_BIG" u="1"/>
        <s v="LZW-E01-CW104-UM1" u="1"/>
        <s v="LZW-E01-CW104-UM2" u="1"/>
        <s v="VAS-OCB-40.30.30" u="1"/>
        <s v="KN0446-OCB" u="1"/>
        <s v="PS0285-OCB" u="1"/>
        <s v="LPE-E01-OW105-OCB" u="1"/>
        <s v="LRVKB-E01-BW112-OCB" u="1"/>
        <s v="LRVKB-E01-KN107-OCB" u="1"/>
        <s v="LRVKB-E01-OW105-OCB" u="1"/>
        <s v="POS Hyper XLM-OC" u="1"/>
        <s v="POS Poster FR-1384" u="1"/>
        <s v="POS Flyer FR-1384" u="1"/>
        <s v="POS StampRoll FR-1384" u="1"/>
        <s v="DW0653-GFT" u="1"/>
        <s v="KN0398" u="1"/>
        <s v="KN0400" u="1"/>
        <s v="KN0401" u="1"/>
        <s v="KN0404" u="1"/>
        <s v="KN0396" u="1"/>
        <s v="KN0399" u="1"/>
        <s v="KN0402" u="1"/>
        <s v="KN0407" u="1"/>
        <s v="06039D3009-OCP" u="1"/>
        <s v="06039E0004-OCP" u="1"/>
        <s v="1600A02BX4-OCP" u="1"/>
        <s v="1600A0275G-OCP" u="1"/>
        <s v="1600A02E6T-OCP" u="1"/>
        <s v="2607011432-OCP" u="1"/>
        <s v="POS Totem FR-1384" u="1"/>
        <s v="POS Wobbler FR-1384" u="1"/>
        <s v="POS Habillage FR-1384" u="1"/>
        <s v="POS Banner FR-1384" u="1"/>
        <s v="LPY-E01-ST108" u="1"/>
        <s v="VAS-PR 200x100" u="1"/>
        <s v="VAS-PR 295x150" u="1"/>
        <s v="06008B5200" u="1"/>
        <s v="0603663A02" u="1"/>
        <s v="LDU-E01-GW101" u="1"/>
        <s v="LDU-E01-GW102" u="1"/>
        <s v="LDU-E01-GW103" u="1"/>
        <s v="LDU-E01-GW106" u="1"/>
        <s v="LDU-E01-GW110" u="1"/>
        <s v="POS leaflet Holder FR-1384" u="1"/>
        <s v="POS leaflet FR-1384" u="1"/>
        <s v="LSI02107E01" u="1"/>
        <s v="LSI02103E01" u="1"/>
        <s v="612388-OCP" u="1"/>
        <s v="612390-OCP" u="1"/>
        <s v="612393-OCP" u="1"/>
        <s v="612473-OCP" u="1"/>
        <s v="PS0492" u="1"/>
        <s v="LSI-E01-AC101" u="1"/>
        <s v="LSI-E01-AC102" u="1"/>
        <s v="LSI-E01-AC104" u="1"/>
        <s v="LSI-E01-AC106" u="1"/>
        <s v="LSI-E01-AC107" u="1"/>
        <s v="LSI-E01-OD-102" u="1"/>
        <s v="LSI-E01-AC103" u="1"/>
        <s v="0603264504" u="1"/>
        <s v="LIC-E01-GW104" u="1"/>
        <s v="LIC-E01-GW105" u="1"/>
        <s v="LIC-E01-GW106" u="1"/>
        <s v="LIC-E01-GW107" u="1"/>
        <s v="LIC-E01-GW108" u="1"/>
        <s v="LIC-E01-GW109" u="1"/>
        <s v="GIA20024CO" u="1"/>
        <s v="MSA0421BCO" u="1"/>
        <s v="06039D3003" u="1"/>
        <s v="1600A02BX4" u="1"/>
        <s v="KN0695" u="1"/>
        <s v="KN0449-OCP" u="1"/>
        <s v="KN0452-OCP" u="1"/>
        <s v="6020.20-OCP" u="1"/>
        <s v="TO1078-OCP" u="1"/>
        <s v="TO1074-OCP" u="1"/>
        <s v="LPY-E01-OW106-OCP" u="1"/>
        <s v="LPY-E01-OW106-PR" u="1"/>
        <s v="LPY-E01-OW109-OCP" u="1"/>
        <s v="LPY-E01-OW111-OCP" u="1"/>
        <s v="LPY-E01-OW112-OCP" u="1"/>
        <s v="LPY-E01-OW112-PR" u="1"/>
        <s v="LPY-E01-OW114-OCP" u="1"/>
        <s v="LPY-E01-ST109-OCP" u="1"/>
        <s v="LPY-E01-ST109-PR" u="1"/>
        <s v="LPY-E01-ST108-OCP" u="1"/>
        <s v="LPY-E01-ST108-PR" u="1"/>
        <s v="LPY-E01-OW108-OCP" u="1"/>
        <s v="OT0555-OCP" u="1"/>
        <s v="PS0281" u="1"/>
        <s v="PS0283" u="1"/>
        <s v="PS0342" u="1"/>
        <s v="PS0371" u="1"/>
        <s v="PS0380" u="1"/>
        <s v="LDY-L01-TIN102" u="1"/>
        <s v="LDY-L01-TIN101" u="1"/>
        <s v="LDY-L01-TIN103" u="1"/>
        <s v="KN0699" u="1"/>
        <s v="KN0429-OCP" u="1"/>
        <s v="HA0219-OCP" u="1"/>
        <s v="KN0699-OCP" u="1"/>
        <s v="LRVKB-E01-BW101-OCP" u="1"/>
        <s v="LRVKB-E01-BW106-OCP" u="1"/>
        <s v="LRVKB-E01-BW109-OCP" u="1"/>
        <s v="LRVKB-E01-OW102-OCP" u="1"/>
        <s v="LRVKB-E01-OW103-OCP" u="1"/>
        <s v="LRVKB-E01-OW104-OCP" u="1"/>
        <s v="LSA-E01-CU101-OCP" u="1"/>
        <s v="LSI-E01-AC104-KT" u="1"/>
        <s v="LSI-E01-AC106-KT" u="1"/>
        <s v="LSI-E01-AC107-KT" u="1"/>
        <s v="PS0500-OCP" u="1"/>
        <s v="PS0503-OCP" u="1"/>
        <s v="LNA-E01-DW207" u="1"/>
        <s v="LNA-E01-GW101" u="1"/>
        <s v="LNA-E01-GW106" u="1"/>
        <s v="LPY-E01-OW105-KT" u="1"/>
        <s v="LCS-A01-BQ121" u="1"/>
        <s v="LCS-A01-BQ122" u="1"/>
        <s v="LCS-A01-BQ123" u="1"/>
        <s v="LCS-A01-BQ124" u="1"/>
        <s v="LCS-A01-BQ125" u="1"/>
        <s v="LCS-A01-BQ126" u="1"/>
        <s v="LCS-A01-BQ127" u="1"/>
        <s v="LCS-A01-BQ129" u="1"/>
        <s v="LPY-E01-ST105-OCP" u="1"/>
        <s v="LPY-E01-ST103-OCP" u="1"/>
        <s v="LPY-E01-OW105-OCP" u="1"/>
        <s v="LPY-E01-OW116-OCP" u="1"/>
        <s v="LPY-E01-ST102-OCP" u="1"/>
        <s v="LPY-E01-OW104-OCP" u="1"/>
        <s v="LPY-E01-ST105-PR" u="1"/>
        <s v="LPY-E01-ST103-PR" u="1"/>
        <s v="LPY-E01-OW116-PR" u="1"/>
        <s v="LPY-E01-ST102-PR" u="1"/>
        <s v="LPY-E01-OW116-IN" u="1"/>
        <s v="1600A02W7U-OCP" u="1"/>
        <s v="06008B5200-OCP" u="1"/>
        <s v="06008B5201-OCP" u="1"/>
        <s v="06033E0001-OCP" u="1"/>
        <s v="2607017377-OCP" u="1"/>
        <s v="0600833304-OCP" u="1"/>
        <s v="1600A02W7P-OCP" u="1"/>
        <s v="1600A02Z9H-OCP" u="1"/>
        <s v="1600A02Z9P-OCP" u="1"/>
        <s v="0600833302-OCP" u="1"/>
        <s v="2609256F59" u="1"/>
        <s v="LKR-E01-ST301" u="1"/>
        <s v="LKR-E01-ST302" u="1"/>
        <s v="LKR-E01-ST303" u="1"/>
        <s v="LKR-E01-ST304" u="1"/>
        <s v="LKR-E01-ST305" u="1"/>
        <s v="LKR-E01-ST306" u="1"/>
        <s v="LKR-E01-ST307" u="1"/>
        <s v="LTW-E01-ST211-OCP" u="1"/>
        <s v="LNA-E01-DW201-OCP" u="1"/>
        <s v="LNA-E01-DW207-OCP" u="1"/>
        <s v="LNA-E01-DW206-KT" u="1"/>
        <s v="LNA-E01-DW205-KT" u="1"/>
        <s v="LNA-E01-DW208-OCP" u="1"/>
        <s v="LNA-E01-DW201-ICP" u="1"/>
        <s v="LNA-E01-DW205-ICP" u="1"/>
        <s v="LNA-E01-DW207-ICP" u="1"/>
        <s v="LNA-E01-DW206-ICP" u="1"/>
        <s v="LNA-E01-DW208-ICP" u="1"/>
        <s v="LNA-E01-DW201-PR" u="1"/>
        <s v="LNA-E01-DW205-PR" u="1"/>
        <s v="LNA-E01-DW207-PR" u="1"/>
        <s v="LNA-E01-DW206-PR" u="1"/>
        <s v="LNA-E01-DW208-PR" u="1"/>
        <s v="HP-BACK" u="1"/>
        <s v="HPNEWS-TH" u="1"/>
        <s v="HP-UMB" u="1"/>
        <s v="LRVKB-E02-OW102-Inner" u="1"/>
        <s v="LRVKB-E02-OW102-LB" u="1"/>
        <s v="LRVKB-E02-OW103-LB" u="1"/>
        <s v="LRVKB-E02-OW104-LB" u="1"/>
        <s v="LRVKB-E02-OW102-OCP" u="1"/>
        <s v="LRVKB-E02-OW102-ICP" u="1"/>
        <s v="LCO020107E01" u="1"/>
        <s v="LCO020114E01" u="1"/>
        <s v="LMI-E01-LG102" u="1"/>
        <s v="LKR-E01-CW201 - 37860 - KT" u="1"/>
        <s v="LKR-E01-CW202 - 37861 - KT" u="1"/>
        <s v="LKR-E01-CW203 - 37862 - KT" u="1"/>
        <s v="LKR-E01-CW208 - 31970 - KT" u="1"/>
        <s v="LKR-E01-CW209 - 31971 - KT" u="1"/>
        <s v="0603663A00" u="1"/>
        <s v="KN0446-ICP" u="1"/>
        <s v="KN0446-OCP" u="1"/>
        <s v="KN0447-ICP" u="1"/>
        <s v="KN0447-OCP" u="1"/>
        <s v="KN0448-ICP" u="1"/>
        <s v="KN0448-OCP" u="1"/>
        <s v="KN0475-ICP" u="1"/>
        <s v="KN0475-OCP" u="1"/>
        <s v="KN0495-ICP" u="1"/>
        <s v="KN0495-OCP" u="1"/>
        <s v="LKR-E01-CW201 - 37860 - GFT" u="1"/>
        <s v="LMD10001-E01" u="1"/>
        <s v="LMD10005-E01" u="1"/>
        <s v="LMD10007-E01" u="1"/>
        <s v="LMD10008-E01" u="1"/>
        <s v="LMD10009-E01" u="1"/>
        <s v="T01" u="1"/>
        <s v="LKR-E01-CW201 - 37860" u="1"/>
        <s v="HPBDA" u="1"/>
        <s v="HPBHOG" u="1"/>
        <s v="HPBHOU" u="1"/>
        <s v="HPBQUI" u="1"/>
        <s v="POS Drive-OC" u="1"/>
        <s v="LIDL-E01-ST108-OCP" u="1"/>
        <s v="LIDL-E01-ST109-OCP" u="1"/>
        <s v="LMI-E01-BK108" u="1"/>
        <s v="LKR-C01-OW101 - 28170 - ICP" u="1"/>
        <s v="LKR-C01-OW103 - 28172 - ICP" u="1"/>
        <s v="LKR-C01-OW105 - 28174 - ICP" u="1"/>
        <s v="KN0449-ICP" u="1"/>
        <s v="KN0450-ICP" u="1"/>
        <s v="LIDL-E01-ST101-OCP" u="1"/>
        <s v="LIDL-E01-ST102-OCP" u="1"/>
        <s v="LIDL-E01-ST103-OCP" u="1"/>
        <s v="LIDL-E01-ST104-OCP" u="1"/>
        <s v="LIDL-E01-ST105-OCP" u="1"/>
        <s v="LIDL-E01-ST106-OCP" u="1"/>
        <s v="LMI-E01-SP107-OCP" u="1"/>
        <s v="CW0751-OCP" u="1"/>
        <s v="CW0710-ICP" u="1"/>
        <s v="CW0711-ICP" u="1"/>
        <s v="CW0712-ICP" u="1"/>
        <s v="CW0752-OCP" u="1"/>
        <s v="CW0782-OCP" u="1"/>
        <s v="CW0848-OCP" u="1"/>
        <s v="LKR-E01-OW108 - 28177-OCP" u="1"/>
        <s v="CW0710-OCP" u="1"/>
        <s v="CW0711-OCP" u="1"/>
        <s v="CW0712-OCP" u="1"/>
        <s v="KN0494-ICP" u="1"/>
        <s v="LRVKB-E01-CW101-ICP" u="1"/>
        <s v="LMO-E01-TO311" u="1"/>
        <s v="LMO-E01-TO314" u="1"/>
        <s v="LMO-E01-TO402" u="1"/>
        <s v="LRVKB-E02-OW103-OCP" u="1"/>
        <s v="LRVKB-E02-OW104-OCP" u="1"/>
        <s v="LRVKB-E02-OW103-SL" u="1"/>
        <s v="LRVKB-E02-OW103-PR" u="1"/>
        <s v="LRVKB-E02-OW104-SL" u="1"/>
        <s v="LRVKB-E02-OW104-PR" u="1"/>
        <s v="LSI-E01-AC101-OCP" u="1"/>
        <s v="LSI-E01-OD-102-OCP" u="1"/>
        <s v="LPY-E01-OW109" u="1"/>
        <s v="LPY-E01-OW111" u="1"/>
        <s v="LPY-E01-OW112" u="1"/>
        <s v="LPY-E01-OW113" u="1"/>
        <s v="LRVKB-E01-BW106" u="1"/>
        <s v="LRVKB-E01-OW105" u="1"/>
        <s v="LRVKB-E01-OW102" u="1"/>
        <s v="LRVKB-E01-OW103" u="1"/>
        <s v="LRVKB-E01-OW104" u="1"/>
        <s v="LKR-E01-CW122 - 28047-OCP" u="1"/>
        <s v="PS0503" u="1"/>
        <s v="LPY-E01-ST101-OCP" u="1"/>
        <s v="LPY-E01-ST107-OCP" u="1"/>
        <s v="LPY-E01-ST101-PR" u="1"/>
        <s v="LPY-E01-ST107-PR" u="1"/>
        <s v="KN0494-OCP" u="1"/>
        <s v="LKR-E01-CW401 - 28178-OCP" u="1"/>
        <s v="LKR-E01-CW402 - 28179-OCP" u="1"/>
        <s v="LKR-E01-OW101 - 28170-OCP" u="1"/>
        <s v="LKR-E01-OW102 - 28171-OCP" u="1"/>
        <s v="LKR-E01-OW103 - 28172-OCP" u="1"/>
        <s v="LKR-E01-OW104 - 28173-OCP" u="1"/>
        <s v="LKR-E01-OW105 - 28174-OCP" u="1"/>
        <s v="LKR-E01-OW107 - 28176-OCP" u="1"/>
        <s v="LKR-E01-OW112 - 28181-OCP" u="1"/>
        <s v="LKR-E01-OW113 - 28182-OCP" u="1"/>
        <s v="LPE-E01-OW102-OCP" u="1"/>
        <s v="LPE-E01-OW102-SL" u="1"/>
        <s v="LPE-E01-OW107-SL" u="1"/>
        <s v="LPE-E01-OW105-SL" u="1"/>
        <s v="LPE-E01-OW104-OCP" u="1"/>
        <s v="LPE-E01-OW104-SL" u="1"/>
        <s v="LDY-E01-SP202-OCP" u="1"/>
        <s v="LPY-E01-ST402-OCP" u="1"/>
        <s v="LPY-E01-ST403-OCP" u="1"/>
        <s v="LPY-E01-ST408-OCP" u="1"/>
        <s v="LPY-E01-ST410-OCP" u="1"/>
        <s v="LPY-E01-ST402-PR" u="1"/>
        <s v="LPY-E01-ST403-PR" u="1"/>
        <s v="LPY-E01-ST410-PR" u="1"/>
        <s v="LZW-E01-CW103-ICP" u="1"/>
        <s v="LZW-E01-CW103-PR1" u="1"/>
        <s v="LZW-E01-CW103-PR2" u="1"/>
        <s v="LZW-E01-CW103-PR3" u="1"/>
        <s v="LZW-E01-CW103-OCP" u="1"/>
        <s v="LPE-E01-OW103-OCP" u="1"/>
        <s v="LPE-E01-OW108-OCP" u="1"/>
        <s v="LPE-E01-OW101-OCP" u="1"/>
        <s v="LPE-E01-OW103-SL" u="1"/>
        <s v="LPE-E01-OW108-SL" u="1"/>
        <s v="LPE-E01-OW101-SL" u="1"/>
        <s v="LRVKB-E02-OW102-SL" u="1"/>
        <s v="LRVKB-E02-OW102-PR" u="1"/>
        <s v="CY0824-ICP" u="1"/>
        <s v="LPE-E01-OW101-IN" u="1"/>
        <s v="LPE-E01-OW103-IN" u="1"/>
        <s v="LPE-E01-OW108-IN" u="1"/>
        <s v="LPY-E01-OW104-IN" u="1"/>
        <s v="LRVKB-E02-OW103" u="1"/>
        <s v="CW0620-OCP" u="1"/>
        <s v="612389-OCP" u="1"/>
        <s v="612391-OCP" u="1"/>
        <s v="612392-OCP" u="1"/>
        <s v="612395-OCP" u="1"/>
        <s v="612471-OCP" u="1"/>
        <s v="612493-OCP" u="1"/>
        <s v="612494-OCP" u="1"/>
        <s v="612495-OCP" u="1"/>
        <s v="612496-OCP" u="1"/>
        <s v="DW0701" u="1"/>
        <s v="DW0700" u="1"/>
        <s v="PS0436" u="1"/>
        <s v="DW0957" u="1"/>
        <s v="CY0759" u="1"/>
        <s v="PS0438" u="1"/>
        <s v="DW0702" u="1"/>
        <s v="DW0703" u="1"/>
        <s v="LRVKB-E02-OW104" u="1"/>
        <s v="PS0371-OCP" u="1"/>
        <s v="LSI-E01-AC102-KT" u="1"/>
        <s v="LSI-E01-AC103-KT" u="1"/>
        <s v="LRVKB-E01-BW112-OCP" u="1"/>
        <s v="KN0450-OCP" u="1"/>
        <s v="KN0402-OCP" u="1"/>
        <s v="LPE-E01-OW110-ICP" u="1"/>
        <s v="LPE-E01-OW109-ICP" u="1"/>
        <s v="LPE-E01-OW109-OCP" u="1"/>
        <s v="LZW-E01-CW104-ICP" u="1"/>
        <s v="LZW-E01-CW104-IN1" u="1"/>
        <s v="LZW-E01-CW104-OCP" u="1"/>
        <s v="LZW-E01-CW104-IN2" u="1"/>
        <s v="LZW-E01-CW104-IN3" u="1"/>
        <s v="LZW-E01-CW105-ICP" u="1"/>
        <s v="LZW-E01-CW105-IN1" u="1"/>
        <s v="LZW-E01-CW105-OCP" u="1"/>
        <s v="LZW-E01-CW105-IN2" u="1"/>
        <s v="LZW-E01-CW105-IN3" u="1"/>
        <s v="LZW-E01-CW105-IN4" u="1"/>
        <s v="LZW-E01-CW104-IN4" u="1"/>
        <s v="LZW-E01-CW106-ICP" u="1"/>
        <s v="LZW-E01-CW106-OCP" u="1"/>
        <s v="LZW-E01-CW106-IN1" u="1"/>
        <s v="LZW-E01-CW106-IN2" u="1"/>
        <s v="LZW-E01-CW106-IN3" u="1"/>
        <s v="LZW-E01-CW106-IN4" u="1"/>
        <s v="LZW-E01-CW107-ICP" u="1"/>
        <s v="LZW-E01-CW107-OCP" u="1"/>
        <s v="LZW-E01-CW107-IN1" u="1"/>
        <s v="LZW-E01-CW107-IN2" u="1"/>
        <s v="LZW-E01-CW107-IN3" u="1"/>
        <s v="LZW-E01-CW107-IN4" u="1"/>
        <s v="CW0847-ICP" u="1"/>
        <s v="CW0847-OCP" u="1"/>
        <s v="CW0847-TS1" u="1"/>
        <s v="CW0847-TS2" u="1"/>
        <s v="CW0847-IN" u="1"/>
        <s v="CW0846-ICP" u="1"/>
        <s v="CW0846-OCP" u="1"/>
        <s v="CW0846-TS1" u="1"/>
        <s v="CW0846-TS2" u="1"/>
        <s v="CW0846-IN" u="1"/>
        <s v="CW0848-ICP" u="1"/>
        <s v="CW0848-TS1" u="1"/>
        <s v="CW0848-TS2" u="1"/>
        <s v="CW0848-IN" u="1"/>
        <s v="CW0849-ICP" u="1"/>
        <s v="CW0849-OCP" u="1"/>
        <s v="CW0849-TS1" u="1"/>
        <s v="CW0849-TS2" u="1"/>
        <s v="CW0849-IN" u="1"/>
        <s v="CW0782-ICP" u="1"/>
        <s v="CW0782-IN" u="1"/>
        <s v="CW0782-TS1" u="1"/>
        <s v="CW0782-TS2" u="1"/>
        <s v="CW0846-IN2" u="1"/>
        <s v="CW0846-TS3" u="1"/>
        <s v="CW0848-IN2" u="1"/>
        <s v="CW0848-TS3" u="1"/>
        <s v="CW0848-TS4" u="1"/>
        <s v="CW0849-IN2" u="1"/>
        <s v="CW0849-TS3" u="1"/>
        <s v="CW0849-TS4" u="1"/>
        <s v="CW0782-IN2" u="1"/>
        <s v="CW0782-TS3" u="1"/>
        <s v="CW0782-TS4" u="1"/>
      </sharedItems>
    </cacheField>
    <cacheField name="Item Description" numFmtId="0">
      <sharedItems count="1240">
        <s v="Serving Spoon"/>
        <s v="Oval Dish"/>
        <s v="Pie dish"/>
        <s v="Minecraft Plush Steve 16cm"/>
        <s v="Minecraft Plush Alex 16cm"/>
        <s v="Minecraft Plush Creeper 16cm"/>
        <s v="Minecraft Plush Pig 16cm"/>
        <s v="Minecraft Plush Bee 16cm"/>
        <s v="Minecraft Plush Fox 16cm"/>
        <s v="Cultivator 30cm"/>
        <s v="Trowel"/>
        <s v="Bypass lopper 28 inch"/>
        <s v="Adidas 3 completi tennis donna (taglie s-m-l)"/>
        <s v="Set 3 polsiere tennis"/>
        <s v="Set 12 corde per saltare"/>
        <s v="Set 4 ruote per esercizi"/>
        <s v="Set 6 ghiaccio spray"/>
        <s v="Bacheca/pannello fondo sughero"/>
        <s v="Set 5 cuffie poliestere - junior"/>
        <s v="Set 2 ostacolatori monoblocco"/>
        <s v="Paracadute per piscina"/>
        <s v="Valigetta pronto soccorso"/>
        <s v="Compressore"/>
        <s v="Pinne da allenamento con pala corta tg 38"/>
        <s v="Pinne da allenamento con pala corta tg 42"/>
        <s v="Set 5 palloni Gilbert allenamento gtr4000 mis. 5"/>
        <s v="Set 4 paradenti Gilbert tricolore senior"/>
        <s v="Set 5 palloni Academy School, mis.4 da allenamento"/>
        <s v="Set 5 palloni Academy School, mis. 5 da allenamento"/>
        <s v="Set 2 borse porta palloni"/>
        <s v="Racchetta Padel Capo"/>
        <s v="Calze basket 10 paia"/>
        <s v="Set 10 casacche Pro allenamento"/>
        <s v="Set 10 casacche Double"/>
        <s v="Set 2 borse Brera"/>
        <s v="Set 2 zaini Europa fondo imbottito"/>
        <s v="Zaino piscina"/>
        <s v="Set 10 t-shirt mezza manica"/>
        <s v="Set 3 pantaloncini donna blu s-m-l"/>
        <s v="Set da 4 gym ball"/>
        <s v="Set da 8 materassini pieghevoli"/>
        <s v="Set 20 elastici fitness con maniglie e cavigliere"/>
        <s v="Polsiere / cavigliere regolabili"/>
        <s v="Set di 10 stretch band"/>
        <s v="Set di 2 balance board con maniglie"/>
        <s v="Set 4 cronometri impermeabili"/>
        <s v="Porta calcetto"/>
        <s v="Set 2 aste guardialinee complete"/>
        <s v="Rete da pallavolo pesante"/>
        <s v="Coppia di polsiere ad 1 fascia 500 g cadauna"/>
        <s v="Materasso in gomma espansa"/>
        <s v="Sbarra danza in legno 2 metri"/>
        <s v="Sacco boxe da 30 kg"/>
        <s v="Coppia reti pallamano"/>
        <s v="Cono"/>
        <s v="Set di 48 delimitatori"/>
        <s v="Set 10 cerchi in nylon"/>
        <s v="Set 10 pali slalom"/>
        <s v="Set 10 stuoie"/>
        <s v="Set 6 borracce"/>
        <s v="Carrello porta palloni"/>
        <s v="Panca mt. 2 senza schienale"/>
        <s v="Glass storage rec. S 470ml"/>
        <s v="Glass storage rec. M 800ml"/>
        <s v="Glass storage rec. L 1380ml"/>
        <s v="Glass storage round L 1500ml"/>
        <s v="Glass storage rec. XL 2620ml"/>
        <s v="Vacuum pump - Electrical"/>
        <s v="Glass storage round M 820ml"/>
        <s v="Panca sollevamento pesi"/>
        <s v="1 pallone beach volley modello Replica"/>
        <s v="1 pallone MVP da basket mis 7"/>
        <s v="1 pallone da minibasket mis 5"/>
        <s v="Sharpener"/>
        <s v="Kitchen Shears FSC"/>
        <s v="Saucepan 16cm"/>
        <s v="Casserole with lid 20cm"/>
        <s v="Casserole with lid 24cm"/>
        <s v="Wok with lid 30cm"/>
        <s v="frypan 20cm"/>
        <s v="frypan 24cm"/>
        <s v="frypan 28cm"/>
        <s v="Hand rake 38,8cm"/>
        <s v="Set of Pepper &amp; Salt Mill"/>
        <s v="Pressure Cooker 6,0 l"/>
        <s v="Bypass pruner 8 inch"/>
        <s v="Garden Stool with Tool Bag"/>
        <s v="Rectangular dish 36cm"/>
        <s v="Rectangular dish 24cm"/>
        <s v="Minecraft duffle trolley"/>
        <s v="Multifunctional Scissor"/>
        <s v="Garden multitool"/>
        <s v="Garden Work Gloves"/>
        <s v="PKP 18 E Glue Gun"/>
        <s v="13-in-1 Multitool"/>
        <s v="UniversalBrush"/>
        <s v="IXO7"/>
        <s v="Star Wars 3pc Cards Nes Pack"/>
        <s v="Santoku knife"/>
        <s v="Chef's knife"/>
        <s v="Vacuum pump Manual"/>
        <s v="PP vacuum container sq. 1500ml"/>
        <s v="PP vacuum container rec. 600ml"/>
        <s v="PP vacuum container rec. 1200ml"/>
        <s v="PP vacuum container bowl 1000ml"/>
        <s v="PP vacuum container bowl 2000ml"/>
        <s v="Lunch box"/>
        <s v="Yogurt beker"/>
        <s v="Red wine glass 2pcs 490ml"/>
        <s v="White wine glass 2pcs 380ml"/>
        <s v="Whisky glass 2pcs 345ml"/>
        <s v="Long drink glass 2pcs"/>
        <s v="Glass storage rnd 1100ml"/>
        <s v="Glass storage rnd 600ml"/>
        <s v="Ovendish large 38 x 26 x 7,5cm"/>
        <s v="Long drink glass 2pcs 445ml"/>
        <s v="Tritan Bottle - 500ML"/>
        <s v="Eco Bag with Pouch-Anpanman"/>
        <s v="Eco Bag with Pouch-Baikinman"/>
        <s v="Paring knife"/>
        <s v="Utility knife"/>
        <s v="Bread knife"/>
        <s v="Slicing knife"/>
        <s v="Thermal Food Flask"/>
        <s v="Cereal bowl set - 2 pcs"/>
        <s v="Serving platter - 34cm"/>
        <s v="Foldable Mat"/>
        <s v="Manual Vacuum Pump"/>
        <s v="Glass Measuring Jug with Lid 500ml"/>
        <s v="Mini Glass Container 2 pack with Lid"/>
        <s v="Medium Glass Container with Lid"/>
        <s v="Glass Cookware Set with Lid 2 Pack"/>
        <s v="Disney Christmas Bell_0+ OPEN VERSION"/>
        <s v="Glass storage rec. 1500ml"/>
        <s v="Glasses - Iron Man"/>
        <s v="Glasses - Groot"/>
        <s v="Marvel glasses - Black Widow"/>
        <s v="Glasses - Black Panther"/>
        <s v="SNOW HARE PLUSH"/>
        <s v="Serving Tray"/>
        <s v="Minecraft white square mug Bee"/>
        <s v="Minecraft white square mug Enderman"/>
        <s v="Minecraft Smartphone Pouch"/>
        <s v="Minecraft Tagz in flowpack"/>
        <s v="Minecraft water bottle Bee"/>
        <s v="Minecraft water bottle Enderman"/>
        <s v="Minecraft umbrella"/>
        <s v="Minecraft album for 24 Tagz"/>
        <s v="PP 2.0 album softcover 50 page"/>
        <s v="Palla medica con impugnatura"/>
        <s v="Palla medica morbida"/>
        <s v="PP 2.0 Nes pack 3 stickers"/>
        <s v="Truvo Digital Detector"/>
        <s v="Snap-off knife"/>
        <s v="13-in1 Repair Tool"/>
        <s v="Multi-purpose scissors"/>
        <s v="NIGHTLIGHT PROJECTOR"/>
        <s v="MONEY BANK"/>
        <s v="MUGS SET OF 2PCS"/>
        <s v="BOWLS SET OF 2PCS"/>
        <s v="BLANKET"/>
        <s v="Minecraft Plush Enderman 16cm"/>
        <s v="Minecraft beach towel"/>
        <s v="Harry Potter Bottle Gryffindor 500ml"/>
        <s v="Harry Potter Bottle Hufflepuff 500ml"/>
        <s v="Harry Potter Bottle Ravenclaw 500ml"/>
        <s v="Harry Potter Bottle Slytherin 500ml"/>
        <s v="Harry Potter String Bag with Poster"/>
        <s v="HP printed patch in FSC flowpack"/>
        <s v="Disney Fixeez E.Leclerc"/>
        <s v="Casserole 20cm with silicone straining lid"/>
        <s v="Casserole 24cm with silicone straining lid"/>
        <s v="Open wok 28cm"/>
        <s v="2,8L preparation bowl"/>
        <s v="Set of Mixed Sports Style Bags"/>
        <s v="Grater - Parmenide"/>
        <s v="Pie dish 28cm"/>
        <s v="Cake dish 26cm"/>
        <s v="Measure Jug 1L"/>
        <s v="Paring Knife 100mm"/>
        <s v="Bread Knife 200mm"/>
        <s v="Cutting board, bamboo, medium"/>
        <s v="Multi-purpose kitchen shears"/>
        <s v="2L Tritan Drinking Bottle"/>
        <s v="Tier 2 Thermal Tumblers in a mixed carton with filler"/>
        <s v="Marvel 2.0 Stickerpack for free EN"/>
        <s v="Marvel 2.0 Stickerpack for FR"/>
        <s v="Marvel 2.0 Album for stickers"/>
        <s v="Marvel 2.0 Album for sticker FR"/>
        <s v="Disney Morrison UK xmas bells 2025"/>
        <s v="Snoopy Urban Style Umbrella with J Handle"/>
        <s v="20cm Plush Monochrome Snoopy with cap &amp; sunglasses"/>
        <s v="1M Monochrome Snoopy plush"/>
        <s v="Snoopy Mini Clear PC Hardcase with 2 sides UV print"/>
        <s v="HP Wizzis Busts collector with HP wand"/>
        <s v="HP wand"/>
        <s v="Disney Maxi Serbia xmas bells 2025"/>
        <s v="Disney Xmas bell 2025 - Generic 1.0 CZ ES RO"/>
        <s v="Morrisons UK X Disney Kitchen Cards"/>
        <s v="Morrisons UK X Disney Kitchen Album"/>
        <s v="Pie dish 30cm"/>
        <s v="Slicing knife 160mm"/>
        <s v="Utility Knife 130mm"/>
        <s v="Cocotte cast iron round 24cm"/>
        <s v="Tumbler 40 cl clear 2pcs"/>
        <s v="Disney multiverse Carrefour France xmas bells 2025"/>
        <s v="Disney Xmas Wreath"/>
        <s v="Disney Stitch NESpack of 4 cards &amp; 1 Fixeez"/>
        <s v="Disney Stitch Album E.Leclerc"/>
        <s v="Glass storage Vacuum rnd 1100ml"/>
        <s v="Glass storage Vacuum rnd 1600ml"/>
        <s v="Glass storage Vacuum rec. 800ml"/>
        <s v="Glass storage Vacuum rec. 1500ml"/>
        <s v="Glass storage Vacuum rec. 2600ml"/>
        <s v="Glass storage Vacuum rnd 600ml"/>
        <s v="Lid of glass storage vacuum rec. 800ml"/>
        <s v="Lid of glass storage vacuum rec. 1500ml"/>
        <s v="Lid of glass storage vacuum rec. 2600ml"/>
        <s v="Set 2 cassette portavalori"/>
        <s v="Tondo galleggiante per piscina 24 pezzi"/>
        <s v="Set 6 Casco Di Sicurezza Regolabile Bici Junior. Misura: 52 - 56 Cm"/>
        <s v="Bilanciere olimpionico"/>
        <s v="Set 4 lavagne magnetiche calcio per coach"/>
        <s v="Megafono"/>
        <s v="Sport cam"/>
        <s v="Scudo Gilbert placcaggio senior"/>
        <s v="Set 12 borracce Givova in acciaio"/>
        <s v="Calza calcio 10 paia Baby/Boy/Adulto"/>
        <s v="Set 4 accappatoi microfibra uomo grigio"/>
        <s v="Set 10 short capo"/>
        <s v="Set 5 palloni gara match king"/>
        <s v="Set 10 cuffie - adulto"/>
        <s v="Set 10 k-way"/>
        <s v="Set 3 pantaloncini adulto s-m-l"/>
        <s v="Cronometro in acciaio alta precisione"/>
        <s v="Panca pesistica e per addominali"/>
        <s v="Set pesi 20 kg"/>
        <s v="Set 2 supporti terra per sbarra danza"/>
        <s v="Impianto minivolley modello hobby"/>
        <s v="Rete da minivolley"/>
        <s v="Coppia reti calcio"/>
        <s v="Set 4 pali angolo snodati"/>
        <s v="Coppia reti calcetto"/>
        <s v="Set 100 palline da tennis tavolo"/>
        <s v="Lid of glass storage vacuum rnd 600ml"/>
        <s v="Disney Game On NES FREE 2Cards"/>
        <s v="Disney Game On Album for Cards"/>
        <s v="Disney Game On NES pack 4Cards + 2Sticker"/>
        <s v="1 pallone da volleyball"/>
        <s v="Vacuum pump - Manual"/>
        <s v="Disney Pixar backpack Woody"/>
        <s v="Disney Pixar lunch bag Remy"/>
        <s v="Disney Pixar beach bag Anxiety"/>
        <s v="Disney Pixar drink bottle Buzz"/>
        <s v="Disney Pixar beach towel Nemo"/>
        <s v="Disney Pixar beach towel Dory"/>
        <s v="Disney Pixar pouch Edna"/>
        <s v="Nat Geo - Album softCover 42 pages  - SIGMA"/>
        <s v="Nat Geo - Pack with 4 cards - SIGMA"/>
        <s v="Small Glass Container with Basket with Lid"/>
        <s v="Large Glass Container with Basket &amp; Divider with Lid"/>
        <s v="Head lamp"/>
        <s v="Bowl 15cm 2pc set"/>
        <s v="Salad bowl 23cm"/>
        <s v="Serving dish 30cm"/>
        <s v="Oven dish large"/>
        <s v="Oven dish medium"/>
        <s v="Universal Kitchen scissors"/>
        <s v="Rectangular dish 30 cm"/>
        <s v="Ramekin 10cm set/2"/>
        <s v="Chef knife 20 cm - Acacia"/>
        <s v="Santoku knife 12,5 cm - Acacia"/>
        <s v="Cutting board - Acacia wood"/>
        <s v="Carving knife 20 cm - Acacia"/>
        <s v="Set of 2 steak knives 11.5 cm - Acacia"/>
        <s v="Bread knife - Acacia"/>
        <s v="Utility knife 12 cm - Acacia"/>
        <s v="Knife block Greencut Acacia"/>
        <s v="Easy Drill 1200 Lithium-ion cordless drill/driver"/>
        <s v="Lavagna magnetica cancellabile"/>
        <s v="Set 10 t-shirt capo"/>
        <s v="Set 10 cerchi in pvc"/>
        <s v="Fresh Paring Knife"/>
        <s v="Chef Knife"/>
        <s v="Small Santoku Knife"/>
        <s v="Square tray 1L"/>
        <s v="Rectangular tray 2L ( 32 x 20 x 5 cm )"/>
        <s v="Rectangular tray 3,6L ( 39 x 24 x 6 cm )"/>
        <s v="Mixing Bowl"/>
        <s v="Cast Iron Grill Pan"/>
        <s v="Cast Iron Casserole (24cm)"/>
        <s v="Casserole with lid 16cm"/>
        <s v="Rubberwood Block (6 slots)"/>
        <s v="Side plate 21cm - 2pcs"/>
        <s v="Pasta plate 23cm - 2pcs"/>
        <s v="PP CUTTING BOARD"/>
        <s v="Glass storage round S 270ml"/>
        <s v="Monopoly cardpack"/>
        <s v="Monopoly cardpack_Version for Proxy stores"/>
        <s v="Frypan 20 cm - light blue"/>
        <s v="Frypan 24 cm - blue"/>
        <s v="Wok 28 cm - dove grey"/>
        <s v="Casserole 2 handles 24 cm - dove grey"/>
        <s v="Skillet 32 cm - blue"/>
        <s v="Milk pot 14 cm - light blue"/>
        <s v="Tong - Domenica"/>
        <s v="Set 72 pezzi scrittura Best Seller"/>
        <s v="Set 100 pezzi scrittura ecologica"/>
        <s v="Set 12 bottiglie tempere colori primari"/>
        <s v="Valigetta Minabella"/>
        <s v="Set 20 colle stick"/>
        <s v="Cucitrice Lebez ad alti spessori"/>
        <s v="Set pettorine 15 blu e 15 gialle"/>
        <s v="Set 400 cartoncini colorati lisci"/>
        <s v="Tennis tavolo"/>
        <s v="Plastificatrice Peach A3/A4"/>
        <s v="Cuffia con microfono usb"/>
        <s v="Cavo Hdmi Da 5 Mt"/>
        <s v="100 pouches A4"/>
        <s v="Pallino coding - 2 confezioni"/>
        <s v="Set insiemistica"/>
        <s v="Scanmarker Reader"/>
        <s v="Set timbrini dei giudizi"/>
        <s v="Speaker portatile Usb"/>
        <s v="Stampante HP Multifunzione Laser Bianco e Nero A4"/>
        <s v="Amplificatore Da Cintura Karma"/>
        <s v="Stampante Epson Inkjet Bianco e Nero Epson"/>
        <s v="Notebook HP 11,6 Touch"/>
        <s v="Notebook Acer 15.6 Intel Core i5"/>
        <s v="Masterizzatore e Lettore Dvd Portatile HP"/>
        <s v="Notebook HP 15,6 Intel Core i3"/>
        <s v="Casse acustiche da 100W"/>
        <s v="Lego education - BRICQ Motion Prime"/>
        <s v="Tastiera per disabili"/>
        <s v="Carrello per monitor"/>
        <s v="Armadio 2 ante con pannello ecologico"/>
        <s v="Armadio 9 vani con pannello ecologico"/>
        <s v="Carrello per pittura con pannello ecologico"/>
        <s v="Tastiera digitale 49 tasti"/>
        <s v="Costruzioni colorate legno"/>
        <s v="Set BS Toys"/>
        <s v="Set 3 grandi sfide"/>
        <s v="Tavolo pieghevole con pannello ecologico"/>
        <s v="Carrello porta colori con pannello ecologico"/>
        <s v="Cronometro in acciaio"/>
        <s v="Tablet Samsung Galaxy 10,5 Wifi"/>
        <s v="Metro laser digitale"/>
        <s v="Vegetable Knife"/>
        <s v="Sistema audio portatile"/>
        <s v="UniversalVac 18 Set"/>
        <s v="Servingpan 28cm"/>
        <s v="Stewpot 20cm w/lid"/>
        <s v="Stockpot 16cm w/lid"/>
        <s v="Saucepan 16cm w/o lid"/>
        <s v="Stockpot 24cm w/lid"/>
        <s v="Frypan 16cm ceramic coated"/>
        <s v="Frying pan, 20cm, ceramic coated"/>
        <s v="Frying pan, 24cm, ceramic coated"/>
        <s v="Frying pan, 28cm, ceramic coated"/>
        <s v="Dinner plate 27cm 2 pc set"/>
        <s v="Side plate 21 cm 2pc set"/>
        <s v="KN0446-ISB"/>
        <s v="KN0446-KI"/>
        <s v="KN0447-KI"/>
        <s v="KN0448-ISB"/>
        <s v="KN0448-KI"/>
        <s v="KN0475-ISB"/>
        <s v="KN0475-KI"/>
        <s v="Deep plate 20cm 2pc set"/>
        <s v="Guesttowel  30x50cm - grey - set of 2 ."/>
        <s v="Guesttowel  30x50cm - lightblue - set of 2"/>
        <s v="Guesttowel  30x50cm - lightgreen - set of 2"/>
        <s v="Handtowel  50x100cm - grey - Set of 2"/>
        <s v="Handtowel  50x100cm - lightblue  - Set of 2"/>
        <s v="Handtowel  50x100cm - lightgreen  - Set of 2"/>
        <s v="bathtowel 70x140cm - grey"/>
        <s v="bathtowel 70x140cm - lightblue"/>
        <s v="bathtowel 70x140cm - lightgreen"/>
        <s v="Bathmat 50x80cm - grey"/>
        <s v="Wellnesstowel 75x180cm - grey"/>
        <s v="Square tray 1L (KIT)"/>
        <s v="Rectangular tray 2L (32 x 20 x 5 cm) (KIT)"/>
        <s v="Rectangular tray 3,6L (39 x 24 x 6 cm) (KIT)"/>
        <s v="Monopoly Deal Refresh"/>
        <s v="Sports bottle 700ml"/>
        <s v="Cotton sport towel"/>
        <s v="Backpack"/>
        <s v="Vanity Bag"/>
        <s v="Duffel"/>
        <s v="Waist bag"/>
        <s v="Microfiber sport towel"/>
        <s v="Cap"/>
        <s v="Cutting board - FSC Rubberwood"/>
        <s v="Rigid Trolley"/>
        <s v="Travel Bag"/>
        <s v="Kitchen shear"/>
        <s v="Springform 24x7cm"/>
        <s v="Cake Form 24x13x6cm"/>
        <s v="Cast iron casserole 24cm"/>
        <s v="Zester"/>
        <s v="Santoku Knife 180mm"/>
        <s v="Chef´s Knife 200mm"/>
        <s v="Lid of glass storage vacuum rnd 1100ml"/>
        <s v="Round Baker"/>
        <s v="Rectangular Baker M"/>
        <s v="Round Casserole with lid"/>
        <s v="Bowl 12cm 2 pcs"/>
        <s v="Dessert plate 18cm 2 pcs"/>
        <s v="Pasta/Soup plate 2 pcs"/>
        <s v="Dinner plate 26cm 2 pcs"/>
        <s v="SET FORBICI"/>
        <s v="SET SCRIVI E CANCELLA"/>
        <s v="VALIGETTA POSCA 10PZ COLORI ASSORTITI"/>
        <s v="SCHOOL BOX 112 PEZZI"/>
        <s v="SET 12 BOTTIGLIE TEMPERE COLORI PRIMARI 1"/>
        <s v="SET 12 BOTTIGLIE TEMPERE COLORI ADDIZIONALI 1"/>
        <s v="SET 12 PANETTI DI PASTA BIANCA 500 GR"/>
        <s v="SET 12 PANETTI DI PASTA TERRACOTTA  500 G"/>
        <s v="SET 10 PZ  BLISTER 22 PASTIGLIE ACQUERELLO"/>
        <s v="SET 6 BOTTIGLIE DI COLLA VINILICA DA 1000 G"/>
        <s v="SET TELE PITTURA DECO STUDIO 28 PZ"/>
        <s v="BAULETTO MAMBO 180"/>
        <s v="BAULETTO RUMBA"/>
        <s v="SET 4 RISME DA 100 CARTONCINI PRISMA"/>
        <s v="SET 4 RISME DA 100 FOGLI DI CARTONCINI BRISTOL"/>
        <s v="SET 3 VALIGETTE APPRENDIMENTO BASE"/>
        <s v="SET 5 PALLONI VOLLEY"/>
        <s v="SET 6 PALLONI CALCIO PIXEL"/>
        <s v="SET PORTA CALCIO 2 IN 1"/>
        <s v="SET 6 PALLONI VOLLEY PIXEL"/>
        <s v="SET 10 CORDE SALTO"/>
        <s v="TERMOMETRO A INFRAROSSI MULTIFUNZIONE"/>
        <s v="MISURATORE DI PRESSIONE DA BRACCIO DIGITALE"/>
        <s v="PULSOSSIMETRO"/>
        <s v="SET 6 PALLONI IN SPUGNA"/>
        <s v="IRIS PEN READER 8"/>
        <s v="SET 3 COLLA A CALDO"/>
        <s v="TRONCO UMANO SCOMPONIBILE CM 85"/>
        <s v="SCHELETRO UMANO ALTEZZA 180CM"/>
        <s v="SISTEMA SOLARE LUMINOSO"/>
        <s v="TELESCOPIO CANNOCCHIALE"/>
        <s v="PALLINO CODING - 2 PEZZI"/>
        <s v="MULTIBASE MAGNETICO"/>
        <s v="MINI BLOCKS 500PZ"/>
        <s v="GEOMETRIA ECO"/>
        <s v="LEZIONI DI GEOMETRIA"/>
        <s v="IMPARIAMO A CONTARE - VERSIONE ECO"/>
        <s v="IMPARARE I NUMERI"/>
        <s v="SET MUSICALE"/>
        <s v="MEMO TONDO DELLE EMOZIONI"/>
        <s v="SET BASE MULTISPORT"/>
        <s v="MONITOR 65 TOUCH"/>
        <s v="INSTALLAZIONE MONITOR TOUCH"/>
        <s v="CARRELLO VIEWSONIC PORTA MONITOR"/>
        <s v="VIDEOPROIETTORE FOCALE ULTRA CORTA CON STAFFA (VID"/>
        <s v="CHROMEBOOK 14 FULL HD CON LICENZA"/>
        <s v="NOTEBOOK 15.6 CELERON"/>
        <s v="NOTEBOOK I3"/>
        <s v="NOTEBOOK ACER 15.6 FULL HD"/>
        <s v="TABLET 10,1"/>
        <s v="MONITOR PER PC 24 FULL HD"/>
        <s v="SET 5 LICENZE MICROSOFT OFFICE STANDARD PERPETUE"/>
        <s v="HARD DISK PORTATILE USB"/>
        <s v="SET DI 5 CAVI HDMI DA 5 MT"/>
        <s v="ADATTATORE USB TYPE-C HDMI"/>
        <s v="SCHERMO PER PROIETTORI"/>
        <s v="DOCUMENT CAMERA, VISUALIZER, WEBCAM"/>
        <s v="SOUNDBAR PREAMPLIFICATA 90W"/>
        <s v="COPPIA DI CASSE IN LEGNO PREAMPLIFICATE DA 100W"/>
        <s v="MICROFONO WIRELESS CON RICEVITORE"/>
        <s v="CASSA TRASPORTABILE AMPLIFICATA A BATTERIA"/>
        <s v="STAMPANTE INKJET BIANCO E NERO EPSON ECOTANK"/>
        <s v="STAMPANTE MULTIFUNZIONE INKJET A4"/>
        <s v="STAMPANTE MULTIFUNZIONE LASER BIANCO E NERO A4"/>
        <s v="FUJITSU SCANNER"/>
        <s v="SET DI 3 MOUSE WIRELESS AMBI DESTRI"/>
        <s v="PRESENTER"/>
        <s v="12 LICENZE MINECRAFT"/>
        <s v="CUCITRICE AD ALTI SPESSORI"/>
        <s v="TAGLIERINA ROTANTE A3"/>
        <s v="DISTRUGGI DOCUMENTI"/>
        <s v="PLASTIFICATRICE INSPIRE A3"/>
        <s v="1000 POUCHE A4"/>
        <s v="500 POUCHE A3"/>
        <s v="RILEGATRICE A DORSI PLASTICI"/>
        <s v="MICROSCOPIO 2 MEGA PIXEL CON SCHERMO 4,3"/>
        <s v="LEGO EDUCATION BRICQ MOTION PRIME"/>
        <s v="LEGO EDUCATION SPIKE ESSENTIAL"/>
        <s v="BANCO DA LAVORO"/>
        <s v="SET AMBIENTI MINECRAFT MONDI DA SCOPRIRE"/>
        <s v="GIOCO DA TAVOLO MINECRAFT"/>
        <s v="MEGAFONO USB KARMA"/>
        <s v="FLAUTO DOLCE"/>
        <s v="BATTERIA ARROTOLABILE IN SILICONE"/>
        <s v="VENTILATORE SMART A TORRE"/>
        <s v="SET 24 CARTINE GEOGRAFICHE"/>
        <s v="4 MAPPAMONDI ORION"/>
        <s v="4 MAPPAMONDI CARBON CLASSIC"/>
        <s v="Set of Kitchen Utensils"/>
        <s v="Glass storage vacuum md 1100m"/>
        <s v="One touch fresh sq. 370ml"/>
        <s v="One touch fresh sq. 810ml"/>
        <s v="One touch fresh sq. 1250ml"/>
        <s v="Snack Box Oblong"/>
        <s v="Wonderlier bowl 2500ml"/>
        <s v="Speedy Mando"/>
        <s v="Freezer mates Gen II 1L 2pc set"/>
        <s v="Wonderlier bowl 775ml 3pc set"/>
        <s v="Snack Box Small"/>
        <s v="Eco Sports bottle EDD 750ml"/>
        <s v="Cereal bowls 500ml various (3pc set)"/>
        <s v="MICROFONO PROFESSIONALE A CONDENSATORE"/>
        <s v="CUFFIA WIRELESS CON RIDUZIONE RUMORE"/>
        <s v="SET 1020 COLORI"/>
        <s v="CARRELLO PORTA FOGLI E COLORI CON PANNELLO ECOLOGICO"/>
        <s v="CARRELLO PORTA COLORI FANTASIA CON PANNELLO ECOLOG"/>
        <s v="ARMADIO 2 ANTE CON RIPIANI CON PANNELLO ECOLOGICO"/>
        <s v="ARMADIO 9 VANI - PANNELLO ECOLOGICO"/>
        <s v="LIBRERIA COMPATTA CON TRE RIPIANI REGOLABILI"/>
        <s v="SET SGABELLO FACTOTUM CON TAPPETINO STEP STOOL"/>
        <s v="RADIATORE AD OLIO ELLETTRICO 11 ELEMENTI"/>
        <s v="BLOCCHI ARCHITETTURA"/>
        <s v="GIOCHI ABILITA"/>
        <s v="GIOCHI CLASSICI"/>
        <s v="SET GIOCHI DA TAVOLO ABILMENTE"/>
        <s v="SET PSICOMOTORIO 72 PZ"/>
        <s v="FORME SENSORIALI ARCOBALENO"/>
        <s v="Scissors"/>
        <s v="Set 5 palloni calcio mis 4"/>
        <s v="Cavalletto flip chart magnetico"/>
        <s v="Notebook Acer 15,6&quot; intel i3"/>
        <s v="Re-useable Atomizer Bottle with Figurine Lid"/>
        <s v="Double Walled Glasses with Facet cut styling"/>
        <s v="1L glass storage / lunch box"/>
        <s v="Disney Conad IT Book rigid cover"/>
        <s v="KN0449-ISB"/>
        <s v="KN0449-KI"/>
        <s v="ClassicTraveller Square Emblem 0,6L"/>
        <s v="KN0450-ISB"/>
        <s v="KN0450-KI"/>
        <s v="Meat/Slicer Knife"/>
        <s v="Wasserglas groß, 4er Set"/>
        <s v="Set 5 pullbuoy nuoto"/>
        <s v="Set 6 felpe + 6 pantaloni allenamento Polarfleece"/>
        <s v="Set 3 canotte bambino taglia 4xs-3xs-xxs"/>
        <s v="Pedana elastica"/>
        <s v="Set 10 ostacoli over"/>
        <s v="Rete in nylon pesante con cavo d'acciaio"/>
        <s v="Tennis tavolo per interno"/>
        <s v="Set 2 canestri basket senza tabellone"/>
        <s v="Kitchen towel set of 3 pieces"/>
        <s v="Caterpillar plush"/>
        <s v="Alarm Clock"/>
        <s v="Serving bowl / plate 30cm"/>
        <s v="Large Bowl 17cm - 2pcs"/>
        <s v="Dry storage sq. AS 3pc set"/>
        <s v="Hermione on the Hogwarts Express (locomotive)"/>
        <s v="Ron on the Hogwarts Express (train carriage)"/>
        <s v="Dumbledore"/>
        <s v="Voldemort"/>
        <s v="Harry on a broomstick"/>
        <s v="Hagrid on a motorcycle"/>
        <s v="Hedwig with packages - for sale"/>
        <s v="Ginny - for sale"/>
        <s v="Bellatrix - for sale"/>
        <s v="Ford Anglia - for sale"/>
        <s v="The Knight Bus - for sale"/>
        <s v="Draco on a broomstick - for sale"/>
        <s v="Supersonic chopper compact"/>
        <s v="BBQ Cast Iron Teppanyaki Plate"/>
        <s v="Disney mug beige 300ml"/>
        <s v="Disney bowl beige 520ml"/>
        <s v="Disney 21cm plate beige"/>
        <s v="Disney 26cm plate beige"/>
        <s v="Disney mug blue 300ml"/>
        <s v="Disney bowl blue 520ml"/>
        <s v="Disney 21cm plate blue"/>
        <s v="Disney 26cm plate blue"/>
        <s v="Cutting Board"/>
        <s v="Kitchen Scissors"/>
        <s v="Carving board"/>
        <s v="BBQ Carving Knife"/>
        <s v="Vacuum box glass 350ml"/>
        <s v="Knife Block"/>
        <s v="Pikachu cushion"/>
        <s v="Evoli (Eevee) cushion"/>
        <s v="Bulbizarre (Bulbasaur) cushion"/>
        <s v="Salamèche (Charmander) cushion"/>
        <s v="Pokemon Umbrella"/>
        <s v="Disney Sport Marbles - 33mm"/>
        <s v="Rectangular tray 3,6l"/>
        <s v="Minecraft patch in flowpack-Auchan PL"/>
        <s v="SET 10 PEZZI CERCHI IN PVC A SEZIONE ROTONDA"/>
        <s v="Rectangular dish 30cm"/>
        <s v="Disney Key Chain Mixed OC Canada"/>
        <s v="2pcs Steak Knife"/>
        <s v="SET 6 PEZZI FOOTBALL TRAINER"/>
        <s v="RETE DA ALLENAMENTO CALCIO"/>
        <s v="SET 6 PEZZI AGILITY GRID ESAGONALE"/>
        <s v="DIVISA PORTIERE DA CALCIO JUNIOR 3PZ"/>
        <s v="SET 20 PEZZI PALLONI FOOTBALL JUNIOR"/>
        <s v="SET 10 PEZZI PALLONI CALCIO ROBORO CON BORSA"/>
        <s v="SET 20 PEZZI PALLONI MINI VOLLEY"/>
        <s v="TABELLONE DA BASKET SEATTLE"/>
        <s v="SET 12 PEZZI OCCHIALINI DA NUOTO JUNIOR"/>
        <s v="SET 12 PEZZI OCCHIALINI DA NUOTO ADULTO"/>
        <s v="SET 24 PEZZI NOODLES"/>
        <s v="SET 2 PEZZI KETTLEBELL COMFORT 4 KG"/>
        <s v="SET PESI COMPONIBILE"/>
        <s v="AEROBIC STEPPER"/>
        <s v="SET 5 PEZZI FASCE ELASTICHE"/>
        <s v="SPALLIERA SVEDESE"/>
        <s v="BILANCIA SMART CONNECT"/>
        <s v="TABELLONE SEGNAPUNTI MULTISPORT"/>
        <s v="SET 6 PEZZI MANUBRI PER ESERCIZI"/>
        <s v="SET 12 PEZZI CORDE PER SALTARE"/>
        <s v="SET 4 PEZZI RUOTE PER ADDOMINALI"/>
        <s v="PANCA DA PESISTICA"/>
        <s v="SPINBIKE"/>
        <s v="SET 10 PEZZI IMPACCO CALDO E FREDDO RIUTILIZZABILI"/>
        <s v="SET 12 PEZZI PETTORINE DA ALLENAMENTO JUNIOR"/>
        <s v="SET 2 PEZZI GIUBBOTTO BENCH"/>
        <s v="COPPIA DI PARURE INVERNO"/>
        <s v="PORTANTINA PORTA FERITI"/>
        <s v="PANCA CON SCHIENALE APPENDIABITI E PORTABORSE"/>
        <s v="TAVOLA APPENDIABITI CON TETTUCCIO"/>
        <s v="PANCA DA SPOGLIATOIO 1 METRO"/>
        <s v="SPOGLIATOIO IN METALLO A 3 POSTI"/>
        <s v="CALCIOBALILLA MASTER PRO"/>
        <s v="COMPRESSORE ARIA DIGITALE RIC"/>
        <s v="TATANKA TORRE CERAMICA DIGITALE"/>
        <s v="SCALETTA A 3 GRADINI ANTISCIVOLO"/>
        <s v="SET 2 PEZZI CASSETTA PORTAVALORI"/>
        <s v="BACHECA IN SUGHERO PROFESSIONALE"/>
        <s v="LAVAGNA MAGNETICA PROFESSIONALE"/>
        <s v="SET ECOLINE CANCELLERIA"/>
        <s v="SET 18 PALLINE TENNIS"/>
        <s v="SET 18 PEZZI PALLINE PADEL"/>
        <s v="TABELLONE SEGNAPUNTI ELETTRONICO MULTISPORT"/>
        <s v="SET 6 PEZZI PALLONI PRO TOUR"/>
        <s v="PALLONE BASKET WILSON EVOLUTION"/>
        <s v="SET 2 PEZZI PALLONI DA MINIBASKET"/>
        <s v="SET 6 PEZZI PALLONI DA BASKET MVP, MISURA 5"/>
        <s v="SET 6 PEZZI PALLONI DA BASKET MVP,  MISURA 7"/>
        <s v="BORSA TRAVEL DA BASKET"/>
        <s v="BORSA PORTA PALLONI"/>
        <s v="CARRELLO PORTAPALLONI IN PLASTICA"/>
        <s v="POMPA PER PALLONI"/>
        <s v="ARMADIETTO DEL PRONTO SOCCORSO"/>
        <s v="KIT LAVAGNA A FOGLI MOBILI"/>
        <s v="COPPIA DI MINI PORTE DA CALCIO FISSE IN ACCIAIO"/>
        <s v="COPPIA DI MINI PORTE DA CALCIO PIEGHEVOLI"/>
        <s v="TRACCIA LINEE MODULAR"/>
        <s v="SET 10 PAIA DI CALZETTONI CALCIO BAMBINO"/>
        <s v="SET 10 PAIA DI CALZETTONI CALCIO ADULTO"/>
        <s v="SET 2 PAIA DI CALZE DA BASKET JUNIOR"/>
        <s v="RETE DA BASKET"/>
        <s v="PAO KICKBOXING MUAY THAI"/>
        <s v="SUPPORTO AUTOPORTANTE PER SACCO DA BOXE"/>
        <s v="TRAVE IN SCHIUMA PER PSICOMOTRICITÀ"/>
        <s v="CINTURA DA PISCINA DA 15 A 60 KG"/>
        <s v="SET 3 PEZZI PALETTE DA PISCINA TAGLIA M"/>
        <s v="PALLONE DA PALLANUOTO WP900"/>
        <s v="PARACADUTE DA NUOTO 900"/>
        <s v="SET 3 PEZZI TAVOLETTA DA PISCINA 100"/>
        <s v="SET 3 PEZZI TAVOLETTA DA PISCINA 500 GONFIABILE"/>
        <s v="OSTACOLO IN FERRO CON ALTEZZA REGOLABILE"/>
        <s v="TRAMPOLINO ELASTICO"/>
        <s v="COPPIA DI CASSE PREAMPLIFICATE"/>
        <s v="MONITOR 27 FULL HD"/>
        <s v="STAMPANTE MULTIFUNZIONE INKJET A COLORI A3"/>
        <s v="NOTEBOOK 15,6 FULL HD I7"/>
        <s v="SISTEMA MICRO HI-FI"/>
        <s v="PLASTIFICATRICE OFFICE A3"/>
        <s v="OROLOGIO DA PARETE EXTRALARGE"/>
        <s v="STAMPANTE LASER BN"/>
        <s v="SET 5 PEZZI PALLONI DA ALLENAMENTO GTR4000"/>
        <s v="SET 5 PEZZI PALLONI DA GARA IMPERIUM"/>
        <s v="SET 4 PEZZI PARADENTI TRICOLORE SENIOR"/>
        <s v="SCUDO DA PLACCAGGIO SENIOR"/>
        <s v="SCUDO DA PLACCAGGIO JUNIOR"/>
        <s v="SET 4 PEZZI SACCHE PORTA PALLONI"/>
        <s v="24 Tagz Minecraft"/>
        <s v="COPPIA DI PORTICINE POP UP CON BORSA E RETE"/>
        <s v="SET 3 PEZZI LAVAGNE CALCIO 3D"/>
        <s v="KIT CORNER"/>
        <s v="KIT GUARDALINEE"/>
        <s v="SAGOMA GONFIABILE"/>
        <s v="TABELLA CAMBIO GIOCATORI"/>
        <s v="SET 10 PEZZI CINTURE CON FLAG RUGBY"/>
        <s v="SET 3 PEZZI LAVAGNE 3D RUGBY"/>
        <s v="KIT PICKLEBALL"/>
        <s v="RETE PICKLEBALL"/>
        <s v="TABELLONE SEGNAPUNTI DA VOLLEY"/>
        <s v="PALLONE VOLLEY UFFICIALE APPROVATO FIVB"/>
        <s v="PALLONE VOLLEY DA ALLENAMENTO"/>
        <s v="SET 2 PEZZI PALLONI DA MINIVOLLEY"/>
        <s v="SET 3 PEZZI LAVAGNE 3D VOLLEY"/>
        <s v="TABELLONE SEGNAPUNTI DA BASKET"/>
        <s v="SET 3 PEZZI LAVAGNA 3D DA BASKET"/>
        <s v="SET 4 PEZZI CLAVETTE IN NYLON"/>
        <s v="SET 4 PEZZI NASTRI RITMICA"/>
        <s v="SET 5 PEZZI BASTONI IN LEGNO VERNICIATO"/>
        <s v="SET 5 PEZZI CORDE RITMICA"/>
        <s v="SET 5 PEZZI MATERASSINI PER YOGA E PILATES PLUS"/>
        <s v="SET 5 PEZZI PALLE YOGA E PILATES"/>
        <s v="SET 2 PEZZI PALLONI HANDBALL ULTIMA 30.3"/>
        <s v="SET 2 PEZZI PALLONI MINI HANDBALL SOFT BA0"/>
        <s v="SUPPORTO CON PINZA PER RETE PING PONG"/>
        <s v="DISCO IN GOMMA A 3 IMPUGNATURE"/>
        <s v="SET 3 PEZZI PALLINE DA LANCIO IN GOMMA"/>
        <s v="SET 3 PEZZI OSTACOLI REGOLABILI BAMBINO"/>
        <s v="SET 5 PEZZI CERCHI PIATTI IN PVC"/>
        <s v="SET 5 PEZZI OSTACOLI MACH"/>
        <s v="SET 4 PEZZI CAVIGLIERE APPESANTITE KG 2"/>
        <s v="SET 4 PEZZI MANUBRIO VINYL KG 1"/>
        <s v="SET 4 PEZZI MANUBRIO VINYL KG 3"/>
        <s v="PALLA MEDICA OVER CON IMPUGNATURA KG 1"/>
        <s v="PALLA MEDICA OVER CON IMPUGNATURA KG 2"/>
        <s v="PEDANA BOSU"/>
        <s v="PEDANA C1 SKIMMY"/>
        <s v="SET 2 PEZZI PALLA MEDICA BUBBLE KG 1"/>
        <s v="SET 2 PEZZI PALLA MEDICA BUBBLE KG 2"/>
        <s v="TAVOLETTA TONDA"/>
        <s v="ROTELLA METRICA CON IMPUGNATURA"/>
        <s v="SET 10 PEZZI CONO CALPESTABILE"/>
        <s v="SET 10 PEZZI CONO FORATO"/>
        <s v="SET 12 PEZZI ASTA CM 100"/>
        <s v="SET 12 PEZZI ASTA CM 160"/>
        <s v="SET 12 PEZZI PALO SLALOM TOP"/>
        <s v="SET 5 PEZZI BASE CUPOLA MULTIFUNZIONE"/>
        <s v="SET 48 PEZZI DELIMITATORI"/>
        <s v="SET 24 PEZZI DISCHI PIATTI"/>
        <s v="MINICOMPRESSORE RAIDER"/>
        <s v="CONTENITORE PORTA PALLONI CHIUSO PIEGHEVOLE"/>
        <s v="TESTIMONI PVC 6 COLORI KIT 6 PZ"/>
        <s v="SET 6 BORRACCE CON CESTELLO"/>
        <s v="SET 10 PEZZI NASTRO TAPE H 5 CM"/>
        <s v="SET 10 PEZZI SALVAPELLE"/>
        <s v="SET 2 PEZZI KIT PORTIERE HYGUANA GIALLO"/>
        <s v="SET 5 PEZZI PALLONE ACADEMY FRECCIA"/>
        <s v="SET 5 PEZZI PALLONE GARA MATCH NEW MAYA"/>
        <s v="SET 2 PAIA GUANTI  PORTIERE STOP ACADEMY"/>
        <s v="SET 5 PEZZI PALLONE BEACH VOLLEY"/>
        <s v="RACCHETTA PADEL"/>
        <s v="SET 10 PAIA CALZE DA BASKET ADULTO"/>
        <s v="SET 2 PEZZI BORSA BRERA"/>
        <s v="SET 2 PEZZI ZAINO EUROPA"/>
        <s v="SET 2 PEZZI BORSA REVOLUTION BIG"/>
        <s v="SET 4 PEZZI ACCAPPATOIO MICROFIBRA UOMO"/>
        <s v="SET 4 PEZZI ACCAPPATOIO MICROFIBRA DONNA"/>
        <s v="SET 12 PEZZI TELO SPORT"/>
        <s v="SET 12 PEZZI BORRACCE IN ACCIAIO"/>
        <s v="SET 5 PEZZI TUTA CUBA POLARFLLECE"/>
        <s v="SET 5 PEZZI GIACCA RAIN  ANTIVENTO"/>
        <s v="SET 5 PEZZI GIUBBOTTO OLANDA 180 GR"/>
        <s v="SET 10 PEZZI T-SHIRT CAPO INTERLOCK"/>
        <s v="SET 10 PEZZI  SHORT CAPO"/>
        <s v="SET 5 PEZZI MAGLIA ALLENAMNETO HALFZIP"/>
        <s v="SET 5 PEZZI LEGGINGS DONNA"/>
        <s v="SET 5 PEZZI PANTA SLIM UNISEX"/>
        <s v="SET 10 PEZZI CASACCA DOUBLE"/>
        <s v="SET 10 PEZZI CASACCA ALLENAMENTO IN MESH"/>
        <s v="SET 10 PAIA CALZE SPORT DA ALLENAMENTO"/>
        <s v="SET 5 PAIA GINOCCHIERA LIGHT - JUNIOR"/>
        <s v="BORSA MEDICA PER IL PRONTO INTERVENTO"/>
        <s v="SET DI 20 MAGLIE DA CALCIO PERSONALIZZABILI"/>
        <s v="PORTA SINGOLA MINICALCIO IN ACCIAIO CON RETE"/>
        <s v="COPPIA DI PORTE DA CALCIO TRASPORTABILI"/>
        <s v="COPPIA DI RETI DA CALCIO"/>
        <s v="PORTA CALCETTO SINGOLA IN ACCIAIO"/>
        <s v="COPPIA DI RETI DA CALCETTO"/>
        <s v="CARRELLO SEGNACAMPO A POMPA MANUALE"/>
        <s v="RETE DA TENNIS SUPER TORNEO"/>
        <s v="RETE DA TENNIS CON CAVO DI ACCIAIO"/>
        <s v="IMPIANTO MINIVOLLEY"/>
        <s v="COPPIA DI PROTEZIONI IMBOTTITE  MINIVOLLEY"/>
        <s v="IMPIANTO DI PALLAVOLO A TRALICCIO"/>
        <s v="COPPIA DI PROTEZIONI IMBOTTITE PER IMPIANTO VOLLEY"/>
        <s v="COPPIA DI POLSIERE AD UNA FASCIA DA 500 GR CAD."/>
        <s v="COPPIA DI CANESTRI DA BASKET"/>
        <s v="MEZZO IMPIANTO BASKET E MINIBASKET TRASPORTABILE"/>
        <s v="SACCO BOX CON PEDANA RIEMPIBILE"/>
        <s v="SACCO BOXE DA 50 KG"/>
        <s v="SET 10 PEZZI FUNICELLE PIOMBATE"/>
        <s v="SET 5 PEZZI PALLE GINNASTICA RITMICA"/>
        <s v="SET 10 PEZZI OSTACOLI OVER"/>
        <s v="SET 5 PEZZI PALLE PSICOMOTORIE"/>
        <s v="SET 10 PEZZI STUOIE"/>
        <s v="SET 10 PEZZI CERCHI IN NYLON"/>
        <s v="TRAMPOLINO ELASTICO FISSO"/>
        <s v="CARRELLO PORTA PALLONI IN ACCIAIO"/>
        <s v="COPPIA RITTI PER SALTO IN ALTO"/>
        <s v="LETTINO DA INFERMERIA"/>
        <s v="PANCA DA SPOGLIATOIO 2 METRI"/>
        <s v="SACCO BOXE A PERA"/>
        <s v="SET 4 PEZZI GYM BALL"/>
        <s v="SET 6 PEZZI RACCHETTE DA PING PONG"/>
        <s v="60 PALLINE DA PING PONG IN BARATTOLO"/>
        <s v="SET 8 PEZZI MATERASSINO PIEGHEVOLE"/>
        <s v="SET 20 PEZZI ELASTICI FITNESS"/>
        <s v="SET 10 PEZZI STRETCH BAND"/>
        <s v="SET PESI (20 KG)"/>
        <s v="SET 2 PEZZI BALANCE BOARD CON MANIGLIE"/>
        <s v="SET 4 PEZZI CRONOMETRO IMPERMEABILE"/>
        <s v="ACTION CAM"/>
        <s v="PANCA DA PESISTICA E PER ADDOMINALI"/>
        <s v="TAPIS ROULANT"/>
        <s v="POWER TOWER"/>
        <s v="PROLUNGA CON AVVOLGICAVO"/>
        <s v="VALIGETTA ATTREZZI"/>
        <s v="SCAFFALE"/>
        <s v="DISPENSER"/>
        <s v="ELECTRIC KETTLE"/>
        <s v="Marvel Discs-Bistek 2026"/>
        <s v="Marvel Album-Bistek 2026"/>
        <s v="Marvel Disc holder-Bistek 2026"/>
        <s v="Hardside luggage carry-on 54cm, 35l"/>
        <s v="Minecraft water bottle Pig"/>
        <s v="Minecraft water bottle Creeper"/>
        <s v="PALLONE PROTOUR"/>
        <s v="PALLONE DA BASKET MVP, MISURA 5"/>
        <s v="PALLONE DA BASKET MVP, MISURA 7"/>
        <s v="PALLONE DA MINIBASKET"/>
        <s v="BBQ Utensil set"/>
        <s v="Disney Magic Kitchen Flowpack with 4 stickers"/>
        <s v="Veggie Grill Basket"/>
        <s v="Disney X Loblaw 3.0 Stickerspack for free FR"/>
        <s v="Disney X Loblaw 3.0 Album for stickers FR"/>
        <s v="Disney X Loblaw 3.0 Album for stickers EN"/>
        <s v="Disney X Loblaw 3.0 Stickerspack for free EN"/>
        <s v="Cabin trolley"/>
        <s v="Disney X Loblaw 3.0 Stickerpack free EN Esso"/>
        <s v="Disney X Loblaw 3.0 Stickerpack free FR Esso"/>
        <s v="Vegetable Knife 80mm"/>
        <s v="Chef´s Knife Compact 150mm"/>
        <s v="Steak knife (2pcs set)"/>
        <s v="Cereal bowl 13cm set/2"/>
        <s v="Minecraft set 2 cereal bowls"/>
        <s v="Minecraft white square mug Pig"/>
        <s v="Minecraft white square mug Creeper"/>
        <s v="Minecraft drawstring bag collector"/>
        <s v="Disney Conad IT NESpack with 4 stickers + 1 BP"/>
        <s v="Disney Conad IT Sticker album"/>
        <s v="Baking sheet 40x27x2cm"/>
        <s v="Disney paper discs ø45mm"/>
        <s v="Disney album for paper discs"/>
        <s v="SS bottle 500ml"/>
        <s v="Disney paper discs ø45mm - 3 discs per flowpack"/>
        <s v="KN0494-ISB"/>
        <s v="Marinate Dish"/>
        <s v="BBQ Shears"/>
        <s v="Single BBQ Heat Proof Mitt"/>
        <s v="Mini Glass Rectangular Container with Lid"/>
        <s v="Snap Lid To-Go Container"/>
        <s v="Small Glass Container with Lid"/>
        <s v="Glass Cookware Dish with Lid"/>
        <s v="Sauté Pan"/>
        <s v="Disney Plush Mickey and Friends Mickey"/>
        <s v="Disney Plush Mickey and Friends Minnie"/>
        <s v="Disney Plush Mickey and Friends Donald"/>
        <s v="Disney Elsa plush"/>
        <s v="Plush Disney Classics Stitch"/>
        <s v="Plush Disney Pixar McQueen"/>
        <s v="Disney Mickey bag Wellness"/>
        <s v="Guest towel 2pc set - 40x60cm (1x milk, 1x indigo)"/>
        <s v="Hand towel 2pc set - 60x100cm (1x milk, 1x indigo)"/>
        <s v="Bath towel 80*150 cm - 76x150cm (milk)"/>
        <s v="Bath towel 80*150 cm - 76x150cm (indigo)"/>
        <s v="Bathmat - 50x80cm  (indigo)"/>
        <s v="Bathrobe S/M (milk)"/>
        <s v="Bathrobe L/XL (indigo)"/>
        <s v="Kids poncho - 70x70cm"/>
        <s v="Turban - 58x27cm (indigo)"/>
        <s v="31-piece Screwdriver Bit &amp; Ratchet Set"/>
        <s v="Handscrewdriver Set of 3"/>
        <s v="Combination Piler"/>
        <s v="Zamo III laser measure incl. wheel adapter"/>
        <s v="Combination Plier"/>
        <s v="PSM 80 A - Multisander"/>
        <s v="UniversalMulti 12"/>
        <s v="Handheld manual loppers -"/>
        <s v="38-piece X-Line drill and screwdriver set"/>
        <s v="Handheld manual secateurs"/>
        <s v="Disney Mickey and Friends serving plate 1pc"/>
        <s v="Disney Mickey and Friends 2pc set mugs 300ml"/>
        <s v="Disney Mickey and Friends 2pc set bowls 520ml"/>
        <s v="Disney Mickey and Friends 2pc set breakfast plate 21cm"/>
        <s v="Disney Mickey and Friends 2pc set dinner plate 26cm"/>
        <s v="Disney Mickey and Friends ramekin 2pc set"/>
        <s v="[CNS]6020.20" u="1"/>
        <s v="[CNS]KN0447 Insert blank" u="1"/>
        <s v="[CNS]LZW-E01-CW103 user manual + instruction" u="1"/>
        <s v="[CNS]LZW-E01-CW103 tissue paper" u="1"/>
        <s v="[CNS]SampleBox_BIG" u="1"/>
        <s v="[CNS]care and use 1 MC252858" u="1"/>
        <s v="[CNS]care and use 2 MC252859" u="1"/>
        <s v="OCB 40x30x30 BE golf" u="1"/>
        <s v="KN0446-OCB" u="1"/>
        <s v="[CNS]PS0285 unprinted outercarton" u="1"/>
        <s v="[CNS]LPE-E01-OW105 unprinted outercarton" u="1"/>
        <s v="[CNS]LRVKB-E01-BW112 unprinted outercarton" u="1"/>
        <s v="[CNS]LRVKB-E01-KN107 unprinted outercarton" u="1"/>
        <s v="[CNS]LRVKB-E01-OW105 unprinted outercarton" u="1"/>
        <s v="[CNS]POS Hyper XLM outercarton" u="1"/>
        <s v="POS Poster FR-1384" u="1"/>
        <s v="POS Flyer FR-1384" u="1"/>
        <s v="POS StampRoll FR-1384" u="1"/>
        <s v="[CNS]Gift box for item [BL]DW0653" u="1"/>
        <s v="Steak knife (2 pcs set)" u="1"/>
        <s v="Kitchen shears" u="1"/>
        <s v="[CNS]printed outerbox for item 06039D3009" u="1"/>
        <s v="06039E0004-OCP" u="1"/>
        <s v="[CNS]1600A02BX4-OCP" u="1"/>
        <s v="[CNS]1600A0275G-OCP" u="1"/>
        <s v="[CNS]1600A02E6T-OCP" u="1"/>
        <s v="[CNS]2607011432-OCP" u="1"/>
        <s v="POS Totem FR-1384" u="1"/>
        <s v="POS Wobbler FR-1384" u="1"/>
        <s v="POS Habillage FR-1384" u="1"/>
        <s v="POS Banner FR-1384" u="1"/>
        <s v="Glass storage rec. 2600ml" u="1"/>
        <s v="cutting protector 100x200 mm B-TT17" u="1"/>
        <s v="cutting protector 295x150 mm B-TT17" u="1"/>
        <s v="Multi-purpose handheld indoor - outdoor scissors" u="1"/>
        <s v="ATINO Line laser" u="1"/>
        <s v="Picardie Transparant 25 cl" u="1"/>
        <s v="Picardie Marine 25 cl" u="1"/>
        <s v="Picardie Saphire 25 cl" u="1"/>
        <s v="Picardie Green New 25 cl" u="1"/>
        <s v="Picardie Amber 25 cl" u="1"/>
        <s v="POS leaflet Holder FR-1384" u="1"/>
        <s v="POS leaflet FR-1384" u="1"/>
        <s v="Paring/Peeler Knife" u="1"/>
        <s v="[CNS]612388" u="1"/>
        <s v="[CNS]612390" u="1"/>
        <s v="[CNS]612393" u="1"/>
        <s v="[CNS]612473" u="1"/>
        <s v="Mickey &amp; Friends Lunch box 50%PP 50% Bio" u="1"/>
        <s v="LED Lighting set" u="1"/>
        <s v="Mobile Phone Holder" u="1"/>
        <s v="Folding lock 85cm" u="1"/>
        <s v="Bike computer" u="1"/>
        <s v="Spoke Reflectors (Set of 4)" u="1"/>
        <s v="Daypack city 12l" u="1"/>
        <s v="Floor pump" u="1"/>
        <s v="PKP 18E Glue gun" u="1"/>
        <s v="Tumbler 40 cl blue ice 2pcs" u="1"/>
        <s v="Long tumbler 36,5 cl clear 2pcs" u="1"/>
        <s v="Long tumbler 36,5 cl blue ice 2pcs" u="1"/>
        <s v="Small bowl 12xh5,5cm clear 2pcs" u="1"/>
        <s v="Bowl 18 x h 8,2 cm - clear" u="1"/>
        <s v="Carafe 1L" u="1"/>
        <s v="Glass lid 24 cm" u="1"/>
        <s v="Fruit basket - Cactus" u="1"/>
        <s v="[CNS]KN0449-OCP" u="1"/>
        <s v="[CNS]KN0452" u="1"/>
        <s v="[CNS]TO1078" u="1"/>
        <s v="[CNS]TO1074" u="1"/>
        <s v="[CNS]LPY-E01-OW106" u="1"/>
        <s v="protector for LPY-E01-OW106" u="1"/>
        <s v="[CNS]LPY-E01-OW109" u="1"/>
        <s v="[CNS]LPY-E01-OW111" u="1"/>
        <s v="[CNS]LPY-E01-OW112" u="1"/>
        <s v="protector for LPY-E01-OW112" u="1"/>
        <s v="[CNS]LPY-E01-OW114" u="1"/>
        <s v="[CNS]LPY-E01-ST109" u="1"/>
        <s v="protector for LPY-E01-ST109" u="1"/>
        <s v="[CNS]LPY-E01-ST108" u="1"/>
        <s v="protector for LPY-E01-ST108" u="1"/>
        <s v="[CNS]LPY-E01-OW108" u="1"/>
        <s v="[CNS]OT0555" u="1"/>
        <s v="Vacuum box glass 900ml" u="1"/>
        <s v="Vacuum bag set 10pcs" u="1"/>
        <s v="Vacuum fridge box glass 2000ml" u="1"/>
        <s v="Vacuum bag set 5pcs" u="1"/>
        <s v="Disney wreath collector's tin box - Stitch" u="1"/>
        <s v="Disney wreath collector's tin box - Mickey" u="1"/>
        <s v="Disney wreath collector's tin box - Elsa" u="1"/>
        <s v="[CNS]printed outerbox for KN0429" u="1"/>
        <s v="[CNS]HA0219-OCP" u="1"/>
        <s v="KN0699-OCP" u="1"/>
        <s v="[CNS]LRVKB-E01-BW101-OCP" u="1"/>
        <s v="[CNS]LRVKB-E01-BW106-OCP" u="1"/>
        <s v="[CNS]LRVKB-E01-BW109-OCP" u="1"/>
        <s v="[CNS]LRVKB-E01-OW102-OCP" u="1"/>
        <s v="[CNS]LRVKB-E01-OW103-OCP" u="1"/>
        <s v="[CNS]LRVKB-E01-OW104-OCP" u="1"/>
        <s v="[CNS]LSA-E01-CU101" u="1"/>
        <s v="[CNS]FOLDING LOCK 85CM outer carton" u="1"/>
        <s v="[CNS]BIKE COMPUTER outer carton" u="1"/>
        <s v="[CNS]4 SPOKE - REFLECTORS outer carton" u="1"/>
        <s v="[CNS]PS0500-OCP" u="1"/>
        <s v="[CNS]PS0503-OCP" u="1"/>
        <s v="Dinner plate 27cm - 2pcs" u="1"/>
        <s v="Red wine glass 2pcs" u="1"/>
        <s v="Carafe" u="1"/>
        <s v="[CNS]outercarton for LPY-E01-OW105" u="1"/>
        <s v="BBQ Grill Basket Stainless Steel" u="1"/>
        <s v="Serving Oval Platter" u="1"/>
        <s v="Marinade Dish" u="1"/>
        <s v="BBQ Utensils &amp; Storage Wrap" u="1"/>
        <s v="Chopping Board" u="1"/>
        <s v="Carving Knife &amp; Fork" u="1"/>
        <s v="BBQ Heat Proof Mitts" u="1"/>
        <s v="[CNS]LPY-E01-ST105-OCP" u="1"/>
        <s v="[CNS]LPY-E01-ST103-OCP" u="1"/>
        <s v="[CNS]LPY-E01-OW105-OCP" u="1"/>
        <s v="[CNS]LPY-E01-OW116-OCP" u="1"/>
        <s v="[CNS]LPY-E01-ST102-OCP" u="1"/>
        <s v="[CNS]LPY-E01-OW104-OCP" u="1"/>
        <s v="[CNS]LPY-E01-ST105-PR" u="1"/>
        <s v="[CNS]LPY-E01-ST103-PR" u="1"/>
        <s v="[CNS]LPY-E01-OW116-PR" u="1"/>
        <s v="[CNS]LPY-E01-ST102-PR" u="1"/>
        <s v="[CNS]LPY-E01-OW116-IN" u="1"/>
        <s v="[CNS]1600A02W7U-OCP" u="1"/>
        <s v="[CNS]06008B5200-OCP" u="1"/>
        <s v="[CNS]06008B5201-OCP" u="1"/>
        <s v="[CNS]06033E0001-OCP" u="1"/>
        <s v="[CNS]2607017377-OCP" u="1"/>
        <s v="[CNS]0600833304-OCP" u="1"/>
        <s v="[CNS]1600A02W7P-OCP" u="1"/>
        <s v="[CNS]1600A02Z9H-OCP" u="1"/>
        <s v="[CNS]1600A02Z9P-OCP" u="1"/>
        <s v="[CNS]0600833302-OCP" u="1"/>
        <s v="14-in-1 multitool" u="1"/>
        <s v="Dry storage sq. SAN 670ml" u="1"/>
        <s v="Dry storage sq. SAN 1400ml" u="1"/>
        <s v="Dry storage sq. SAN 2000ml" u="1"/>
        <s v="Dry storage rec. SAN 600ml" u="1"/>
        <s v="Dry storage rec. SAN 1600ml" u="1"/>
        <s v="Dry storage rec. SAN 2100ml" u="1"/>
        <s v="[CNS]LTW-E01-ST211-OCP" u="1"/>
        <s v="[CNS]LNA-E01-DW201-OCP" u="1"/>
        <s v="[CNS]LNA-E01-DW207-OCP" u="1"/>
        <s v="[CNS]outercarton for LNA-E01-DW206" u="1"/>
        <s v="[CNS]outercarton for LNA-E01-DW205" u="1"/>
        <s v="[CNS]LNA-E01-DW208-OCP" u="1"/>
        <s v="[CNS]LNA-E01-DW201-ICP" u="1"/>
        <s v="[CNS]LNA-E01-DW205-ICP" u="1"/>
        <s v="[CNS]LNA-E01-DW207-ICP" u="1"/>
        <s v="[CNS]LNA-E01-DW206-ICP" u="1"/>
        <s v="[CNS]LNA-E01-DW208-ICP" u="1"/>
        <s v="[CNS]LNA-E01-DW201-PR" u="1"/>
        <s v="[CNS]protector/insert for the outerbox of LNA-E01-DW205" u="1"/>
        <s v="[CNS]LNA-E01-DW207-PR" u="1"/>
        <s v="[CNS]LNA-E01-DW206-PR" u="1"/>
        <s v="[CNS]LNA-E01-DW208-PR" u="1"/>
        <s v="HARRY POTTER BACKPACK" u="1"/>
        <s v="HARRY POTTER THERMO FLASK" u="1"/>
        <s v="HARRY POTTER FOLDABLE UMBRELLA" u="1"/>
        <s v="[CNS]LRVKB-E02-OW102-Inner" u="1"/>
        <s v="[CNS]LRVKB-E02-OW102 sleeve labels" u="1"/>
        <s v="[CNS]LRVKB-E02-OW103 sleeve labels" u="1"/>
        <s v="[CNS]LRVKB-E02-OW104 sleeve labels" u="1"/>
        <s v="[CNS]LRVKB-E02-OW102" u="1"/>
        <s v="Peeling knife 8 cm - Acacia" u="1"/>
        <s v="Boning knife 15 cm - Acacia" u="1"/>
        <s v="[CNS]Saucepan 16cm - Outer carton" u="1"/>
        <s v="[CNS]Casserole with lid 16 cm - Outer carton" u="1"/>
        <s v="[CNS]Casserole with lid 20cm - Outer carton" u="1"/>
        <s v="[CNS]outercarton for LKR-E01-CW208 - 31970" u="1"/>
        <s v="[CNS]LKR-E01-CW209 - 31971 printed outerbox" u="1"/>
        <s v="KN0446-ICP" u="1"/>
        <s v="[CNS]KN0446 printed outerbox" u="1"/>
        <s v="KN0447-ICP" u="1"/>
        <s v="[CNS]KN0447 printed outerbox" u="1"/>
        <s v="KN0448-ICP" u="1"/>
        <s v="[CNS]KN0448 printed outercarton" u="1"/>
        <s v="KN0475-ICP" u="1"/>
        <s v="[CNS]KN0475 printed outercarton" u="1"/>
        <s v="[CNS]KN0495 giftbox" u="1"/>
        <s v="[CNS]KN0495" u="1"/>
        <s v="[CNS]Saucepan 16cm - Gift box or Sleeve" u="1"/>
        <s v="Shopper Bag" u="1"/>
        <s v="Empty pocket pochette" u="1"/>
        <s v="Organizer set (3 pcs)" u="1"/>
        <s v="Shoulder Bag" u="1"/>
        <s v="Backpack_UTILITY_Style No. P10UQT01 08Q" u="1"/>
        <s v="MUG DARK ARTS_GLOW IN THE DARK DECAL" u="1"/>
        <s v="MUG HOGWARTS_HEAT REVEAL DECAL" u="1"/>
        <s v="MUG HOUSES_GLOW IN THE DARK DECAL" u="1"/>
        <s v="MUG QUIDDITCH_HEAT REVEAL DECAL" u="1"/>
        <s v="[CNS]POS Drive outercarton" u="1"/>
        <s v="Shelf ready packaging" u="1"/>
        <s v="ready shelf packaging" u="1"/>
        <s v="Minecraft lunch box" u="1"/>
        <s v="Rectangular tray 2L" u="1"/>
        <s v="KN0449-ICP" u="1"/>
        <s v="KN0450-ICP" u="1"/>
        <s v="[CNS]Printed outerbox for LMI-E01-SP107" u="1"/>
        <s v="CW0751-OCP" u="1"/>
        <s v="CW0710-ICP" u="1"/>
        <s v="CW0711-ICP" u="1"/>
        <s v="CW0712-ICP" u="1"/>
        <s v="[CNS]CW0752" u="1"/>
        <s v="[CNS]CW0782" u="1"/>
        <s v="CW0848-OCP" u="1"/>
        <s v="[CNS]LKR-E01-OW108 - 28177" u="1"/>
        <s v="CW0710-OCP" u="1"/>
        <s v="CW0711-OCP" u="1"/>
        <s v="CW0712-OCP" u="1"/>
        <s v="KN0494-ICP" u="1"/>
        <s v="[CNS]LRVKB-E01-CW101 innercarton/sleeve" u="1"/>
        <s v="Wellnesstowel 75x180cm - lightblue" u="1"/>
        <s v="Bathmat 50x80cm - lightblue" u="1"/>
        <s v="Body scale" u="1"/>
        <s v="[CNS]LRVKB-E02-OW103" u="1"/>
        <s v="[CNS]LRVKB-E02-OW104" u="1"/>
        <s v="[CNS]LRVKB-E02-OW103 sleeve" u="1"/>
        <s v="[CNS]LRVKB-E02-OW103 protector" u="1"/>
        <s v="[CSN]LRVKB-E02-OW104 sleeve" u="1"/>
        <s v="[CNS]LRVKB-E02-OW104 protector" u="1"/>
        <s v="[CNS]LSI-E01-AC101 printed OC" u="1"/>
        <s v="[CNS]LSI-E01-OD-102 printed OC" u="1"/>
        <s v="Loaf dish 28cm" u="1"/>
        <s v="Square dish" u="1"/>
        <s v="Multipurpose cooking sheet" u="1"/>
        <s v="Casserole 3L" u="1"/>
        <s v="Pie dish 28x3cm" u="1"/>
        <s v="Measuring jug glass 1L" u="1"/>
        <s v="Ovendish medium 30x21x6,3cm" u="1"/>
        <s v="Ovendish small 23x16x5cm" u="1"/>
        <s v="[CNS]LKR-E01-CW122 printed packaging" u="1"/>
        <s v="Dry storage sq. AS 1800ml" u="1"/>
        <s v="[CNS]LPY-E01-ST101 printed OC" u="1"/>
        <s v="[CNS]LPY-E01-ST107 printed OC" u="1"/>
        <s v="[CNS]LPY-E01-ST101 protector" u="1"/>
        <s v="[CNS]LPY-E01-ST107 protector" u="1"/>
        <s v="[CNS]KN0494 printed OC" u="1"/>
        <s v="[CNS]LKR-E01-CW401 - 28178 printed OC" u="1"/>
        <s v="[CNS]LKR-E01-CW402 - 28179 printed OC" u="1"/>
        <s v="[CNS]LKR-E01-OW101 - 28170 printed OC" u="1"/>
        <s v="[CNS]LKR-E01-OW102 - 28171 printed OC" u="1"/>
        <s v="[CNS]LKR-E01-OW103 - 28172 printed OC" u="1"/>
        <s v="[CNS]LKR-E01-OW104 - 28173 printed OC" u="1"/>
        <s v="[CNS]LKR-E01-OW105 - 28174 printed OC" u="1"/>
        <s v="[CNS]LKR-E01-OW107 - 28176 printed OC" u="1"/>
        <s v="[CNS]LKR-E01-OW112 - 28181 printed OC" u="1"/>
        <s v="[CNS]LKR-E01-OW113 - 28182 printed OC" u="1"/>
        <s v="[CNS]LPE-E01-OW102 printed OC" u="1"/>
        <s v="[CNS]LPE-E01-OW102 sleeve" u="1"/>
        <s v="[CNS]LPE-E01-OW107 sleeve" u="1"/>
        <s v="[CNS]LPE-E01-OW105 sleeve" u="1"/>
        <s v="[CNS]LPE-E01-OW104 printed OC" u="1"/>
        <s v="[CNS]LPE-E01-OW104 sleeve" u="1"/>
        <s v="[CNS]LDY-E01-SP202 printed OC" u="1"/>
        <s v="[CNS]LPY-E01-ST402 printed OC" u="1"/>
        <s v="[CNS]LPY-E01-ST403 printed OC" u="1"/>
        <s v="[CNS]LPY-E01-ST408 printed OC" u="1"/>
        <s v="[CNS]LPY-E01-ST410 printed outercarton" u="1"/>
        <s v="[CNS]LPY-E01-ST402 cutting protector" u="1"/>
        <s v="[CNS]LPY-E01-ST403 cutting protector" u="1"/>
        <s v="[CNS]LPY-E01-ST410 cutting protector" u="1"/>
        <s v="[CNS]LZW-E01-CW103 giftbox" u="1"/>
        <s v="[CNS]LZW-E01-CW103 CARDBOARD INSERT(LID)" u="1"/>
        <s v="[CNS]LZW-E01-CW103 CARDBOARD INSERT(POT)" u="1"/>
        <s v="[CNS]LZW-E01-CW103 CARDBOARD INSERT(CTN)" u="1"/>
        <s v="[CNS]LZW-E01-CW103 printed OC" u="1"/>
        <s v="[CNS]LPE-E01-OW103 printed OC" u="1"/>
        <s v="[CNS]LPE-E01-OW108 printed OC" u="1"/>
        <s v="[CNS]LPE-E01-OW101 printed OC" u="1"/>
        <s v="[CNS]LPE-E01-OW103 sleeve" u="1"/>
        <s v="[CNS]LPE-E01-OW108 sleeve" u="1"/>
        <s v="[CNS]LPE-E01-OW101 sleeve" u="1"/>
        <s v="[CNS]LRVKB-E02-OW102-SL" u="1"/>
        <s v="[CNS]LRVKB-E02-OW102-PR" u="1"/>
        <s v="[CNS]CY0824 giftbox" u="1"/>
        <s v="[CNS]LPE-E01-OW101 divider" u="1"/>
        <s v="[CNS]LPE-E01-OW103 divider" u="1"/>
        <s v="[CNS]LPE-E01-OW108 divider" u="1"/>
        <s v="[CNS]LPY-E01-OW104" u="1"/>
        <s v="Ovendish medium" u="1"/>
        <s v="CW0620-OCP" u="1"/>
        <s v="[CNS]612389" u="1"/>
        <s v="[CNS]612391 printed outercarton" u="1"/>
        <s v="[CNS]612392 printed outercarton" u="1"/>
        <s v="[CNS]612395 printed outercarton" u="1"/>
        <s v="[CNS]612471 printed Outercarton" u="1"/>
        <s v="[CNS]612493 printed outercarton" u="1"/>
        <s v="[CNS]612494 printed outercarton" u="1"/>
        <s v="[CNS]612495 printed outercarton" u="1"/>
        <s v="[CNS]612496 printed outercarton" u="1"/>
        <s v="Espresso mug 2 pcs" u="1"/>
        <s v="Coffee mug small 2 pcs" u="1"/>
        <s v="Travel mug 320ml" u="1"/>
        <s v="Tea cup with saucer" u="1"/>
        <s v="French press" u="1"/>
        <s v="Thermal jug SS 1000ml" u="1"/>
        <s v="Etagere" u="1"/>
        <s v="Teapot" u="1"/>
        <s v="Ovendish small" u="1"/>
        <s v="PS0371-OCP" u="1"/>
        <s v="[CNS]MOBILE PHONE HOLDER outer carton" u="1"/>
        <s v="[CNS]FLOOR PUMP outer carton" u="1"/>
        <s v="[CNS]LRVKB-E01-BW112-OCP" u="1"/>
        <s v="[CNS]KN0450 printed OC" u="1"/>
        <s v="[CNS]printed outerbox" u="1"/>
        <s v="[CNS]LPE-E01-OW110 giftbox" u="1"/>
        <s v="[CNS]LPE-E01-OW109 giftbox" u="1"/>
        <s v="[CNS]LPE-E01-OW109 printed outercarton" u="1"/>
        <s v="[CNS]Giftbox" u="1"/>
        <s v="[CNS]Insert 50*11.5CM" u="1"/>
        <s v="[CNS]printed outercarton" u="1"/>
        <s v="[CNS]Insert 95*55" u="1"/>
        <s v="[CNS]Insert 30*20CM" u="1"/>
        <s v="[CNS]Insert 60*12CM" u="1"/>
        <s v="[CNS]Insert 95*30" u="1"/>
        <s v="[CNS]Insert 40*20CM" u="1"/>
        <s v="[CNS]Insert 27CM" u="1"/>
        <s v="[CNS]Insert 23CM" u="1"/>
        <s v="[CNS]Insert 70*12CM" u="1"/>
        <s v="[CNS]Insert 32cm" u="1"/>
        <s v="[CNS]Insert 125*30" u="1"/>
        <s v="[CNS]Insert 45*25CM" u="1"/>
        <s v="[CNS]Insert 75*13CM" u="1"/>
        <s v="[CNS]Insert  36cm" u="1"/>
        <s v="[CNS]Insert 125*35" u="1"/>
        <s v="[CNS]Insert 50*30CM" u="1"/>
        <s v="[CNS]Tissue paper 78*54.5CM" u="1"/>
        <s v="[CNS]Tissue paper 39*36CM" u="1"/>
        <s v="[CNS]Insert 25*20CM" u="1"/>
        <s v="CW0846-OCP" u="1"/>
        <s v="[CNS]Tissue paper 54.5*26cm" u="1"/>
        <s v="[CNS]Insert C33 30*20CM" u="1"/>
        <s v="CW0848-ICP" u="1"/>
        <s v="[CNS]Tissue paper 47*36cm" u="1"/>
        <s v="[CNS]Insert 40*25CM" u="1"/>
        <s v="[CNS]Tissue paper 54*39cm" u="1"/>
        <s v="[CNS]Insert C33 40*20CM" u="1"/>
        <s v="CW0782-ICP" u="1"/>
        <s v="[CNS]Insert C33 30*25cm" u="1"/>
        <s v="[CNS]Insert 33*23.9cm" u="1"/>
        <s v="[CNS]Insert 37*23.7CM" u="1"/>
        <s v="[CNS]Tissue paper 52*42cm" u="1"/>
        <s v="[CNS]Insert 41.5*36.5CM" u="1"/>
        <s v="[CNS]Tissue paper 78*109cm" u="1"/>
        <s v="[CNS]Insert 31*29.6cm" u="1"/>
        <s v="[CNS]Tissue paper 41.4*18.7cm" u="1"/>
      </sharedItems>
    </cacheField>
    <cacheField name="Item Description2" numFmtId="0">
      <sharedItems/>
    </cacheField>
    <cacheField name="Quantity" numFmtId="0">
      <sharedItems containsSemiMixedTypes="0" containsString="0" containsNumber="1" containsInteger="1" minValue="1" maxValue="50988000"/>
    </cacheField>
    <cacheField name="Quantity Received" numFmtId="0">
      <sharedItems containsSemiMixedTypes="0" containsString="0" containsNumber="1" containsInteger="1" minValue="-768" maxValue="60549599"/>
    </cacheField>
    <cacheField name="Status" numFmtId="0">
      <sharedItems/>
    </cacheField>
    <cacheField name="Purchase Order Date" numFmtId="0">
      <sharedItems/>
    </cacheField>
    <cacheField name="Supplier Site: Supplier Site Name" numFmtId="0">
      <sharedItems count="118">
        <s v="ZWILLING International Trading Shanghai"/>
        <s v="Cerages Investimentos, SA"/>
        <s v="WUXI CHUANGWEN TEXTILE TECHNOLOGY CO"/>
        <s v="Edco Eindhoven B.V"/>
        <s v="ADVANCED DISTRIBUTION S.P.A."/>
        <s v="Alisei"/>
        <s v="C2 Group"/>
        <s v="IGA COMPANY SAS DI STEFANO"/>
        <s v="Landmark SRL"/>
        <s v="NIM SRL"/>
        <s v="Reusch International Spa"/>
        <s v="SVB RAPPRESENTANZE E SERVIZI SRL"/>
        <s v="Timac"/>
        <s v="Vivisport"/>
        <s v="Jiangsu Bestfull Technology Co. Ltd."/>
        <s v="Amer Sports Italia SpA"/>
        <s v="YANGJIANG CITY HUIYU TRADING CO LTD"/>
        <s v="MASTER GROUP GLOBAL CO. , LTD"/>
        <s v="Peugeot"/>
        <s v="ZWILLING J.A. Henckels Europa GmbH"/>
        <s v="Cerutil Ceramica Utilitarias, SA"/>
        <s v="Xiamen Newgate Outdoor Products"/>
        <s v="Robert Bosch GmbH Power Tools"/>
        <s v="Paqt BV - Esveco Print B.V"/>
        <s v="Neoflam, Inc."/>
        <s v="Xiamen Create Living Co.,Ltd."/>
        <s v="Bayerische Glaswerke GmbH"/>
        <s v="International Cookware"/>
        <s v="Zhejiang Feijian Industry &amp; Trade"/>
        <s v="Gloria Fortune Enterprises Holdings Ltd"/>
        <s v="YANGJIANG HAILIAN HARDWARE &amp; PLASTICS PRODUCTS CO"/>
        <s v="GUANGDONG WOODSUN HOUSEWARES CO.,LTD"/>
        <s v="Villeroy &amp; Boch"/>
        <s v="Forma Italia"/>
        <s v="Arc France"/>
        <s v="Aurora World HK Ltd.,"/>
        <s v="BCI (Bretagne Ceramique Industrie)"/>
        <s v="RONG LIN WAH INDUSTRIAL CO., LTD"/>
        <s v="Zhejiang Feijian Industry &amp; Trade Co Ltd"/>
        <s v="Sun Hing Printing Company Limited"/>
        <s v="Paqt BV"/>
        <s v="LEGAR SPORT S.R.L."/>
        <s v="Loko Verpakkingen"/>
        <s v="Shantou Dihua Trading Co Ltd"/>
        <s v="Ceramic Space Limited"/>
        <s v="NINGBO BEEFIT KITCHENWARE CO., LTD."/>
        <s v="Ningbo Heyuan Textile Product Co., Ltd"/>
        <s v="Alessi Spa"/>
        <s v="Ningbo Zhenhai Kylin Craft Article Co., Ltd"/>
        <s v="Yongkang Xinduo Cups Co Ltd"/>
        <s v="Daneels Media Group"/>
        <s v="Xiamen Tuzh Umbrella Co., Ltd"/>
        <s v="Lianyungang Binli Manufacture Co., Ltd"/>
        <s v="Dongguan Love Travel Products Co., Ltd"/>
        <s v="GLOBETRADE DELUCO NV - USD"/>
        <s v="Prolific Industrial Limited"/>
        <s v="Edis - Cartotecnica Sinigaglia"/>
        <s v="Rotolito Spa"/>
        <s v="Bormioli Luigi S.p.A."/>
        <s v="Wing Mau Products Development Ltd"/>
        <s v="Vitrinor"/>
        <s v="Hong Kong Element Co., Ltd"/>
        <s v="Hebei Sanxia Technology Co., Ltd"/>
        <s v="ALSO TECHNOLOGY MILANO SRL"/>
        <s v="BORGIONE CENTRO DIDATTICO"/>
        <s v="Anastasis"/>
        <s v="Monti &amp; Russo - MR Digital"/>
        <s v="CAMAL SRL"/>
        <s v="Cerexport"/>
        <s v="Welspun Global Brands Ltd"/>
        <s v="Hasbro Consumer Products Licensing Ltd"/>
        <s v="XIAMEN CITY SPARK TECH. CO., LTD."/>
        <s v="DNS"/>
        <s v="Stilema srl USD"/>
        <s v="Xiamen Create Living Co. Ltd."/>
        <s v="Linkfair Household (HK) Limited"/>
        <s v="ALFRA FLAUTO FACILE"/>
        <s v="ARTE LIGHT SRL"/>
        <s v="Grupo Erik Editores SL"/>
        <s v="Tecnodidattica Spa"/>
        <s v="Conair LLC Continental Conair Ltd"/>
        <s v="Party IP Holdings LLC"/>
        <s v="TUPPERWARE (CHINA) CO., LTD"/>
        <s v="TUPPERWARE INDIA PVT LTD"/>
        <s v="Eastcolight"/>
        <s v="Meridian International Ltd."/>
        <s v="Shulopal (Guangzhou) Co., Ltd."/>
        <s v="HANGZHOU FREETRON TECH IND CO.LTD"/>
        <s v="Shanghai Gravim Industrial Co.,Ltd"/>
        <s v="Tupperware (SH) Industrial Co., Ltd"/>
        <s v="TAIZHOU CITY JOYHOME IMP &amp; EXP CO., LTD"/>
        <s v="Shaoxingshi Shangyu Heng Dun"/>
        <s v="Sun Trend International Limited"/>
        <s v="Product Development Partners Ltd"/>
        <s v="Sixtus Italia srl"/>
        <s v="Victorinox AG"/>
        <s v="Hung Hing Off-Set Printing"/>
        <s v="Oguzhan Tekstil San. VE TIC. A.S."/>
        <s v="Reba Packaging" u="1"/>
        <s v="LoyalPack BV" u="1"/>
        <s v="BRTC Packaging B.V." u="1"/>
        <s v="Leufgens" u="1"/>
        <s v="L - founders of loyalty Sourcing B.V. Italy" u="1"/>
        <s v="Brand Loyalty Sourcing B.V." u="1"/>
        <s v="VPK" u="1"/>
        <s v="Holbox BV" u="1"/>
        <s v="Graphic World BV" u="1"/>
        <s v="DVC" u="1"/>
        <s v="L - founders of loyalty France SAS - Sourcing" u="1"/>
        <s v="L - founders of loyalty Sourcing B.V." u="1"/>
        <s v="B&amp;K Offsetdruck GmbH" u="1"/>
        <s v="L - founders of loyalty Brazil Ltd." u="1"/>
        <s v="Super Nosso" u="1"/>
        <s v="Coop CH" u="1"/>
        <s v="L - founders of loyalty Sourcing Ltd." u="1"/>
        <s v="L - founders of loyalty Japan Co., Ltd." u="1"/>
        <s v="Brand Loyalty World Wide GmbH" u="1"/>
        <s v="Akart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2">
  <r>
    <s v="PO-008556"/>
    <x v="0"/>
    <x v="0"/>
    <s v="Serving Spoon"/>
    <n v="11400"/>
    <n v="11400"/>
    <s v="Closed"/>
    <s v="06-01-2025"/>
    <x v="0"/>
  </r>
  <r>
    <s v="PO-008558"/>
    <x v="1"/>
    <x v="1"/>
    <s v="Oval Dish"/>
    <n v="5000"/>
    <n v="5000"/>
    <s v="Closed"/>
    <s v="06-01-2025"/>
    <x v="1"/>
  </r>
  <r>
    <s v="PO-008558"/>
    <x v="2"/>
    <x v="2"/>
    <s v="Pie dish"/>
    <n v="5000"/>
    <n v="5000"/>
    <s v="Closed"/>
    <s v="06-01-2025"/>
    <x v="1"/>
  </r>
  <r>
    <s v="PO-008640"/>
    <x v="3"/>
    <x v="3"/>
    <s v="Minecraft Plush Steve 16cm"/>
    <n v="39936"/>
    <n v="39936"/>
    <s v="Closed"/>
    <s v="06-01-2025"/>
    <x v="2"/>
  </r>
  <r>
    <s v="PO-008640"/>
    <x v="4"/>
    <x v="4"/>
    <s v="Minecraft Plush Alex 16cm"/>
    <n v="39936"/>
    <n v="39936"/>
    <s v="Closed"/>
    <s v="06-01-2025"/>
    <x v="2"/>
  </r>
  <r>
    <s v="PO-008640"/>
    <x v="5"/>
    <x v="5"/>
    <s v="Minecraft Plush Creeper 16cm"/>
    <n v="54528"/>
    <n v="54528"/>
    <s v="Closed"/>
    <s v="06-01-2025"/>
    <x v="2"/>
  </r>
  <r>
    <s v="PO-008640"/>
    <x v="6"/>
    <x v="6"/>
    <s v="Minecraft Plush Pig 16cm"/>
    <n v="43776"/>
    <n v="43776"/>
    <s v="Closed"/>
    <s v="06-01-2025"/>
    <x v="2"/>
  </r>
  <r>
    <s v="PO-008640"/>
    <x v="7"/>
    <x v="7"/>
    <s v="Minecraft Plush Bee 16cm"/>
    <n v="28800"/>
    <n v="28800"/>
    <s v="Closed"/>
    <s v="06-01-2025"/>
    <x v="2"/>
  </r>
  <r>
    <s v="PO-008640"/>
    <x v="8"/>
    <x v="8"/>
    <s v="Minecraft Plush Fox 16cm"/>
    <n v="28800"/>
    <n v="28800"/>
    <s v="Closed"/>
    <s v="06-01-2025"/>
    <x v="2"/>
  </r>
  <r>
    <s v="PO-008642"/>
    <x v="9"/>
    <x v="9"/>
    <s v="Cultivator 30cm"/>
    <n v="486"/>
    <n v="486"/>
    <s v="Closed"/>
    <s v="07-01-2025"/>
    <x v="3"/>
  </r>
  <r>
    <s v="PO-008642"/>
    <x v="10"/>
    <x v="10"/>
    <s v="Trowel"/>
    <n v="6774"/>
    <n v="6774"/>
    <s v="Closed"/>
    <s v="07-01-2025"/>
    <x v="3"/>
  </r>
  <r>
    <s v="PO-008642"/>
    <x v="11"/>
    <x v="11"/>
    <s v="Bypass lopper 28 inch"/>
    <n v="12896"/>
    <n v="12732"/>
    <s v="Closed"/>
    <s v="07-01-2025"/>
    <x v="3"/>
  </r>
  <r>
    <s v="PO-008647"/>
    <x v="12"/>
    <x v="12"/>
    <s v="Adidas 3 completi tennis donna (taglie s-m-l)"/>
    <n v="1"/>
    <n v="1"/>
    <s v="Closed"/>
    <s v="09-01-2025"/>
    <x v="4"/>
  </r>
  <r>
    <s v="PO-008647"/>
    <x v="13"/>
    <x v="13"/>
    <s v="Set 3 polsiere tennis"/>
    <n v="2"/>
    <n v="2"/>
    <s v="Closed"/>
    <s v="09-01-2025"/>
    <x v="4"/>
  </r>
  <r>
    <s v="PO-008648"/>
    <x v="14"/>
    <x v="14"/>
    <s v="Set 12 corde per saltare"/>
    <n v="3"/>
    <n v="3"/>
    <s v="Closed"/>
    <s v="09-01-2025"/>
    <x v="5"/>
  </r>
  <r>
    <s v="PO-008648"/>
    <x v="15"/>
    <x v="15"/>
    <s v="Set 4 ruote per esercizi"/>
    <n v="2"/>
    <n v="2"/>
    <s v="Closed"/>
    <s v="09-01-2025"/>
    <x v="5"/>
  </r>
  <r>
    <s v="PO-008648"/>
    <x v="16"/>
    <x v="16"/>
    <s v="Set 6 ghiaccio spray"/>
    <n v="14"/>
    <n v="14"/>
    <s v="Closed"/>
    <s v="09-01-2025"/>
    <x v="5"/>
  </r>
  <r>
    <s v="PO-008648"/>
    <x v="17"/>
    <x v="17"/>
    <s v="Bacheca/pannello fondo sughero"/>
    <n v="1"/>
    <n v="1"/>
    <s v="Closed"/>
    <s v="09-01-2025"/>
    <x v="5"/>
  </r>
  <r>
    <s v="PO-008649"/>
    <x v="18"/>
    <x v="18"/>
    <s v="Set 5 cuffie poliestere - junior"/>
    <n v="2"/>
    <n v="2"/>
    <s v="Closed"/>
    <s v="09-01-2025"/>
    <x v="6"/>
  </r>
  <r>
    <s v="PO-008649"/>
    <x v="19"/>
    <x v="19"/>
    <s v="Set 2 ostacolatori monoblocco"/>
    <n v="2"/>
    <n v="2"/>
    <s v="Closed"/>
    <s v="09-01-2025"/>
    <x v="6"/>
  </r>
  <r>
    <s v="PO-008649"/>
    <x v="20"/>
    <x v="20"/>
    <s v="Paracadute per piscina"/>
    <n v="1"/>
    <n v="1"/>
    <s v="Closed"/>
    <s v="09-01-2025"/>
    <x v="6"/>
  </r>
  <r>
    <s v="PO-008649"/>
    <x v="21"/>
    <x v="21"/>
    <s v="Valigetta pronto soccorso"/>
    <n v="9"/>
    <n v="8"/>
    <s v="Closed"/>
    <s v="09-01-2025"/>
    <x v="6"/>
  </r>
  <r>
    <s v="PO-008649"/>
    <x v="22"/>
    <x v="22"/>
    <s v="Compressore"/>
    <n v="1"/>
    <n v="1"/>
    <s v="Closed"/>
    <s v="09-01-2025"/>
    <x v="6"/>
  </r>
  <r>
    <s v="PO-008650"/>
    <x v="23"/>
    <x v="23"/>
    <s v="Pinne da allenamento con pala corta tg 38"/>
    <n v="1"/>
    <n v="1"/>
    <s v="Closed"/>
    <s v="09-01-2025"/>
    <x v="7"/>
  </r>
  <r>
    <s v="PO-008650"/>
    <x v="24"/>
    <x v="24"/>
    <s v="Pinne da allenamento con pala corta tg 42"/>
    <n v="1"/>
    <n v="1"/>
    <s v="Closed"/>
    <s v="09-01-2025"/>
    <x v="7"/>
  </r>
  <r>
    <s v="PO-008651"/>
    <x v="25"/>
    <x v="25"/>
    <s v="Set 5 palloni Gilbert allenamento gtr4000 mis. 5"/>
    <n v="1"/>
    <n v="1"/>
    <s v="Closed"/>
    <s v="09-01-2025"/>
    <x v="8"/>
  </r>
  <r>
    <s v="PO-008651"/>
    <x v="26"/>
    <x v="26"/>
    <s v="Set 4 paradenti Gilbert tricolore senior"/>
    <n v="1"/>
    <n v="1"/>
    <s v="Closed"/>
    <s v="09-01-2025"/>
    <x v="8"/>
  </r>
  <r>
    <s v="PO-008652"/>
    <x v="27"/>
    <x v="27"/>
    <s v="Set 5 palloni Academy School, mis.4 da allenamento"/>
    <n v="2"/>
    <n v="2"/>
    <s v="Closed"/>
    <s v="09-01-2025"/>
    <x v="9"/>
  </r>
  <r>
    <s v="PO-008652"/>
    <x v="28"/>
    <x v="28"/>
    <s v="Set 5 palloni Academy School, mis. 5 da allenamento"/>
    <n v="2"/>
    <n v="2"/>
    <s v="Closed"/>
    <s v="09-01-2025"/>
    <x v="9"/>
  </r>
  <r>
    <s v="PO-008652"/>
    <x v="29"/>
    <x v="29"/>
    <s v="Set 2 borse porta palloni"/>
    <n v="1"/>
    <n v="1"/>
    <s v="Closed"/>
    <s v="09-01-2025"/>
    <x v="9"/>
  </r>
  <r>
    <s v="PO-008652"/>
    <x v="30"/>
    <x v="30"/>
    <s v="Racchetta Padel Capo"/>
    <n v="1"/>
    <n v="1"/>
    <s v="Closed"/>
    <s v="09-01-2025"/>
    <x v="9"/>
  </r>
  <r>
    <s v="PO-008652"/>
    <x v="31"/>
    <x v="31"/>
    <s v="Calze basket 10 paia"/>
    <n v="2"/>
    <n v="2"/>
    <s v="Closed"/>
    <s v="09-01-2025"/>
    <x v="9"/>
  </r>
  <r>
    <s v="PO-008652"/>
    <x v="32"/>
    <x v="32"/>
    <s v="Set 10 casacche Pro allenamento"/>
    <n v="17"/>
    <n v="17"/>
    <s v="Closed"/>
    <s v="09-01-2025"/>
    <x v="9"/>
  </r>
  <r>
    <s v="PO-008652"/>
    <x v="33"/>
    <x v="33"/>
    <s v="Set 10 casacche Double"/>
    <n v="1"/>
    <n v="1"/>
    <s v="Closed"/>
    <s v="09-01-2025"/>
    <x v="9"/>
  </r>
  <r>
    <s v="PO-008652"/>
    <x v="34"/>
    <x v="34"/>
    <s v="Set 2 borse Brera"/>
    <n v="1"/>
    <n v="1"/>
    <s v="Closed"/>
    <s v="09-01-2025"/>
    <x v="9"/>
  </r>
  <r>
    <s v="PO-008652"/>
    <x v="35"/>
    <x v="35"/>
    <s v="Set 2 zaini Europa fondo imbottito"/>
    <n v="3"/>
    <n v="4"/>
    <s v="Closed"/>
    <s v="09-01-2025"/>
    <x v="9"/>
  </r>
  <r>
    <s v="PO-008653"/>
    <x v="36"/>
    <x v="36"/>
    <s v="Zaino piscina"/>
    <n v="1"/>
    <n v="1"/>
    <s v="Closed"/>
    <s v="09-01-2025"/>
    <x v="10"/>
  </r>
  <r>
    <s v="PO-008654"/>
    <x v="37"/>
    <x v="37"/>
    <s v="Set 10 t-shirt mezza manica"/>
    <n v="6"/>
    <n v="6"/>
    <s v="Closed"/>
    <s v="09-01-2025"/>
    <x v="11"/>
  </r>
  <r>
    <s v="PO-008654"/>
    <x v="38"/>
    <x v="38"/>
    <s v="Set 3 pantaloncini donna blu s-m-l"/>
    <n v="1"/>
    <n v="1"/>
    <s v="Closed"/>
    <s v="09-01-2025"/>
    <x v="11"/>
  </r>
  <r>
    <s v="PO-008655"/>
    <x v="39"/>
    <x v="39"/>
    <s v="Set da 4 gym ball"/>
    <n v="4"/>
    <n v="4"/>
    <s v="Closed"/>
    <s v="09-01-2025"/>
    <x v="12"/>
  </r>
  <r>
    <s v="PO-008655"/>
    <x v="40"/>
    <x v="40"/>
    <s v="Set da 8 materassini pieghevoli"/>
    <n v="1"/>
    <n v="1"/>
    <s v="Closed"/>
    <s v="09-01-2025"/>
    <x v="12"/>
  </r>
  <r>
    <s v="PO-008655"/>
    <x v="41"/>
    <x v="41"/>
    <s v="Set 20 elastici fitness con maniglie e cavigliere"/>
    <n v="4"/>
    <n v="4"/>
    <s v="Closed"/>
    <s v="09-01-2025"/>
    <x v="12"/>
  </r>
  <r>
    <s v="PO-008655"/>
    <x v="42"/>
    <x v="42"/>
    <s v="Polsiere / cavigliere regolabili"/>
    <n v="7"/>
    <n v="7"/>
    <s v="Closed"/>
    <s v="09-01-2025"/>
    <x v="12"/>
  </r>
  <r>
    <s v="PO-008655"/>
    <x v="43"/>
    <x v="43"/>
    <s v="Set di 10 stretch band"/>
    <n v="6"/>
    <n v="6"/>
    <s v="Closed"/>
    <s v="09-01-2025"/>
    <x v="12"/>
  </r>
  <r>
    <s v="PO-008655"/>
    <x v="44"/>
    <x v="44"/>
    <s v="Set di 2 balance board con maniglie"/>
    <n v="3"/>
    <n v="3"/>
    <s v="Closed"/>
    <s v="09-01-2025"/>
    <x v="12"/>
  </r>
  <r>
    <s v="PO-008655"/>
    <x v="45"/>
    <x v="45"/>
    <s v="Set 4 cronometri impermeabili"/>
    <n v="1"/>
    <n v="1"/>
    <s v="Closed"/>
    <s v="09-01-2025"/>
    <x v="12"/>
  </r>
  <r>
    <s v="PO-008656"/>
    <x v="46"/>
    <x v="46"/>
    <s v="Porta calcetto"/>
    <n v="2"/>
    <n v="2"/>
    <s v="Closed"/>
    <s v="09-01-2025"/>
    <x v="13"/>
  </r>
  <r>
    <s v="PO-008656"/>
    <x v="47"/>
    <x v="47"/>
    <s v="Set 2 aste guardialinee complete"/>
    <n v="3"/>
    <n v="3"/>
    <s v="Closed"/>
    <s v="09-01-2025"/>
    <x v="13"/>
  </r>
  <r>
    <s v="PO-008656"/>
    <x v="48"/>
    <x v="48"/>
    <s v="Rete da pallavolo pesante"/>
    <n v="2"/>
    <n v="52"/>
    <s v="Closed"/>
    <s v="09-01-2025"/>
    <x v="13"/>
  </r>
  <r>
    <s v="PO-008656"/>
    <x v="49"/>
    <x v="49"/>
    <s v="Coppia di polsiere ad 1 fascia 500 g cadauna"/>
    <n v="2"/>
    <n v="2"/>
    <s v="Closed"/>
    <s v="09-01-2025"/>
    <x v="13"/>
  </r>
  <r>
    <s v="PO-008656"/>
    <x v="50"/>
    <x v="50"/>
    <s v="Materasso in gomma espansa"/>
    <n v="2"/>
    <n v="2"/>
    <s v="Closed"/>
    <s v="09-01-2025"/>
    <x v="13"/>
  </r>
  <r>
    <s v="PO-008656"/>
    <x v="51"/>
    <x v="51"/>
    <s v="Sbarra danza in legno 2 metri"/>
    <n v="1"/>
    <n v="1"/>
    <s v="Closed"/>
    <s v="09-01-2025"/>
    <x v="13"/>
  </r>
  <r>
    <s v="PO-008656"/>
    <x v="52"/>
    <x v="52"/>
    <s v="Sacco boxe da 30 kg"/>
    <n v="1"/>
    <n v="1"/>
    <s v="Closed"/>
    <s v="09-01-2025"/>
    <x v="13"/>
  </r>
  <r>
    <s v="PO-008656"/>
    <x v="53"/>
    <x v="53"/>
    <s v="Coppia reti pallamano"/>
    <n v="2"/>
    <n v="2"/>
    <s v="Closed"/>
    <s v="09-01-2025"/>
    <x v="13"/>
  </r>
  <r>
    <s v="PO-008656"/>
    <x v="54"/>
    <x v="54"/>
    <s v="Cono"/>
    <n v="3"/>
    <n v="3"/>
    <s v="Closed"/>
    <s v="09-01-2025"/>
    <x v="13"/>
  </r>
  <r>
    <s v="PO-008656"/>
    <x v="55"/>
    <x v="55"/>
    <s v="Set di 48 delimitatori"/>
    <n v="6"/>
    <n v="6"/>
    <s v="Closed"/>
    <s v="09-01-2025"/>
    <x v="13"/>
  </r>
  <r>
    <s v="PO-008656"/>
    <x v="56"/>
    <x v="56"/>
    <s v="Set 10 cerchi in nylon"/>
    <n v="4"/>
    <n v="4"/>
    <s v="Closed"/>
    <s v="09-01-2025"/>
    <x v="13"/>
  </r>
  <r>
    <s v="PO-008656"/>
    <x v="57"/>
    <x v="57"/>
    <s v="Set 10 pali slalom"/>
    <n v="1"/>
    <n v="1"/>
    <s v="Closed"/>
    <s v="09-01-2025"/>
    <x v="13"/>
  </r>
  <r>
    <s v="PO-008656"/>
    <x v="58"/>
    <x v="58"/>
    <s v="Set 10 stuoie"/>
    <n v="3"/>
    <n v="3"/>
    <s v="Closed"/>
    <s v="09-01-2025"/>
    <x v="13"/>
  </r>
  <r>
    <s v="PO-008656"/>
    <x v="59"/>
    <x v="59"/>
    <s v="Set 6 borracce"/>
    <n v="4"/>
    <n v="4"/>
    <s v="Closed"/>
    <s v="09-01-2025"/>
    <x v="13"/>
  </r>
  <r>
    <s v="PO-008656"/>
    <x v="60"/>
    <x v="60"/>
    <s v="Carrello porta palloni"/>
    <n v="2"/>
    <n v="27"/>
    <s v="Closed"/>
    <s v="09-01-2025"/>
    <x v="13"/>
  </r>
  <r>
    <s v="PO-008656"/>
    <x v="61"/>
    <x v="61"/>
    <s v="Panca mt. 2 senza schienale"/>
    <n v="2"/>
    <n v="2"/>
    <s v="Closed"/>
    <s v="09-01-2025"/>
    <x v="13"/>
  </r>
  <r>
    <s v="PO-008659"/>
    <x v="62"/>
    <x v="62"/>
    <s v="Glass storage rec. S 470ml"/>
    <n v="9864"/>
    <n v="9864"/>
    <s v="Closed"/>
    <s v="11-01-2025"/>
    <x v="14"/>
  </r>
  <r>
    <s v="PO-008659"/>
    <x v="63"/>
    <x v="63"/>
    <s v="Glass storage rec. M 800ml"/>
    <n v="14768"/>
    <n v="14768"/>
    <s v="Closed"/>
    <s v="11-01-2025"/>
    <x v="14"/>
  </r>
  <r>
    <s v="PO-008659"/>
    <x v="64"/>
    <x v="64"/>
    <s v="Glass storage rec. L 1380ml"/>
    <n v="23920"/>
    <n v="23920"/>
    <s v="Closed"/>
    <s v="11-01-2025"/>
    <x v="14"/>
  </r>
  <r>
    <s v="PO-008659"/>
    <x v="65"/>
    <x v="65"/>
    <s v="Glass storage round L 1500ml"/>
    <n v="16660"/>
    <n v="16660"/>
    <s v="Closed"/>
    <s v="11-01-2025"/>
    <x v="14"/>
  </r>
  <r>
    <s v="PO-008659"/>
    <x v="66"/>
    <x v="66"/>
    <s v="Glass storage rec. XL 2620ml"/>
    <n v="29844"/>
    <n v="29844"/>
    <s v="Closed"/>
    <s v="11-01-2025"/>
    <x v="14"/>
  </r>
  <r>
    <s v="PO-008659"/>
    <x v="67"/>
    <x v="67"/>
    <s v="Vacuum pump - Electrical"/>
    <n v="13856"/>
    <n v="13856"/>
    <s v="Closed"/>
    <s v="11-01-2025"/>
    <x v="14"/>
  </r>
  <r>
    <s v="PO-008660"/>
    <x v="62"/>
    <x v="62"/>
    <s v="Glass storage rec. S 470ml"/>
    <n v="5100"/>
    <n v="5100"/>
    <s v="Closed"/>
    <s v="11-01-2025"/>
    <x v="14"/>
  </r>
  <r>
    <s v="PO-008660"/>
    <x v="68"/>
    <x v="68"/>
    <s v="Glass storage round M 820ml"/>
    <n v="1304"/>
    <n v="1304"/>
    <s v="Closed"/>
    <s v="11-01-2025"/>
    <x v="14"/>
  </r>
  <r>
    <s v="PO-008660"/>
    <x v="63"/>
    <x v="63"/>
    <s v="Glass storage rec. M 800ml"/>
    <n v="11508"/>
    <n v="11508"/>
    <s v="Closed"/>
    <s v="11-01-2025"/>
    <x v="14"/>
  </r>
  <r>
    <s v="PO-008660"/>
    <x v="64"/>
    <x v="64"/>
    <s v="Glass storage rec. L 1380ml"/>
    <n v="1620"/>
    <n v="1620"/>
    <s v="Closed"/>
    <s v="11-01-2025"/>
    <x v="14"/>
  </r>
  <r>
    <s v="PO-008660"/>
    <x v="65"/>
    <x v="65"/>
    <s v="Glass storage round L 1500ml"/>
    <n v="7224"/>
    <n v="7224"/>
    <s v="Closed"/>
    <s v="11-01-2025"/>
    <x v="14"/>
  </r>
  <r>
    <s v="PO-008660"/>
    <x v="66"/>
    <x v="66"/>
    <s v="Glass storage rec. XL 2620ml"/>
    <n v="7164"/>
    <n v="7164"/>
    <s v="Closed"/>
    <s v="11-01-2025"/>
    <x v="14"/>
  </r>
  <r>
    <s v="PO-008661"/>
    <x v="69"/>
    <x v="69"/>
    <s v="Panca sollevamento pesi"/>
    <n v="1"/>
    <n v="1"/>
    <s v="Closed"/>
    <s v="13-01-2025"/>
    <x v="5"/>
  </r>
  <r>
    <s v="PO-008666"/>
    <x v="70"/>
    <x v="70"/>
    <s v="1 pallone beach volley modello Replica"/>
    <n v="6"/>
    <n v="6"/>
    <s v="Closed"/>
    <s v="14-01-2025"/>
    <x v="15"/>
  </r>
  <r>
    <s v="PO-008666"/>
    <x v="71"/>
    <x v="71"/>
    <s v="1 pallone MVP da basket mis 7"/>
    <n v="6"/>
    <n v="6"/>
    <s v="Closed"/>
    <s v="14-01-2025"/>
    <x v="15"/>
  </r>
  <r>
    <s v="PO-008666"/>
    <x v="72"/>
    <x v="72"/>
    <s v="1 pallone da minibasket mis 5"/>
    <n v="6"/>
    <n v="6"/>
    <s v="Closed"/>
    <s v="14-01-2025"/>
    <x v="15"/>
  </r>
  <r>
    <s v="PO-008668"/>
    <x v="63"/>
    <x v="63"/>
    <s v="Glass storage rec. M 800ml"/>
    <n v="1"/>
    <n v="0"/>
    <s v="Closed"/>
    <s v="14-01-2025"/>
    <x v="14"/>
  </r>
  <r>
    <s v="PO-008668"/>
    <x v="64"/>
    <x v="64"/>
    <s v="Glass storage rec. L 1380ml"/>
    <n v="1"/>
    <n v="0"/>
    <s v="Closed"/>
    <s v="14-01-2025"/>
    <x v="14"/>
  </r>
  <r>
    <s v="PO-008668"/>
    <x v="65"/>
    <x v="65"/>
    <s v="Glass storage round L 1500ml"/>
    <n v="1"/>
    <n v="0"/>
    <s v="Closed"/>
    <s v="14-01-2025"/>
    <x v="14"/>
  </r>
  <r>
    <s v="PO-008668"/>
    <x v="66"/>
    <x v="66"/>
    <s v="Glass storage rec. XL 2620ml"/>
    <n v="1"/>
    <n v="0"/>
    <s v="Closed"/>
    <s v="14-01-2025"/>
    <x v="14"/>
  </r>
  <r>
    <s v="PO-008668"/>
    <x v="67"/>
    <x v="67"/>
    <s v="Vacuum pump - Electrical"/>
    <n v="1"/>
    <n v="0"/>
    <s v="Closed"/>
    <s v="14-01-2025"/>
    <x v="14"/>
  </r>
  <r>
    <s v="PO-008945"/>
    <x v="73"/>
    <x v="73"/>
    <s v="Sharpener"/>
    <n v="42000"/>
    <n v="42000"/>
    <s v="Closed"/>
    <s v="15-01-2025"/>
    <x v="16"/>
  </r>
  <r>
    <s v="PO-008945"/>
    <x v="74"/>
    <x v="74"/>
    <s v="Kitchen Shears FSC"/>
    <n v="38610"/>
    <n v="38610"/>
    <s v="Closed"/>
    <s v="15-01-2025"/>
    <x v="16"/>
  </r>
  <r>
    <s v="PO-008947"/>
    <x v="75"/>
    <x v="75"/>
    <s v="Saucepan 16cm"/>
    <n v="26208"/>
    <n v="0"/>
    <s v="Closed"/>
    <s v="16-01-2025"/>
    <x v="17"/>
  </r>
  <r>
    <s v="PO-008947"/>
    <x v="76"/>
    <x v="76"/>
    <s v="Casserole with lid 20cm"/>
    <n v="12096"/>
    <n v="0"/>
    <s v="Closed"/>
    <s v="16-01-2025"/>
    <x v="17"/>
  </r>
  <r>
    <s v="PO-008947"/>
    <x v="77"/>
    <x v="77"/>
    <s v="Casserole with lid 24cm"/>
    <n v="12672"/>
    <n v="0"/>
    <s v="Closed"/>
    <s v="16-01-2025"/>
    <x v="17"/>
  </r>
  <r>
    <s v="PO-008947"/>
    <x v="78"/>
    <x v="78"/>
    <s v="Wok with lid 30cm"/>
    <n v="6616"/>
    <n v="0"/>
    <s v="Closed"/>
    <s v="16-01-2025"/>
    <x v="17"/>
  </r>
  <r>
    <s v="PO-008947"/>
    <x v="79"/>
    <x v="79"/>
    <s v="frypan 20cm"/>
    <n v="13824"/>
    <n v="0"/>
    <s v="Closed"/>
    <s v="16-01-2025"/>
    <x v="17"/>
  </r>
  <r>
    <s v="PO-008947"/>
    <x v="80"/>
    <x v="80"/>
    <s v="frypan 24cm"/>
    <n v="14080"/>
    <n v="0"/>
    <s v="Closed"/>
    <s v="16-01-2025"/>
    <x v="17"/>
  </r>
  <r>
    <s v="PO-008947"/>
    <x v="81"/>
    <x v="81"/>
    <s v="frypan 28cm"/>
    <n v="15120"/>
    <n v="0"/>
    <s v="Closed"/>
    <s v="16-01-2025"/>
    <x v="17"/>
  </r>
  <r>
    <s v="PO-008948"/>
    <x v="78"/>
    <x v="78"/>
    <s v="Wok with lid 30cm"/>
    <n v="1"/>
    <n v="0"/>
    <s v="Closed"/>
    <s v="16-01-2025"/>
    <x v="17"/>
  </r>
  <r>
    <s v="PO-008948"/>
    <x v="79"/>
    <x v="79"/>
    <s v="frypan 20cm"/>
    <n v="1"/>
    <n v="0"/>
    <s v="Closed"/>
    <s v="16-01-2025"/>
    <x v="17"/>
  </r>
  <r>
    <s v="PO-008948"/>
    <x v="80"/>
    <x v="80"/>
    <s v="frypan 24cm"/>
    <n v="1"/>
    <n v="0"/>
    <s v="Closed"/>
    <s v="16-01-2025"/>
    <x v="17"/>
  </r>
  <r>
    <s v="PO-008948"/>
    <x v="81"/>
    <x v="81"/>
    <s v="frypan 28cm"/>
    <n v="1"/>
    <n v="0"/>
    <s v="Closed"/>
    <s v="16-01-2025"/>
    <x v="17"/>
  </r>
  <r>
    <s v="PO-008948"/>
    <x v="75"/>
    <x v="75"/>
    <s v="Saucepan 16cm"/>
    <n v="1"/>
    <n v="0"/>
    <s v="Closed"/>
    <s v="16-01-2025"/>
    <x v="17"/>
  </r>
  <r>
    <s v="PO-008948"/>
    <x v="76"/>
    <x v="76"/>
    <s v="Casserole with lid 20cm"/>
    <n v="1"/>
    <n v="0"/>
    <s v="Closed"/>
    <s v="16-01-2025"/>
    <x v="17"/>
  </r>
  <r>
    <s v="PO-008948"/>
    <x v="77"/>
    <x v="77"/>
    <s v="Casserole with lid 24cm"/>
    <n v="1"/>
    <n v="0"/>
    <s v="Closed"/>
    <s v="16-01-2025"/>
    <x v="17"/>
  </r>
  <r>
    <s v="PO-008949"/>
    <x v="78"/>
    <x v="78"/>
    <s v="Wok with lid 30cm"/>
    <n v="30336"/>
    <n v="30336"/>
    <s v="Closed"/>
    <s v="16-01-2025"/>
    <x v="17"/>
  </r>
  <r>
    <s v="PO-008950"/>
    <x v="78"/>
    <x v="78"/>
    <s v="Wok with lid 30cm"/>
    <n v="70784"/>
    <n v="70784"/>
    <s v="Closed"/>
    <s v="16-01-2025"/>
    <x v="17"/>
  </r>
  <r>
    <s v="PO-008952"/>
    <x v="82"/>
    <x v="82"/>
    <s v="Hand rake 38,8cm"/>
    <n v="15438"/>
    <n v="21048"/>
    <s v="Closed"/>
    <s v="20-01-2025"/>
    <x v="3"/>
  </r>
  <r>
    <s v="PO-008953"/>
    <x v="9"/>
    <x v="9"/>
    <s v="Cultivator 30cm"/>
    <n v="58818"/>
    <n v="61458"/>
    <s v="Closed"/>
    <s v="20-01-2025"/>
    <x v="3"/>
  </r>
  <r>
    <s v="PO-008954"/>
    <x v="83"/>
    <x v="83"/>
    <s v="Set of Pepper &amp; Salt Mill"/>
    <n v="25200"/>
    <n v="25200"/>
    <s v="Closed"/>
    <s v="20-01-2025"/>
    <x v="18"/>
  </r>
  <r>
    <s v="PO-008955"/>
    <x v="84"/>
    <x v="84"/>
    <s v="Pressure Cooker 6,0 l"/>
    <n v="800"/>
    <n v="800"/>
    <s v="Closed"/>
    <s v="20-01-2025"/>
    <x v="19"/>
  </r>
  <r>
    <s v="PO-008953"/>
    <x v="85"/>
    <x v="85"/>
    <s v="Bypass pruner 8 inch"/>
    <n v="6180"/>
    <n v="6180"/>
    <s v="Closed"/>
    <s v="20-01-2025"/>
    <x v="3"/>
  </r>
  <r>
    <s v="PO-008953"/>
    <x v="86"/>
    <x v="86"/>
    <s v="Garden Stool with Tool Bag"/>
    <n v="240"/>
    <n v="240"/>
    <s v="Closed"/>
    <s v="20-01-2025"/>
    <x v="3"/>
  </r>
  <r>
    <s v="PO-008953"/>
    <x v="11"/>
    <x v="11"/>
    <s v="Bypass lopper 28 inch"/>
    <n v="1060"/>
    <n v="1060"/>
    <s v="Closed"/>
    <s v="20-01-2025"/>
    <x v="3"/>
  </r>
  <r>
    <s v="PO-009045"/>
    <x v="85"/>
    <x v="85"/>
    <s v="Bypass pruner 8 inch"/>
    <n v="78318"/>
    <n v="78318"/>
    <s v="Closed"/>
    <s v="21-01-2025"/>
    <x v="3"/>
  </r>
  <r>
    <s v="PO-009046"/>
    <x v="10"/>
    <x v="10"/>
    <s v="Trowel"/>
    <n v="6774"/>
    <n v="0"/>
    <s v="Approved"/>
    <s v="21-01-2025"/>
    <x v="3"/>
  </r>
  <r>
    <s v="PO-008953"/>
    <x v="10"/>
    <x v="10"/>
    <s v="Trowel"/>
    <n v="1278"/>
    <n v="1284"/>
    <s v="Closed"/>
    <s v="20-01-2025"/>
    <x v="3"/>
  </r>
  <r>
    <s v="PO-009047"/>
    <x v="10"/>
    <x v="10"/>
    <s v="Trowel"/>
    <n v="5568"/>
    <n v="5568"/>
    <s v="Closed"/>
    <s v="21-01-2025"/>
    <x v="3"/>
  </r>
  <r>
    <s v="PO-009047"/>
    <x v="86"/>
    <x v="86"/>
    <s v="Garden Stool with Tool Bag"/>
    <n v="6822"/>
    <n v="6822"/>
    <s v="Closed"/>
    <s v="21-01-2025"/>
    <x v="3"/>
  </r>
  <r>
    <s v="PO-009048"/>
    <x v="10"/>
    <x v="10"/>
    <s v="Trowel"/>
    <n v="40122"/>
    <n v="40140"/>
    <s v="Closed"/>
    <s v="21-01-2025"/>
    <x v="3"/>
  </r>
  <r>
    <s v="PO-009048"/>
    <x v="86"/>
    <x v="86"/>
    <s v="Garden Stool with Tool Bag"/>
    <n v="474"/>
    <n v="474"/>
    <s v="Closed"/>
    <s v="21-01-2025"/>
    <x v="3"/>
  </r>
  <r>
    <s v="PO-009048"/>
    <x v="82"/>
    <x v="82"/>
    <s v="Hand rake 38,8cm"/>
    <n v="14052"/>
    <n v="14160"/>
    <s v="Closed"/>
    <s v="21-01-2025"/>
    <x v="3"/>
  </r>
  <r>
    <s v="PO-009049"/>
    <x v="87"/>
    <x v="87"/>
    <s v="Rectangular dish 36cm"/>
    <n v="41280"/>
    <n v="40784"/>
    <s v="Closed"/>
    <s v="21-01-2025"/>
    <x v="20"/>
  </r>
  <r>
    <s v="PO-009049"/>
    <x v="88"/>
    <x v="88"/>
    <s v="Rectangular dish 24cm"/>
    <n v="39984"/>
    <n v="39984"/>
    <s v="Closed"/>
    <s v="21-01-2025"/>
    <x v="20"/>
  </r>
  <r>
    <s v="PO-009048"/>
    <x v="9"/>
    <x v="9"/>
    <s v="Cultivator 30cm"/>
    <n v="798"/>
    <n v="798"/>
    <s v="Closed"/>
    <s v="21-01-2025"/>
    <x v="3"/>
  </r>
  <r>
    <s v="PO-009050"/>
    <x v="89"/>
    <x v="89"/>
    <s v="Minecraft duffle trolley"/>
    <n v="5148"/>
    <n v="5148"/>
    <s v="Closed"/>
    <s v="21-01-2025"/>
    <x v="21"/>
  </r>
  <r>
    <s v="PO-008952"/>
    <x v="10"/>
    <x v="10"/>
    <s v="Trowel"/>
    <n v="25326"/>
    <n v="19890"/>
    <s v="Closed"/>
    <s v="20-01-2025"/>
    <x v="3"/>
  </r>
  <r>
    <s v="PO-008952"/>
    <x v="86"/>
    <x v="86"/>
    <s v="Garden Stool with Tool Bag"/>
    <n v="3000"/>
    <n v="3000"/>
    <s v="Closed"/>
    <s v="20-01-2025"/>
    <x v="3"/>
  </r>
  <r>
    <s v="PO-009051"/>
    <x v="90"/>
    <x v="90"/>
    <s v="Multifunctional Scissor"/>
    <n v="75564"/>
    <n v="75570"/>
    <s v="Closed"/>
    <s v="21-01-2025"/>
    <x v="3"/>
  </r>
  <r>
    <s v="PO-009051"/>
    <x v="91"/>
    <x v="91"/>
    <s v="Garden multitool"/>
    <n v="10500"/>
    <n v="10500"/>
    <s v="Closed"/>
    <s v="21-01-2025"/>
    <x v="3"/>
  </r>
  <r>
    <s v="PO-009052"/>
    <x v="90"/>
    <x v="90"/>
    <s v="Multifunctional Scissor"/>
    <n v="86934"/>
    <n v="86928"/>
    <s v="Approved"/>
    <s v="21-01-2025"/>
    <x v="3"/>
  </r>
  <r>
    <s v="PO-009053"/>
    <x v="11"/>
    <x v="11"/>
    <s v="Bypass lopper 28 inch"/>
    <n v="12896"/>
    <n v="0"/>
    <s v="Closed"/>
    <s v="21-01-2025"/>
    <x v="3"/>
  </r>
  <r>
    <s v="PO-009054"/>
    <x v="11"/>
    <x v="11"/>
    <s v="Bypass lopper 28 inch"/>
    <n v="14196"/>
    <n v="14180"/>
    <s v="Closed"/>
    <s v="21-01-2025"/>
    <x v="3"/>
  </r>
  <r>
    <s v="PO-009055"/>
    <x v="92"/>
    <x v="92"/>
    <s v="Garden Work Gloves"/>
    <n v="94560"/>
    <n v="94544"/>
    <s v="Closed"/>
    <s v="21-01-2025"/>
    <x v="3"/>
  </r>
  <r>
    <s v="PO-009056"/>
    <x v="92"/>
    <x v="92"/>
    <s v="Garden Work Gloves"/>
    <n v="42600"/>
    <n v="42600"/>
    <s v="Closed"/>
    <s v="21-01-2025"/>
    <x v="3"/>
  </r>
  <r>
    <s v="PO-009060"/>
    <x v="93"/>
    <x v="93"/>
    <s v="PKP 18 E Glue Gun"/>
    <n v="3520"/>
    <n v="3520"/>
    <s v="Closed"/>
    <s v="22-01-2025"/>
    <x v="22"/>
  </r>
  <r>
    <s v="PO-009060"/>
    <x v="94"/>
    <x v="94"/>
    <s v="13-in-1 Multitool"/>
    <n v="5400"/>
    <n v="3000"/>
    <s v="Closed"/>
    <s v="22-01-2025"/>
    <x v="22"/>
  </r>
  <r>
    <s v="PO-009060"/>
    <x v="95"/>
    <x v="95"/>
    <s v="UniversalBrush"/>
    <n v="3360"/>
    <n v="3360"/>
    <s v="Closed"/>
    <s v="22-01-2025"/>
    <x v="22"/>
  </r>
  <r>
    <s v="PO-009060"/>
    <x v="96"/>
    <x v="96"/>
    <s v="IXO7"/>
    <n v="2660"/>
    <n v="2660"/>
    <s v="Closed"/>
    <s v="22-01-2025"/>
    <x v="22"/>
  </r>
  <r>
    <s v="PO-009066"/>
    <x v="97"/>
    <x v="97"/>
    <s v="Star Wars 3pc Cards Nes Pack"/>
    <n v="4435200"/>
    <n v="4435200"/>
    <s v="Closed"/>
    <s v="22-01-2025"/>
    <x v="23"/>
  </r>
  <r>
    <s v="PO-009073"/>
    <x v="98"/>
    <x v="98"/>
    <s v="Santoku knife"/>
    <n v="954"/>
    <n v="0"/>
    <s v="Closed"/>
    <s v="24-01-2025"/>
    <x v="16"/>
  </r>
  <r>
    <s v="PO-009073"/>
    <x v="99"/>
    <x v="99"/>
    <s v="Chef's knife"/>
    <n v="300"/>
    <n v="0"/>
    <s v="Closed"/>
    <s v="24-01-2025"/>
    <x v="16"/>
  </r>
  <r>
    <s v="PO-009267"/>
    <x v="100"/>
    <x v="100"/>
    <s v="Vacuum pump Manual"/>
    <n v="34592"/>
    <n v="34592"/>
    <s v="Closed"/>
    <s v="24-01-2025"/>
    <x v="24"/>
  </r>
  <r>
    <s v="PO-009267"/>
    <x v="101"/>
    <x v="101"/>
    <s v="PP vacuum container sq. 1500ml"/>
    <n v="51976"/>
    <n v="51976"/>
    <s v="Closed"/>
    <s v="24-01-2025"/>
    <x v="24"/>
  </r>
  <r>
    <s v="PO-009267"/>
    <x v="102"/>
    <x v="102"/>
    <s v="PP vacuum container rec. 600ml"/>
    <n v="83616"/>
    <n v="83616"/>
    <s v="Closed"/>
    <s v="24-01-2025"/>
    <x v="24"/>
  </r>
  <r>
    <s v="PO-009267"/>
    <x v="103"/>
    <x v="103"/>
    <s v="PP vacuum container rec. 1200ml"/>
    <n v="93128"/>
    <n v="93128"/>
    <s v="Closed"/>
    <s v="24-01-2025"/>
    <x v="24"/>
  </r>
  <r>
    <s v="PO-009267"/>
    <x v="104"/>
    <x v="104"/>
    <s v="PP vacuum container bowl 1000ml"/>
    <n v="43080"/>
    <n v="43080"/>
    <s v="Closed"/>
    <s v="24-01-2025"/>
    <x v="24"/>
  </r>
  <r>
    <s v="PO-009267"/>
    <x v="105"/>
    <x v="105"/>
    <s v="PP vacuum container bowl 2000ml"/>
    <n v="38896"/>
    <n v="38896"/>
    <s v="Closed"/>
    <s v="24-01-2025"/>
    <x v="24"/>
  </r>
  <r>
    <s v="PO-009268"/>
    <x v="106"/>
    <x v="106"/>
    <s v="Lunch box"/>
    <n v="35200"/>
    <n v="35200"/>
    <s v="Closed"/>
    <s v="24-01-2025"/>
    <x v="25"/>
  </r>
  <r>
    <s v="PO-009268"/>
    <x v="107"/>
    <x v="107"/>
    <s v="Yogurt beker"/>
    <n v="44800"/>
    <n v="44800"/>
    <s v="Closed"/>
    <s v="24-01-2025"/>
    <x v="25"/>
  </r>
  <r>
    <s v="PO-009269"/>
    <x v="97"/>
    <x v="97"/>
    <s v="Star Wars 3pc Cards Nes Pack"/>
    <n v="4435200"/>
    <n v="4435200"/>
    <s v="Closed"/>
    <s v="24-01-2025"/>
    <x v="23"/>
  </r>
  <r>
    <s v="PO-009270"/>
    <x v="97"/>
    <x v="97"/>
    <s v="Star Wars 3pc Cards Nes Pack"/>
    <n v="4435200"/>
    <n v="4435200"/>
    <s v="Closed"/>
    <s v="24-01-2025"/>
    <x v="23"/>
  </r>
  <r>
    <s v="PO-009271"/>
    <x v="97"/>
    <x v="97"/>
    <s v="Star Wars 3pc Cards Nes Pack"/>
    <n v="4435200"/>
    <n v="4435200"/>
    <s v="Closed"/>
    <s v="24-01-2025"/>
    <x v="23"/>
  </r>
  <r>
    <s v="PO-009272"/>
    <x v="97"/>
    <x v="97"/>
    <s v="Star Wars 3pc Cards Nes Pack"/>
    <n v="4435200"/>
    <n v="4435200"/>
    <s v="Closed"/>
    <s v="24-01-2025"/>
    <x v="23"/>
  </r>
  <r>
    <s v="PO-009273"/>
    <x v="97"/>
    <x v="97"/>
    <s v="Star Wars 3pc Cards Nes Pack"/>
    <n v="4435200"/>
    <n v="4435200"/>
    <s v="Closed"/>
    <s v="24-01-2025"/>
    <x v="23"/>
  </r>
  <r>
    <s v="PO-009274"/>
    <x v="97"/>
    <x v="97"/>
    <s v="Star Wars 3pc Cards Nes Pack"/>
    <n v="4435200"/>
    <n v="4435200"/>
    <s v="Closed"/>
    <s v="24-01-2025"/>
    <x v="23"/>
  </r>
  <r>
    <s v="PO-009275"/>
    <x v="97"/>
    <x v="97"/>
    <s v="Star Wars 3pc Cards Nes Pack"/>
    <n v="4435200"/>
    <n v="4435200"/>
    <s v="Closed"/>
    <s v="24-01-2025"/>
    <x v="23"/>
  </r>
  <r>
    <s v="PO-009284"/>
    <x v="100"/>
    <x v="100"/>
    <s v="Vacuum pump Manual"/>
    <n v="15824"/>
    <n v="15824"/>
    <s v="Closed"/>
    <s v="27-01-2025"/>
    <x v="24"/>
  </r>
  <r>
    <s v="PO-009284"/>
    <x v="101"/>
    <x v="101"/>
    <s v="PP vacuum container sq. 1500ml"/>
    <n v="28328"/>
    <n v="28328"/>
    <s v="Closed"/>
    <s v="27-01-2025"/>
    <x v="24"/>
  </r>
  <r>
    <s v="PO-009284"/>
    <x v="102"/>
    <x v="102"/>
    <s v="PP vacuum container rec. 600ml"/>
    <n v="4020"/>
    <n v="4020"/>
    <s v="Closed"/>
    <s v="27-01-2025"/>
    <x v="24"/>
  </r>
  <r>
    <s v="PO-009284"/>
    <x v="103"/>
    <x v="103"/>
    <s v="PP vacuum container rec. 1200ml"/>
    <n v="2216"/>
    <n v="2216"/>
    <s v="Closed"/>
    <s v="27-01-2025"/>
    <x v="24"/>
  </r>
  <r>
    <s v="PO-009284"/>
    <x v="104"/>
    <x v="104"/>
    <s v="PP vacuum container bowl 1000ml"/>
    <n v="23144"/>
    <n v="23144"/>
    <s v="Closed"/>
    <s v="27-01-2025"/>
    <x v="24"/>
  </r>
  <r>
    <s v="PO-009284"/>
    <x v="105"/>
    <x v="105"/>
    <s v="PP vacuum container bowl 2000ml"/>
    <n v="21360"/>
    <n v="21360"/>
    <s v="Closed"/>
    <s v="27-01-2025"/>
    <x v="24"/>
  </r>
  <r>
    <s v="PO-009285"/>
    <x v="106"/>
    <x v="106"/>
    <s v="Lunch box"/>
    <n v="35200"/>
    <n v="35200"/>
    <s v="Closed"/>
    <s v="27-01-2025"/>
    <x v="25"/>
  </r>
  <r>
    <s v="PO-009285"/>
    <x v="107"/>
    <x v="107"/>
    <s v="Yogurt beker"/>
    <n v="44800"/>
    <n v="44800"/>
    <s v="Closed"/>
    <s v="27-01-2025"/>
    <x v="25"/>
  </r>
  <r>
    <s v="PO-009286"/>
    <x v="100"/>
    <x v="100"/>
    <s v="Vacuum pump Manual"/>
    <n v="22720"/>
    <n v="22720"/>
    <s v="Closed"/>
    <s v="27-01-2025"/>
    <x v="24"/>
  </r>
  <r>
    <s v="PO-009286"/>
    <x v="101"/>
    <x v="101"/>
    <s v="PP vacuum container sq. 1500ml"/>
    <n v="76864"/>
    <n v="113758"/>
    <s v="Closed"/>
    <s v="27-01-2025"/>
    <x v="24"/>
  </r>
  <r>
    <s v="PO-009286"/>
    <x v="102"/>
    <x v="102"/>
    <s v="PP vacuum container rec. 600ml"/>
    <n v="80592"/>
    <n v="80592"/>
    <s v="Closed"/>
    <s v="27-01-2025"/>
    <x v="24"/>
  </r>
  <r>
    <s v="PO-009286"/>
    <x v="103"/>
    <x v="103"/>
    <s v="PP vacuum container rec. 1200ml"/>
    <n v="91448"/>
    <n v="91448"/>
    <s v="Closed"/>
    <s v="27-01-2025"/>
    <x v="24"/>
  </r>
  <r>
    <s v="PO-009286"/>
    <x v="104"/>
    <x v="104"/>
    <s v="PP vacuum container bowl 1000ml"/>
    <n v="61976"/>
    <n v="61976"/>
    <s v="Closed"/>
    <s v="27-01-2025"/>
    <x v="24"/>
  </r>
  <r>
    <s v="PO-009286"/>
    <x v="105"/>
    <x v="105"/>
    <s v="PP vacuum container bowl 2000ml"/>
    <n v="57760"/>
    <n v="101760"/>
    <s v="Closed"/>
    <s v="27-01-2025"/>
    <x v="24"/>
  </r>
  <r>
    <s v="PO-009287"/>
    <x v="106"/>
    <x v="106"/>
    <s v="Lunch box"/>
    <n v="35200"/>
    <n v="35200"/>
    <s v="Closed"/>
    <s v="27-01-2025"/>
    <x v="25"/>
  </r>
  <r>
    <s v="PO-009287"/>
    <x v="107"/>
    <x v="107"/>
    <s v="Yogurt beker"/>
    <n v="44800"/>
    <n v="44800"/>
    <s v="Closed"/>
    <s v="27-01-2025"/>
    <x v="25"/>
  </r>
  <r>
    <s v="PO-009288"/>
    <x v="100"/>
    <x v="100"/>
    <s v="Vacuum pump Manual"/>
    <n v="22720"/>
    <n v="22720"/>
    <s v="Closed"/>
    <s v="27-01-2025"/>
    <x v="24"/>
  </r>
  <r>
    <s v="PO-009288"/>
    <x v="101"/>
    <x v="101"/>
    <s v="PP vacuum container sq. 1500ml"/>
    <n v="76864"/>
    <n v="76864"/>
    <s v="Closed"/>
    <s v="27-01-2025"/>
    <x v="24"/>
  </r>
  <r>
    <s v="PO-009288"/>
    <x v="102"/>
    <x v="102"/>
    <s v="PP vacuum container rec. 600ml"/>
    <n v="80592"/>
    <n v="80592"/>
    <s v="Closed"/>
    <s v="27-01-2025"/>
    <x v="24"/>
  </r>
  <r>
    <s v="PO-009288"/>
    <x v="103"/>
    <x v="103"/>
    <s v="PP vacuum container rec. 1200ml"/>
    <n v="91448"/>
    <n v="91448"/>
    <s v="Closed"/>
    <s v="27-01-2025"/>
    <x v="24"/>
  </r>
  <r>
    <s v="PO-009288"/>
    <x v="104"/>
    <x v="104"/>
    <s v="PP vacuum container bowl 1000ml"/>
    <n v="61976"/>
    <n v="61976"/>
    <s v="Closed"/>
    <s v="27-01-2025"/>
    <x v="24"/>
  </r>
  <r>
    <s v="PO-009288"/>
    <x v="105"/>
    <x v="105"/>
    <s v="PP vacuum container bowl 2000ml"/>
    <n v="57760"/>
    <n v="57760"/>
    <s v="Closed"/>
    <s v="27-01-2025"/>
    <x v="24"/>
  </r>
  <r>
    <s v="PO-009289"/>
    <x v="106"/>
    <x v="106"/>
    <s v="Lunch box"/>
    <n v="20560"/>
    <n v="20560"/>
    <s v="Closed"/>
    <s v="27-01-2025"/>
    <x v="25"/>
  </r>
  <r>
    <s v="PO-009289"/>
    <x v="107"/>
    <x v="107"/>
    <s v="Yogurt beker"/>
    <n v="27808"/>
    <n v="27808"/>
    <s v="Closed"/>
    <s v="27-01-2025"/>
    <x v="25"/>
  </r>
  <r>
    <s v="PO-009297"/>
    <x v="108"/>
    <x v="108"/>
    <s v="Red wine glass 2pcs 490ml"/>
    <n v="600"/>
    <n v="600"/>
    <s v="Closed"/>
    <s v="30-01-2025"/>
    <x v="26"/>
  </r>
  <r>
    <s v="PO-009297"/>
    <x v="109"/>
    <x v="109"/>
    <s v="White wine glass 2pcs 380ml"/>
    <n v="600"/>
    <n v="600"/>
    <s v="Closed"/>
    <s v="30-01-2025"/>
    <x v="26"/>
  </r>
  <r>
    <s v="PO-009298"/>
    <x v="110"/>
    <x v="110"/>
    <s v="Whisky glass 2pcs 345ml"/>
    <n v="1844"/>
    <n v="1844"/>
    <s v="Closed"/>
    <s v="30-01-2025"/>
    <x v="26"/>
  </r>
  <r>
    <s v="PO-009301"/>
    <x v="78"/>
    <x v="78"/>
    <s v="Wok with lid 30cm"/>
    <n v="101120"/>
    <n v="101120"/>
    <s v="Closed"/>
    <s v="01-02-2025"/>
    <x v="17"/>
  </r>
  <r>
    <s v="PO-009302"/>
    <x v="62"/>
    <x v="62"/>
    <s v="Glass storage rec. S 470ml"/>
    <n v="15354"/>
    <n v="15354"/>
    <s v="Closed"/>
    <s v="01-02-2025"/>
    <x v="14"/>
  </r>
  <r>
    <s v="PO-009302"/>
    <x v="68"/>
    <x v="68"/>
    <s v="Glass storage round M 820ml"/>
    <n v="16392"/>
    <n v="16392"/>
    <s v="Closed"/>
    <s v="01-02-2025"/>
    <x v="14"/>
  </r>
  <r>
    <s v="PO-009302"/>
    <x v="63"/>
    <x v="63"/>
    <s v="Glass storage rec. M 800ml"/>
    <n v="20556"/>
    <n v="20556"/>
    <s v="Closed"/>
    <s v="01-02-2025"/>
    <x v="14"/>
  </r>
  <r>
    <s v="PO-009302"/>
    <x v="64"/>
    <x v="64"/>
    <s v="Glass storage rec. L 1380ml"/>
    <n v="19948"/>
    <n v="19948"/>
    <s v="Closed"/>
    <s v="01-02-2025"/>
    <x v="14"/>
  </r>
  <r>
    <s v="PO-009302"/>
    <x v="65"/>
    <x v="65"/>
    <s v="Glass storage round L 1500ml"/>
    <n v="18344"/>
    <n v="18344"/>
    <s v="Closed"/>
    <s v="01-02-2025"/>
    <x v="14"/>
  </r>
  <r>
    <s v="PO-009302"/>
    <x v="66"/>
    <x v="66"/>
    <s v="Glass storage rec. XL 2620ml"/>
    <n v="22576"/>
    <n v="22576"/>
    <s v="Closed"/>
    <s v="01-02-2025"/>
    <x v="14"/>
  </r>
  <r>
    <s v="PO-009303"/>
    <x v="66"/>
    <x v="66"/>
    <s v="Glass storage rec. XL 2620ml"/>
    <n v="17600"/>
    <n v="17600"/>
    <s v="Closed"/>
    <s v="01-02-2025"/>
    <x v="14"/>
  </r>
  <r>
    <s v="PO-009304"/>
    <x v="63"/>
    <x v="63"/>
    <s v="Glass storage rec. M 800ml"/>
    <n v="9000"/>
    <n v="9000"/>
    <s v="Closed"/>
    <s v="01-02-2025"/>
    <x v="14"/>
  </r>
  <r>
    <s v="PO-009304"/>
    <x v="64"/>
    <x v="64"/>
    <s v="Glass storage rec. L 1380ml"/>
    <n v="12000"/>
    <n v="12000"/>
    <s v="Closed"/>
    <s v="01-02-2025"/>
    <x v="14"/>
  </r>
  <r>
    <s v="PO-009304"/>
    <x v="67"/>
    <x v="67"/>
    <s v="Vacuum pump - Electrical"/>
    <n v="10000"/>
    <n v="10000"/>
    <s v="Closed"/>
    <s v="01-02-2025"/>
    <x v="14"/>
  </r>
  <r>
    <s v="PO-009305"/>
    <x v="111"/>
    <x v="111"/>
    <s v="Long drink glass 2pcs"/>
    <n v="69048"/>
    <n v="69048"/>
    <s v="Closed"/>
    <s v="02-02-2025"/>
    <x v="26"/>
  </r>
  <r>
    <s v="PO-009305"/>
    <x v="108"/>
    <x v="108"/>
    <s v="Red wine glass 2pcs 490ml"/>
    <n v="78408"/>
    <n v="78408"/>
    <s v="Closed"/>
    <s v="02-02-2025"/>
    <x v="26"/>
  </r>
  <r>
    <s v="PO-009305"/>
    <x v="109"/>
    <x v="109"/>
    <s v="White wine glass 2pcs 380ml"/>
    <n v="29336"/>
    <n v="29336"/>
    <s v="Closed"/>
    <s v="02-02-2025"/>
    <x v="26"/>
  </r>
  <r>
    <s v="PO-009398"/>
    <x v="112"/>
    <x v="112"/>
    <s v="Glass storage rnd 1100ml"/>
    <n v="84960"/>
    <n v="85824"/>
    <s v="Closed"/>
    <s v="05-02-2025"/>
    <x v="27"/>
  </r>
  <r>
    <s v="PO-009483"/>
    <x v="113"/>
    <x v="113"/>
    <s v="Glass storage rnd 600ml"/>
    <n v="85176"/>
    <n v="85176"/>
    <s v="Closed"/>
    <s v="06-02-2025"/>
    <x v="27"/>
  </r>
  <r>
    <s v="PO-009575"/>
    <x v="114"/>
    <x v="114"/>
    <s v="Ovendish large 38 x 26 x 7,5cm"/>
    <n v="21384"/>
    <n v="21384"/>
    <s v="Closed"/>
    <s v="10-02-2025"/>
    <x v="1"/>
  </r>
  <r>
    <s v="PO-009586"/>
    <x v="108"/>
    <x v="108"/>
    <s v="Red wine glass 2pcs 490ml"/>
    <n v="129544"/>
    <n v="129544"/>
    <s v="Closed"/>
    <s v="11-02-2025"/>
    <x v="26"/>
  </r>
  <r>
    <s v="PO-009586"/>
    <x v="109"/>
    <x v="109"/>
    <s v="White wine glass 2pcs 380ml"/>
    <n v="125496"/>
    <n v="125496"/>
    <s v="Closed"/>
    <s v="11-02-2025"/>
    <x v="26"/>
  </r>
  <r>
    <s v="PO-009586"/>
    <x v="111"/>
    <x v="111"/>
    <s v="Long drink glass 2pcs"/>
    <n v="69040"/>
    <n v="69040"/>
    <s v="Closed"/>
    <s v="11-02-2025"/>
    <x v="26"/>
  </r>
  <r>
    <s v="PO-009587"/>
    <x v="115"/>
    <x v="110"/>
    <s v="Whisky glass 2pcs 345ml"/>
    <n v="130854"/>
    <n v="130854"/>
    <s v="Closed"/>
    <s v="11-02-2025"/>
    <x v="26"/>
  </r>
  <r>
    <s v="PO-009587"/>
    <x v="116"/>
    <x v="115"/>
    <s v="Long drink glass 2pcs 445ml"/>
    <n v="127218"/>
    <n v="127218"/>
    <s v="Closed"/>
    <s v="11-02-2025"/>
    <x v="26"/>
  </r>
  <r>
    <s v="PO-009587"/>
    <x v="108"/>
    <x v="108"/>
    <s v="Red wine glass 2pcs 490ml"/>
    <n v="83784"/>
    <n v="83784"/>
    <s v="Closed"/>
    <s v="11-02-2025"/>
    <x v="26"/>
  </r>
  <r>
    <s v="PO-009587"/>
    <x v="109"/>
    <x v="109"/>
    <s v="White wine glass 2pcs 380ml"/>
    <n v="80920"/>
    <n v="80920"/>
    <s v="Closed"/>
    <s v="11-02-2025"/>
    <x v="26"/>
  </r>
  <r>
    <s v="PO-009587"/>
    <x v="111"/>
    <x v="111"/>
    <s v="Long drink glass 2pcs"/>
    <n v="150904"/>
    <n v="150904"/>
    <s v="Closed"/>
    <s v="11-02-2025"/>
    <x v="26"/>
  </r>
  <r>
    <s v="PO-009593"/>
    <x v="117"/>
    <x v="116"/>
    <s v="Tritan Bottle - 500ML"/>
    <n v="10002"/>
    <n v="10002"/>
    <s v="Closed"/>
    <s v="12-02-2025"/>
    <x v="28"/>
  </r>
  <r>
    <s v="PO-009594"/>
    <x v="117"/>
    <x v="116"/>
    <s v="Tritan Bottle - 500ML"/>
    <n v="354"/>
    <n v="354"/>
    <s v="Closed"/>
    <s v="12-02-2025"/>
    <x v="28"/>
  </r>
  <r>
    <s v="PO-009595"/>
    <x v="118"/>
    <x v="117"/>
    <s v="Eco Bag with Pouch-Anpanman"/>
    <n v="8004"/>
    <n v="8004"/>
    <s v="Closed"/>
    <s v="12-02-2025"/>
    <x v="29"/>
  </r>
  <r>
    <s v="PO-009595"/>
    <x v="119"/>
    <x v="118"/>
    <s v="Eco Bag with Pouch-Baikinman"/>
    <n v="5004"/>
    <n v="5004"/>
    <s v="Closed"/>
    <s v="12-02-2025"/>
    <x v="29"/>
  </r>
  <r>
    <s v="PO-009596"/>
    <x v="118"/>
    <x v="117"/>
    <s v="Eco Bag with Pouch-Anpanman"/>
    <n v="354"/>
    <n v="354"/>
    <s v="Closed"/>
    <s v="12-02-2025"/>
    <x v="29"/>
  </r>
  <r>
    <s v="PO-009596"/>
    <x v="119"/>
    <x v="118"/>
    <s v="Eco Bag with Pouch-Baikinman"/>
    <n v="354"/>
    <n v="354"/>
    <s v="Closed"/>
    <s v="12-02-2025"/>
    <x v="29"/>
  </r>
  <r>
    <s v="PO-009606"/>
    <x v="120"/>
    <x v="119"/>
    <s v="Paring knife"/>
    <n v="17808"/>
    <n v="17808"/>
    <s v="Closed"/>
    <s v="12-02-2025"/>
    <x v="16"/>
  </r>
  <r>
    <s v="PO-009606"/>
    <x v="121"/>
    <x v="120"/>
    <s v="Utility knife"/>
    <n v="16956"/>
    <n v="16956"/>
    <s v="Closed"/>
    <s v="12-02-2025"/>
    <x v="16"/>
  </r>
  <r>
    <s v="PO-009606"/>
    <x v="122"/>
    <x v="121"/>
    <s v="Bread knife"/>
    <n v="7716"/>
    <n v="7716"/>
    <s v="Closed"/>
    <s v="12-02-2025"/>
    <x v="16"/>
  </r>
  <r>
    <s v="PO-009606"/>
    <x v="123"/>
    <x v="122"/>
    <s v="Slicing knife"/>
    <n v="22596"/>
    <n v="22596"/>
    <s v="Closed"/>
    <s v="12-02-2025"/>
    <x v="16"/>
  </r>
  <r>
    <s v="PO-009606"/>
    <x v="124"/>
    <x v="98"/>
    <s v="Santoku knife"/>
    <n v="16776"/>
    <n v="16776"/>
    <s v="Closed"/>
    <s v="12-02-2025"/>
    <x v="16"/>
  </r>
  <r>
    <s v="PO-009606"/>
    <x v="125"/>
    <x v="99"/>
    <s v="Chef's knife"/>
    <n v="21648"/>
    <n v="21648"/>
    <s v="Closed"/>
    <s v="12-02-2025"/>
    <x v="16"/>
  </r>
  <r>
    <s v="PO-009607"/>
    <x v="120"/>
    <x v="119"/>
    <s v="Paring knife"/>
    <n v="30996"/>
    <n v="30996"/>
    <s v="Closed"/>
    <s v="12-02-2025"/>
    <x v="16"/>
  </r>
  <r>
    <s v="PO-009607"/>
    <x v="121"/>
    <x v="120"/>
    <s v="Utility knife"/>
    <n v="29256"/>
    <n v="29256"/>
    <s v="Closed"/>
    <s v="12-02-2025"/>
    <x v="16"/>
  </r>
  <r>
    <s v="PO-009607"/>
    <x v="122"/>
    <x v="121"/>
    <s v="Bread knife"/>
    <n v="23700"/>
    <n v="23700"/>
    <s v="Closed"/>
    <s v="12-02-2025"/>
    <x v="16"/>
  </r>
  <r>
    <s v="PO-009607"/>
    <x v="123"/>
    <x v="122"/>
    <s v="Slicing knife"/>
    <n v="42672"/>
    <n v="42672"/>
    <s v="Closed"/>
    <s v="12-02-2025"/>
    <x v="16"/>
  </r>
  <r>
    <s v="PO-009607"/>
    <x v="124"/>
    <x v="98"/>
    <s v="Santoku knife"/>
    <n v="39588"/>
    <n v="39588"/>
    <s v="Closed"/>
    <s v="12-02-2025"/>
    <x v="16"/>
  </r>
  <r>
    <s v="PO-009607"/>
    <x v="125"/>
    <x v="99"/>
    <s v="Chef's knife"/>
    <n v="37380"/>
    <n v="37380"/>
    <s v="Closed"/>
    <s v="12-02-2025"/>
    <x v="16"/>
  </r>
  <r>
    <s v="PO-009608"/>
    <x v="120"/>
    <x v="119"/>
    <s v="Paring knife"/>
    <n v="31944"/>
    <n v="31944"/>
    <s v="Closed"/>
    <s v="12-02-2025"/>
    <x v="16"/>
  </r>
  <r>
    <s v="PO-009608"/>
    <x v="121"/>
    <x v="120"/>
    <s v="Utility knife"/>
    <n v="30408"/>
    <n v="30408"/>
    <s v="Closed"/>
    <s v="12-02-2025"/>
    <x v="16"/>
  </r>
  <r>
    <s v="PO-009608"/>
    <x v="122"/>
    <x v="121"/>
    <s v="Bread knife"/>
    <n v="13824"/>
    <n v="13824"/>
    <s v="Closed"/>
    <s v="12-02-2025"/>
    <x v="16"/>
  </r>
  <r>
    <s v="PO-009608"/>
    <x v="123"/>
    <x v="122"/>
    <s v="Slicing knife"/>
    <n v="40512"/>
    <n v="40512"/>
    <s v="Closed"/>
    <s v="12-02-2025"/>
    <x v="16"/>
  </r>
  <r>
    <s v="PO-009608"/>
    <x v="124"/>
    <x v="98"/>
    <s v="Santoku knife"/>
    <n v="30096"/>
    <n v="30096"/>
    <s v="Closed"/>
    <s v="12-02-2025"/>
    <x v="16"/>
  </r>
  <r>
    <s v="PO-009608"/>
    <x v="125"/>
    <x v="99"/>
    <s v="Chef's knife"/>
    <n v="38832"/>
    <n v="38832"/>
    <s v="Closed"/>
    <s v="12-02-2025"/>
    <x v="16"/>
  </r>
  <r>
    <s v="PO-009608"/>
    <x v="73"/>
    <x v="73"/>
    <s v="Sharpener"/>
    <n v="4848"/>
    <n v="4848"/>
    <s v="Closed"/>
    <s v="12-02-2025"/>
    <x v="16"/>
  </r>
  <r>
    <s v="PO-009608"/>
    <x v="74"/>
    <x v="74"/>
    <s v="Kitchen Shears FSC"/>
    <n v="19800"/>
    <n v="19800"/>
    <s v="Closed"/>
    <s v="12-02-2025"/>
    <x v="16"/>
  </r>
  <r>
    <s v="PO-009609"/>
    <x v="120"/>
    <x v="119"/>
    <s v="Paring knife"/>
    <n v="21960"/>
    <n v="21960"/>
    <s v="Closed"/>
    <s v="12-02-2025"/>
    <x v="16"/>
  </r>
  <r>
    <s v="PO-009609"/>
    <x v="121"/>
    <x v="120"/>
    <s v="Utility knife"/>
    <n v="21192"/>
    <n v="21192"/>
    <s v="Closed"/>
    <s v="12-02-2025"/>
    <x v="16"/>
  </r>
  <r>
    <s v="PO-009609"/>
    <x v="122"/>
    <x v="121"/>
    <s v="Bread knife"/>
    <n v="17976"/>
    <n v="17976"/>
    <s v="Closed"/>
    <s v="12-02-2025"/>
    <x v="16"/>
  </r>
  <r>
    <s v="PO-009609"/>
    <x v="123"/>
    <x v="122"/>
    <s v="Slicing knife"/>
    <n v="33096"/>
    <n v="33096"/>
    <s v="Closed"/>
    <s v="12-02-2025"/>
    <x v="16"/>
  </r>
  <r>
    <s v="PO-009609"/>
    <x v="124"/>
    <x v="98"/>
    <s v="Santoku knife"/>
    <n v="32256"/>
    <n v="32256"/>
    <s v="Closed"/>
    <s v="12-02-2025"/>
    <x v="16"/>
  </r>
  <r>
    <s v="PO-009609"/>
    <x v="125"/>
    <x v="99"/>
    <s v="Chef's knife"/>
    <n v="29712"/>
    <n v="29712"/>
    <s v="Closed"/>
    <s v="12-02-2025"/>
    <x v="16"/>
  </r>
  <r>
    <s v="PO-009609"/>
    <x v="73"/>
    <x v="73"/>
    <s v="Sharpener"/>
    <n v="22404"/>
    <n v="22404"/>
    <s v="Closed"/>
    <s v="12-02-2025"/>
    <x v="16"/>
  </r>
  <r>
    <s v="PO-009609"/>
    <x v="74"/>
    <x v="74"/>
    <s v="Kitchen Shears FSC"/>
    <n v="30642"/>
    <n v="30642"/>
    <s v="Closed"/>
    <s v="12-02-2025"/>
    <x v="16"/>
  </r>
  <r>
    <s v="PO-009610"/>
    <x v="120"/>
    <x v="119"/>
    <s v="Paring knife"/>
    <n v="24240"/>
    <n v="24240"/>
    <s v="Closed"/>
    <s v="12-02-2025"/>
    <x v="16"/>
  </r>
  <r>
    <s v="PO-009610"/>
    <x v="121"/>
    <x v="120"/>
    <s v="Utility knife"/>
    <n v="22464"/>
    <n v="22464"/>
    <s v="Closed"/>
    <s v="12-02-2025"/>
    <x v="16"/>
  </r>
  <r>
    <s v="PO-009610"/>
    <x v="122"/>
    <x v="121"/>
    <s v="Bread knife"/>
    <n v="17448"/>
    <n v="17448"/>
    <s v="Closed"/>
    <s v="12-02-2025"/>
    <x v="16"/>
  </r>
  <r>
    <s v="PO-009610"/>
    <x v="123"/>
    <x v="122"/>
    <s v="Slicing knife"/>
    <n v="30720"/>
    <n v="30720"/>
    <s v="Closed"/>
    <s v="12-02-2025"/>
    <x v="16"/>
  </r>
  <r>
    <s v="PO-009610"/>
    <x v="124"/>
    <x v="98"/>
    <s v="Santoku knife"/>
    <n v="27048"/>
    <n v="27048"/>
    <s v="Closed"/>
    <s v="12-02-2025"/>
    <x v="16"/>
  </r>
  <r>
    <s v="PO-009610"/>
    <x v="125"/>
    <x v="99"/>
    <s v="Chef's knife"/>
    <n v="26232"/>
    <n v="26232"/>
    <s v="Closed"/>
    <s v="12-02-2025"/>
    <x v="16"/>
  </r>
  <r>
    <s v="PO-009610"/>
    <x v="73"/>
    <x v="73"/>
    <s v="Sharpener"/>
    <n v="27936"/>
    <n v="27936"/>
    <s v="Closed"/>
    <s v="12-02-2025"/>
    <x v="16"/>
  </r>
  <r>
    <s v="PO-009610"/>
    <x v="74"/>
    <x v="74"/>
    <s v="Kitchen Shears FSC"/>
    <n v="37392"/>
    <n v="37392"/>
    <s v="Closed"/>
    <s v="12-02-2025"/>
    <x v="16"/>
  </r>
  <r>
    <s v="PO-009611"/>
    <x v="120"/>
    <x v="119"/>
    <s v="Paring knife"/>
    <n v="7848"/>
    <n v="7848"/>
    <s v="Closed"/>
    <s v="12-02-2025"/>
    <x v="16"/>
  </r>
  <r>
    <s v="PO-009611"/>
    <x v="121"/>
    <x v="120"/>
    <s v="Utility knife"/>
    <n v="7272"/>
    <n v="7272"/>
    <s v="Closed"/>
    <s v="12-02-2025"/>
    <x v="16"/>
  </r>
  <r>
    <s v="PO-009611"/>
    <x v="122"/>
    <x v="121"/>
    <s v="Bread knife"/>
    <n v="5652"/>
    <n v="5652"/>
    <s v="Closed"/>
    <s v="12-02-2025"/>
    <x v="16"/>
  </r>
  <r>
    <s v="PO-009611"/>
    <x v="123"/>
    <x v="122"/>
    <s v="Slicing knife"/>
    <n v="9936"/>
    <n v="9936"/>
    <s v="Closed"/>
    <s v="12-02-2025"/>
    <x v="16"/>
  </r>
  <r>
    <s v="PO-009611"/>
    <x v="124"/>
    <x v="98"/>
    <s v="Santoku knife"/>
    <n v="8748"/>
    <n v="8748"/>
    <s v="Closed"/>
    <s v="12-02-2025"/>
    <x v="16"/>
  </r>
  <r>
    <s v="PO-009611"/>
    <x v="125"/>
    <x v="99"/>
    <s v="Chef's knife"/>
    <n v="8484"/>
    <n v="8484"/>
    <s v="Closed"/>
    <s v="12-02-2025"/>
    <x v="16"/>
  </r>
  <r>
    <s v="PO-009611"/>
    <x v="73"/>
    <x v="73"/>
    <s v="Sharpener"/>
    <n v="26796"/>
    <n v="26796"/>
    <s v="Closed"/>
    <s v="12-02-2025"/>
    <x v="16"/>
  </r>
  <r>
    <s v="PO-009611"/>
    <x v="74"/>
    <x v="74"/>
    <s v="Kitchen Shears FSC"/>
    <n v="35700"/>
    <n v="35700"/>
    <s v="Closed"/>
    <s v="12-02-2025"/>
    <x v="16"/>
  </r>
  <r>
    <s v="PO-009613"/>
    <x v="120"/>
    <x v="119"/>
    <s v="Paring knife"/>
    <n v="17808"/>
    <n v="17808"/>
    <s v="Closed"/>
    <s v="12-02-2025"/>
    <x v="30"/>
  </r>
  <r>
    <s v="PO-009613"/>
    <x v="121"/>
    <x v="120"/>
    <s v="Utility knife"/>
    <n v="16956"/>
    <n v="16956"/>
    <s v="Closed"/>
    <s v="12-02-2025"/>
    <x v="30"/>
  </r>
  <r>
    <s v="PO-009613"/>
    <x v="122"/>
    <x v="121"/>
    <s v="Bread knife"/>
    <n v="7716"/>
    <n v="7716"/>
    <s v="Closed"/>
    <s v="12-02-2025"/>
    <x v="30"/>
  </r>
  <r>
    <s v="PO-009613"/>
    <x v="123"/>
    <x v="122"/>
    <s v="Slicing knife"/>
    <n v="22596"/>
    <n v="22596"/>
    <s v="Closed"/>
    <s v="12-02-2025"/>
    <x v="30"/>
  </r>
  <r>
    <s v="PO-009613"/>
    <x v="124"/>
    <x v="98"/>
    <s v="Santoku knife"/>
    <n v="16776"/>
    <n v="16776"/>
    <s v="Closed"/>
    <s v="12-02-2025"/>
    <x v="30"/>
  </r>
  <r>
    <s v="PO-009613"/>
    <x v="125"/>
    <x v="99"/>
    <s v="Chef's knife"/>
    <n v="21648"/>
    <n v="21648"/>
    <s v="Closed"/>
    <s v="12-02-2025"/>
    <x v="30"/>
  </r>
  <r>
    <s v="PO-009614"/>
    <x v="120"/>
    <x v="119"/>
    <s v="Paring knife"/>
    <n v="14184"/>
    <n v="14184"/>
    <s v="Closed"/>
    <s v="12-02-2025"/>
    <x v="30"/>
  </r>
  <r>
    <s v="PO-009614"/>
    <x v="121"/>
    <x v="120"/>
    <s v="Utility knife"/>
    <n v="13692"/>
    <n v="13692"/>
    <s v="Closed"/>
    <s v="12-02-2025"/>
    <x v="30"/>
  </r>
  <r>
    <s v="PO-009614"/>
    <x v="122"/>
    <x v="121"/>
    <s v="Bread knife"/>
    <n v="11616"/>
    <n v="11616"/>
    <s v="Closed"/>
    <s v="12-02-2025"/>
    <x v="30"/>
  </r>
  <r>
    <s v="PO-009614"/>
    <x v="123"/>
    <x v="122"/>
    <s v="Slicing knife"/>
    <n v="21384"/>
    <n v="21384"/>
    <s v="Closed"/>
    <s v="12-02-2025"/>
    <x v="30"/>
  </r>
  <r>
    <s v="PO-009614"/>
    <x v="124"/>
    <x v="98"/>
    <s v="Santoku knife"/>
    <n v="20844"/>
    <n v="20844"/>
    <s v="Closed"/>
    <s v="12-02-2025"/>
    <x v="30"/>
  </r>
  <r>
    <s v="PO-009614"/>
    <x v="125"/>
    <x v="99"/>
    <s v="Chef's knife"/>
    <n v="19200"/>
    <n v="19200"/>
    <s v="Closed"/>
    <s v="12-02-2025"/>
    <x v="30"/>
  </r>
  <r>
    <s v="PO-009615"/>
    <x v="120"/>
    <x v="119"/>
    <s v="Paring knife"/>
    <n v="16812"/>
    <n v="16812"/>
    <s v="Closed"/>
    <s v="12-02-2025"/>
    <x v="30"/>
  </r>
  <r>
    <s v="PO-009615"/>
    <x v="121"/>
    <x v="120"/>
    <s v="Utility knife"/>
    <n v="15564"/>
    <n v="15564"/>
    <s v="Closed"/>
    <s v="12-02-2025"/>
    <x v="30"/>
  </r>
  <r>
    <s v="PO-009615"/>
    <x v="122"/>
    <x v="121"/>
    <s v="Bread knife"/>
    <n v="12084"/>
    <n v="12084"/>
    <s v="Closed"/>
    <s v="12-02-2025"/>
    <x v="30"/>
  </r>
  <r>
    <s v="PO-009615"/>
    <x v="123"/>
    <x v="122"/>
    <s v="Slicing knife"/>
    <n v="21288"/>
    <n v="21288"/>
    <s v="Closed"/>
    <s v="12-02-2025"/>
    <x v="30"/>
  </r>
  <r>
    <s v="PO-009615"/>
    <x v="124"/>
    <x v="98"/>
    <s v="Santoku knife"/>
    <n v="18744"/>
    <n v="18744"/>
    <s v="Closed"/>
    <s v="12-02-2025"/>
    <x v="30"/>
  </r>
  <r>
    <s v="PO-009615"/>
    <x v="125"/>
    <x v="99"/>
    <s v="Chef's knife"/>
    <n v="18180"/>
    <n v="18180"/>
    <s v="Closed"/>
    <s v="12-02-2025"/>
    <x v="30"/>
  </r>
  <r>
    <s v="PO-009616"/>
    <x v="120"/>
    <x v="119"/>
    <s v="Paring knife"/>
    <n v="17088"/>
    <n v="17088"/>
    <s v="Closed"/>
    <s v="12-02-2025"/>
    <x v="30"/>
  </r>
  <r>
    <s v="PO-009616"/>
    <x v="121"/>
    <x v="120"/>
    <s v="Utility knife"/>
    <n v="15648"/>
    <n v="15648"/>
    <s v="Closed"/>
    <s v="12-02-2025"/>
    <x v="30"/>
  </r>
  <r>
    <s v="PO-009616"/>
    <x v="122"/>
    <x v="121"/>
    <s v="Bread knife"/>
    <n v="12876"/>
    <n v="12876"/>
    <s v="Closed"/>
    <s v="12-02-2025"/>
    <x v="30"/>
  </r>
  <r>
    <s v="PO-009616"/>
    <x v="123"/>
    <x v="122"/>
    <s v="Slicing knife"/>
    <n v="21048"/>
    <n v="21048"/>
    <s v="Closed"/>
    <s v="12-02-2025"/>
    <x v="30"/>
  </r>
  <r>
    <s v="PO-009616"/>
    <x v="124"/>
    <x v="98"/>
    <s v="Santoku knife"/>
    <n v="18744"/>
    <n v="18744"/>
    <s v="Closed"/>
    <s v="12-02-2025"/>
    <x v="30"/>
  </r>
  <r>
    <s v="PO-009616"/>
    <x v="125"/>
    <x v="99"/>
    <s v="Chef's knife"/>
    <n v="17424"/>
    <n v="17424"/>
    <s v="Closed"/>
    <s v="12-02-2025"/>
    <x v="30"/>
  </r>
  <r>
    <s v="PO-009619"/>
    <x v="126"/>
    <x v="123"/>
    <s v="Thermal Food Flask"/>
    <n v="350"/>
    <n v="350"/>
    <s v="Closed"/>
    <s v="13-02-2025"/>
    <x v="31"/>
  </r>
  <r>
    <s v="PO-009621"/>
    <x v="127"/>
    <x v="124"/>
    <s v="Cereal bowl set - 2 pcs"/>
    <n v="27000"/>
    <n v="27000"/>
    <s v="Closed"/>
    <s v="13-02-2025"/>
    <x v="32"/>
  </r>
  <r>
    <s v="PO-009621"/>
    <x v="128"/>
    <x v="125"/>
    <s v="Serving platter - 34cm"/>
    <n v="20000"/>
    <n v="20000"/>
    <s v="Closed"/>
    <s v="13-02-2025"/>
    <x v="32"/>
  </r>
  <r>
    <s v="PO-009622"/>
    <x v="126"/>
    <x v="123"/>
    <s v="Thermal Food Flask"/>
    <n v="12000"/>
    <n v="12000"/>
    <s v="Closed"/>
    <s v="13-02-2025"/>
    <x v="31"/>
  </r>
  <r>
    <s v="PO-009623"/>
    <x v="129"/>
    <x v="106"/>
    <s v="Lunch Box"/>
    <n v="350"/>
    <n v="350"/>
    <s v="Closed"/>
    <s v="13-02-2025"/>
    <x v="25"/>
  </r>
  <r>
    <s v="PO-009624"/>
    <x v="129"/>
    <x v="106"/>
    <s v="Lunch Box"/>
    <n v="5004"/>
    <n v="5004"/>
    <s v="Closed"/>
    <s v="13-02-2025"/>
    <x v="25"/>
  </r>
  <r>
    <s v="PO-009627"/>
    <x v="130"/>
    <x v="126"/>
    <s v="Foldable Mat"/>
    <n v="1800"/>
    <n v="1800"/>
    <s v="Closed"/>
    <s v="14-02-2025"/>
    <x v="2"/>
  </r>
  <r>
    <s v="PO-009628"/>
    <x v="130"/>
    <x v="126"/>
    <s v="Foldable Mat"/>
    <n v="350"/>
    <n v="350"/>
    <s v="Closed"/>
    <s v="14-02-2025"/>
    <x v="2"/>
  </r>
  <r>
    <s v="PO-009629"/>
    <x v="130"/>
    <x v="126"/>
    <s v="Foldable Mat"/>
    <n v="8208"/>
    <n v="8208"/>
    <s v="Closed"/>
    <s v="14-02-2025"/>
    <x v="2"/>
  </r>
  <r>
    <s v="PO-009656"/>
    <x v="127"/>
    <x v="124"/>
    <s v="Cereal bowl set - 2 pcs"/>
    <n v="21000"/>
    <n v="21000"/>
    <s v="Closed"/>
    <s v="17-02-2025"/>
    <x v="32"/>
  </r>
  <r>
    <s v="PO-009656"/>
    <x v="128"/>
    <x v="125"/>
    <s v="Serving platter - 34cm"/>
    <n v="10000"/>
    <n v="10000"/>
    <s v="Closed"/>
    <s v="17-02-2025"/>
    <x v="32"/>
  </r>
  <r>
    <s v="PO-009659"/>
    <x v="131"/>
    <x v="127"/>
    <s v="Manual Vacuum Pump"/>
    <n v="19092"/>
    <n v="19092"/>
    <s v="Closed"/>
    <s v="18-02-2025"/>
    <x v="14"/>
  </r>
  <r>
    <s v="PO-009659"/>
    <x v="132"/>
    <x v="128"/>
    <s v="Glass Measuring Jug with Lid 500ml"/>
    <n v="27004"/>
    <n v="27004"/>
    <s v="Closed"/>
    <s v="18-02-2025"/>
    <x v="14"/>
  </r>
  <r>
    <s v="PO-009659"/>
    <x v="133"/>
    <x v="129"/>
    <s v="Mini Glass Container 2 pack with Lid"/>
    <n v="36648"/>
    <n v="36648"/>
    <s v="Closed"/>
    <s v="18-02-2025"/>
    <x v="14"/>
  </r>
  <r>
    <s v="PO-009659"/>
    <x v="134"/>
    <x v="130"/>
    <s v="Medium Glass Container with Lid"/>
    <n v="21216"/>
    <n v="21216"/>
    <s v="Closed"/>
    <s v="18-02-2025"/>
    <x v="14"/>
  </r>
  <r>
    <s v="PO-009659"/>
    <x v="135"/>
    <x v="131"/>
    <s v="Glass Cookware Set with Lid 2 Pack"/>
    <n v="2732"/>
    <n v="2732"/>
    <s v="Closed"/>
    <s v="18-02-2025"/>
    <x v="14"/>
  </r>
  <r>
    <s v="PO-009662"/>
    <x v="136"/>
    <x v="132"/>
    <s v="Disney Christmas Bell_0+ OPEN VERSION"/>
    <n v="2998944"/>
    <n v="2998944"/>
    <s v="Closed"/>
    <s v="18-02-2025"/>
    <x v="33"/>
  </r>
  <r>
    <s v="PO-009755"/>
    <x v="136"/>
    <x v="132"/>
    <s v="Disney Christmas Bell_0+ OPEN VERSION"/>
    <n v="2001024"/>
    <n v="2001024"/>
    <s v="Closed"/>
    <s v="19-02-2025"/>
    <x v="33"/>
  </r>
  <r>
    <s v="PO-009760"/>
    <x v="136"/>
    <x v="132"/>
    <s v="Disney Christmas Bell_0+ OPEN VERSION"/>
    <n v="2001024"/>
    <n v="2001024"/>
    <s v="Closed"/>
    <s v="19-02-2025"/>
    <x v="33"/>
  </r>
  <r>
    <s v="PO-009761"/>
    <x v="76"/>
    <x v="76"/>
    <s v="Casserole with lid 20cm"/>
    <n v="20"/>
    <n v="20"/>
    <s v="Closed"/>
    <s v="19-02-2025"/>
    <x v="17"/>
  </r>
  <r>
    <s v="PO-009761"/>
    <x v="77"/>
    <x v="77"/>
    <s v="Casserole with lid 24cm"/>
    <n v="20"/>
    <n v="20"/>
    <s v="Closed"/>
    <s v="19-02-2025"/>
    <x v="17"/>
  </r>
  <r>
    <s v="PO-009761"/>
    <x v="78"/>
    <x v="78"/>
    <s v="Wok with lid 30cm"/>
    <n v="20"/>
    <n v="20"/>
    <s v="Closed"/>
    <s v="19-02-2025"/>
    <x v="17"/>
  </r>
  <r>
    <s v="PO-009761"/>
    <x v="81"/>
    <x v="81"/>
    <s v="frypan 28cm"/>
    <n v="20"/>
    <n v="20"/>
    <s v="Closed"/>
    <s v="19-02-2025"/>
    <x v="17"/>
  </r>
  <r>
    <s v="PO-009767"/>
    <x v="113"/>
    <x v="113"/>
    <s v="Glass storage rnd 600ml"/>
    <n v="49896"/>
    <n v="49896"/>
    <s v="Closed"/>
    <s v="20-02-2025"/>
    <x v="27"/>
  </r>
  <r>
    <s v="PO-009767"/>
    <x v="112"/>
    <x v="112"/>
    <s v="Glass storage rnd 1100ml"/>
    <n v="28512"/>
    <n v="27648"/>
    <s v="Closed"/>
    <s v="20-02-2025"/>
    <x v="27"/>
  </r>
  <r>
    <s v="PO-009768"/>
    <x v="137"/>
    <x v="133"/>
    <s v="Glass storage rec. 1500ml"/>
    <n v="43200"/>
    <n v="43200"/>
    <s v="Closed"/>
    <s v="20-02-2025"/>
    <x v="27"/>
  </r>
  <r>
    <s v="PO-009769"/>
    <x v="138"/>
    <x v="134"/>
    <s v="Glasses - Iron Man"/>
    <n v="500000"/>
    <n v="500004"/>
    <s v="Closed"/>
    <s v="20-02-2025"/>
    <x v="34"/>
  </r>
  <r>
    <s v="PO-009769"/>
    <x v="139"/>
    <x v="135"/>
    <s v="Glasses - Groot"/>
    <n v="500000"/>
    <n v="500064"/>
    <s v="Closed"/>
    <s v="20-02-2025"/>
    <x v="34"/>
  </r>
  <r>
    <s v="PO-009769"/>
    <x v="140"/>
    <x v="136"/>
    <s v="Marvel glasses - Black Widow"/>
    <n v="500000"/>
    <n v="501624"/>
    <s v="Closed"/>
    <s v="20-02-2025"/>
    <x v="34"/>
  </r>
  <r>
    <s v="PO-009769"/>
    <x v="141"/>
    <x v="137"/>
    <s v="Glasses - Black Panther"/>
    <n v="500000"/>
    <n v="500004"/>
    <s v="Closed"/>
    <s v="20-02-2025"/>
    <x v="34"/>
  </r>
  <r>
    <s v="PO-009864"/>
    <x v="114"/>
    <x v="114"/>
    <s v="Ovendish large 38 x 26 x 7,5cm"/>
    <n v="7128"/>
    <n v="7128"/>
    <s v="Closed"/>
    <s v="21-02-2025"/>
    <x v="1"/>
  </r>
  <r>
    <s v="PO-009865"/>
    <x v="142"/>
    <x v="138"/>
    <s v="SNOW HARE PLUSH"/>
    <n v="118206"/>
    <n v="118206"/>
    <s v="Closed"/>
    <s v="21-02-2025"/>
    <x v="35"/>
  </r>
  <r>
    <s v="PO-009879"/>
    <x v="142"/>
    <x v="138"/>
    <s v="SNOW HARE PLUSH"/>
    <n v="111798"/>
    <n v="111798"/>
    <s v="Closed"/>
    <s v="24-02-2025"/>
    <x v="35"/>
  </r>
  <r>
    <s v="PO-009880"/>
    <x v="98"/>
    <x v="98"/>
    <s v="Santoku knife"/>
    <n v="12984"/>
    <n v="12984"/>
    <s v="Closed"/>
    <s v="25-02-2025"/>
    <x v="16"/>
  </r>
  <r>
    <s v="PO-009880"/>
    <x v="99"/>
    <x v="99"/>
    <s v="Chef's knife"/>
    <n v="11640"/>
    <n v="11640"/>
    <s v="Closed"/>
    <s v="25-02-2025"/>
    <x v="16"/>
  </r>
  <r>
    <s v="PO-009881"/>
    <x v="98"/>
    <x v="98"/>
    <s v="Santoku knife"/>
    <n v="28134"/>
    <n v="18000"/>
    <s v="Closed"/>
    <s v="25-02-2025"/>
    <x v="16"/>
  </r>
  <r>
    <s v="PO-009881"/>
    <x v="99"/>
    <x v="99"/>
    <s v="Chef's knife"/>
    <n v="24462"/>
    <n v="3000"/>
    <s v="Closed"/>
    <s v="25-02-2025"/>
    <x v="16"/>
  </r>
  <r>
    <s v="PO-009894"/>
    <x v="143"/>
    <x v="139"/>
    <s v="Serving Tray"/>
    <n v="5040"/>
    <n v="5040"/>
    <s v="Closed"/>
    <s v="25-02-2025"/>
    <x v="36"/>
  </r>
  <r>
    <s v="PO-009895"/>
    <x v="143"/>
    <x v="139"/>
    <s v="Serving Tray"/>
    <n v="5040"/>
    <n v="5040"/>
    <s v="Closed"/>
    <s v="25-02-2025"/>
    <x v="36"/>
  </r>
  <r>
    <s v="PO-009896"/>
    <x v="143"/>
    <x v="139"/>
    <s v="Serving Tray"/>
    <n v="4095"/>
    <n v="4095"/>
    <s v="Closed"/>
    <s v="25-02-2025"/>
    <x v="36"/>
  </r>
  <r>
    <s v="PO-009897"/>
    <x v="62"/>
    <x v="62"/>
    <s v="Glass storage rec. S 470ml"/>
    <n v="10572"/>
    <n v="10572"/>
    <s v="Closed"/>
    <s v="25-02-2025"/>
    <x v="14"/>
  </r>
  <r>
    <s v="PO-009897"/>
    <x v="68"/>
    <x v="68"/>
    <s v="Glass storage round M 820ml"/>
    <n v="10512"/>
    <n v="10512"/>
    <s v="Closed"/>
    <s v="25-02-2025"/>
    <x v="14"/>
  </r>
  <r>
    <s v="PO-009897"/>
    <x v="63"/>
    <x v="63"/>
    <s v="Glass storage rec. M 800ml"/>
    <n v="13064"/>
    <n v="13064"/>
    <s v="Closed"/>
    <s v="25-02-2025"/>
    <x v="14"/>
  </r>
  <r>
    <s v="PO-009897"/>
    <x v="64"/>
    <x v="64"/>
    <s v="Glass storage rec. L 1380ml"/>
    <n v="15100"/>
    <n v="15100"/>
    <s v="Closed"/>
    <s v="25-02-2025"/>
    <x v="14"/>
  </r>
  <r>
    <s v="PO-009897"/>
    <x v="65"/>
    <x v="65"/>
    <s v="Glass storage round L 1500ml"/>
    <n v="11100"/>
    <n v="11100"/>
    <s v="Closed"/>
    <s v="25-02-2025"/>
    <x v="14"/>
  </r>
  <r>
    <s v="PO-009897"/>
    <x v="66"/>
    <x v="66"/>
    <s v="Glass storage rec. XL 2620ml"/>
    <n v="23850"/>
    <n v="23850"/>
    <s v="Closed"/>
    <s v="25-02-2025"/>
    <x v="14"/>
  </r>
  <r>
    <s v="PO-009897"/>
    <x v="67"/>
    <x v="67"/>
    <s v="Vacuum pump - Electrical"/>
    <n v="10376"/>
    <n v="10376"/>
    <s v="Closed"/>
    <s v="25-02-2025"/>
    <x v="14"/>
  </r>
  <r>
    <s v="PO-008660"/>
    <x v="67"/>
    <x v="67"/>
    <s v="Vacuum pump - Electrical"/>
    <n v="15008"/>
    <n v="15008"/>
    <s v="Closed"/>
    <s v="11-01-2025"/>
    <x v="14"/>
  </r>
  <r>
    <s v="PO-009993"/>
    <x v="128"/>
    <x v="125"/>
    <s v="Serving platter - 34cm"/>
    <n v="10000"/>
    <n v="10000"/>
    <s v="Closed"/>
    <s v="27-02-2025"/>
    <x v="32"/>
  </r>
  <r>
    <s v="PO-009994"/>
    <x v="144"/>
    <x v="140"/>
    <s v="Minecraft white square mug Bee"/>
    <n v="25080"/>
    <n v="25080"/>
    <s v="Closed"/>
    <s v="28-02-2025"/>
    <x v="37"/>
  </r>
  <r>
    <s v="PO-009994"/>
    <x v="145"/>
    <x v="141"/>
    <s v="Minecraft white square mug Enderman"/>
    <n v="25080"/>
    <n v="25080"/>
    <s v="Closed"/>
    <s v="28-02-2025"/>
    <x v="37"/>
  </r>
  <r>
    <s v="PO-009995"/>
    <x v="146"/>
    <x v="142"/>
    <s v="Minecraft Smartphone Pouch"/>
    <n v="10800"/>
    <n v="10800"/>
    <s v="Closed"/>
    <s v="28-02-2025"/>
    <x v="29"/>
  </r>
  <r>
    <s v="PO-009996"/>
    <x v="147"/>
    <x v="143"/>
    <s v="Minecraft Tagz in flowpack"/>
    <n v="7287552"/>
    <n v="7287552"/>
    <s v="Closed"/>
    <s v="28-02-2025"/>
    <x v="2"/>
  </r>
  <r>
    <s v="PO-009997"/>
    <x v="148"/>
    <x v="144"/>
    <s v="Minecraft water bottle Bee"/>
    <n v="25024"/>
    <n v="25024"/>
    <s v="Closed"/>
    <s v="28-02-2025"/>
    <x v="38"/>
  </r>
  <r>
    <s v="PO-009997"/>
    <x v="149"/>
    <x v="145"/>
    <s v="Minecraft water bottle Enderman"/>
    <n v="25024"/>
    <n v="25024"/>
    <s v="Closed"/>
    <s v="28-02-2025"/>
    <x v="38"/>
  </r>
  <r>
    <s v="PO-009998"/>
    <x v="150"/>
    <x v="146"/>
    <s v="Minecraft umbrella"/>
    <n v="12960"/>
    <n v="12960"/>
    <s v="Closed"/>
    <s v="28-02-2025"/>
    <x v="21"/>
  </r>
  <r>
    <s v="PO-009999"/>
    <x v="151"/>
    <x v="89"/>
    <s v="Minecraft Duffle Trolley"/>
    <n v="4032"/>
    <n v="4032"/>
    <s v="Closed"/>
    <s v="28-02-2025"/>
    <x v="21"/>
  </r>
  <r>
    <s v="PO-010000"/>
    <x v="152"/>
    <x v="147"/>
    <s v="Minecraft album for 24 Tagz"/>
    <n v="20016"/>
    <n v="20016"/>
    <s v="Closed"/>
    <s v="28-02-2025"/>
    <x v="39"/>
  </r>
  <r>
    <s v="PO-010001"/>
    <x v="153"/>
    <x v="148"/>
    <s v="PP 2.0 album softcover 50 page"/>
    <n v="83160"/>
    <n v="83160"/>
    <s v="Closed"/>
    <s v="28-02-2025"/>
    <x v="40"/>
  </r>
  <r>
    <s v="PO-010002"/>
    <x v="153"/>
    <x v="148"/>
    <s v="PP 2.0 album softcover 50 page"/>
    <n v="83160"/>
    <n v="83160"/>
    <s v="Closed"/>
    <s v="28-02-2025"/>
    <x v="40"/>
  </r>
  <r>
    <s v="PO-010003"/>
    <x v="153"/>
    <x v="148"/>
    <s v="PP 2.0 album softcover 50 page"/>
    <n v="83160"/>
    <n v="83160"/>
    <s v="Closed"/>
    <s v="28-02-2025"/>
    <x v="40"/>
  </r>
  <r>
    <s v="PO-010006"/>
    <x v="153"/>
    <x v="148"/>
    <s v="PP 2.0 album softcover 50 page"/>
    <n v="83160"/>
    <n v="83160"/>
    <s v="Closed"/>
    <s v="28-02-2025"/>
    <x v="40"/>
  </r>
  <r>
    <s v="PO-010004"/>
    <x v="153"/>
    <x v="148"/>
    <s v="PP 2.0 album softcover 50 page"/>
    <n v="83160"/>
    <n v="83160"/>
    <s v="Closed"/>
    <s v="28-02-2025"/>
    <x v="40"/>
  </r>
  <r>
    <s v="PO-010005"/>
    <x v="153"/>
    <x v="148"/>
    <s v="PP 2.0 album softcover 50 page"/>
    <n v="83160"/>
    <n v="83160"/>
    <s v="Closed"/>
    <s v="28-02-2025"/>
    <x v="40"/>
  </r>
  <r>
    <s v="PO-010008"/>
    <x v="153"/>
    <x v="148"/>
    <s v="PP 2.0 album softcover 50 page"/>
    <n v="1380"/>
    <n v="1440"/>
    <s v="Closed"/>
    <s v="28-02-2025"/>
    <x v="40"/>
  </r>
  <r>
    <s v="PO-010007"/>
    <x v="154"/>
    <x v="149"/>
    <s v="Palla medica con impugnatura"/>
    <n v="186"/>
    <n v="186"/>
    <s v="Closed"/>
    <s v="28-02-2025"/>
    <x v="41"/>
  </r>
  <r>
    <s v="PO-010007"/>
    <x v="155"/>
    <x v="150"/>
    <s v="Palla medica morbida"/>
    <n v="272"/>
    <n v="272"/>
    <s v="Closed"/>
    <s v="28-02-2025"/>
    <x v="41"/>
  </r>
  <r>
    <s v="PO-010009"/>
    <x v="156"/>
    <x v="151"/>
    <s v="PP 2.0 Nes pack 3 stickers"/>
    <n v="6209280"/>
    <n v="6209280"/>
    <s v="Closed"/>
    <s v="28-02-2025"/>
    <x v="42"/>
  </r>
  <r>
    <s v="PO-010010"/>
    <x v="156"/>
    <x v="151"/>
    <s v="PP 2.0 Nes pack 3 stickers"/>
    <n v="6209280"/>
    <n v="6209280"/>
    <s v="Closed"/>
    <s v="28-02-2025"/>
    <x v="42"/>
  </r>
  <r>
    <s v="PO-010011"/>
    <x v="156"/>
    <x v="151"/>
    <s v="PP 2.0 Nes pack 3 stickers"/>
    <n v="6209280"/>
    <n v="6209280"/>
    <s v="Closed"/>
    <s v="28-02-2025"/>
    <x v="42"/>
  </r>
  <r>
    <s v="PO-010017"/>
    <x v="156"/>
    <x v="151"/>
    <s v="PP 2.0 Nes pack 3 stickers"/>
    <n v="6209280"/>
    <n v="6209280"/>
    <s v="Closed"/>
    <s v="28-02-2025"/>
    <x v="42"/>
  </r>
  <r>
    <s v="PO-010012"/>
    <x v="156"/>
    <x v="151"/>
    <s v="PP 2.0 Nes pack 3 stickers"/>
    <n v="6209280"/>
    <n v="6209280"/>
    <s v="Closed"/>
    <s v="28-02-2025"/>
    <x v="42"/>
  </r>
  <r>
    <s v="PO-010013"/>
    <x v="156"/>
    <x v="151"/>
    <s v="PP 2.0 Nes pack 3 stickers"/>
    <n v="6209280"/>
    <n v="6209280"/>
    <s v="Closed"/>
    <s v="28-02-2025"/>
    <x v="42"/>
  </r>
  <r>
    <s v="PO-010014"/>
    <x v="156"/>
    <x v="151"/>
    <s v="PP 2.0 Nes pack 3 stickers"/>
    <n v="6209280"/>
    <n v="6209280"/>
    <s v="Closed"/>
    <s v="28-02-2025"/>
    <x v="42"/>
  </r>
  <r>
    <s v="PO-010015"/>
    <x v="156"/>
    <x v="151"/>
    <s v="PP 2.0 Nes pack 3 stickers"/>
    <n v="6209280"/>
    <n v="6209280"/>
    <s v="Closed"/>
    <s v="28-02-2025"/>
    <x v="42"/>
  </r>
  <r>
    <s v="PO-010016"/>
    <x v="156"/>
    <x v="151"/>
    <s v="PP 2.0 Nes pack 3 stickers"/>
    <n v="6209280"/>
    <n v="6209280"/>
    <s v="Closed"/>
    <s v="28-02-2025"/>
    <x v="42"/>
  </r>
  <r>
    <s v="PO-010018"/>
    <x v="156"/>
    <x v="151"/>
    <s v="PP 2.0 Nes pack 3 stickers"/>
    <n v="1159680"/>
    <n v="1159680"/>
    <s v="Closed"/>
    <s v="28-02-2025"/>
    <x v="42"/>
  </r>
  <r>
    <s v="PO-010091"/>
    <x v="93"/>
    <x v="93"/>
    <s v="PKP 18 E Glue Gun"/>
    <n v="8640"/>
    <n v="8640"/>
    <s v="Closed"/>
    <s v="03-03-2025"/>
    <x v="22"/>
  </r>
  <r>
    <s v="PO-010091"/>
    <x v="94"/>
    <x v="94"/>
    <s v="13-in-1 Multitool"/>
    <n v="5400"/>
    <n v="5400"/>
    <s v="Closed"/>
    <s v="03-03-2025"/>
    <x v="22"/>
  </r>
  <r>
    <s v="PO-010091"/>
    <x v="96"/>
    <x v="96"/>
    <s v="IXO7"/>
    <n v="1596"/>
    <n v="1596"/>
    <s v="Closed"/>
    <s v="03-03-2025"/>
    <x v="22"/>
  </r>
  <r>
    <s v="PO-010091"/>
    <x v="157"/>
    <x v="94"/>
    <s v="13-in-1 Multitool"/>
    <n v="1038"/>
    <n v="1038"/>
    <s v="Closed"/>
    <s v="03-03-2025"/>
    <x v="22"/>
  </r>
  <r>
    <s v="PO-010091"/>
    <x v="158"/>
    <x v="152"/>
    <s v="Truvo Digital Detector"/>
    <n v="1536"/>
    <n v="1536"/>
    <s v="Closed"/>
    <s v="03-03-2025"/>
    <x v="22"/>
  </r>
  <r>
    <s v="PO-010091"/>
    <x v="159"/>
    <x v="153"/>
    <s v="Snap-off knife"/>
    <n v="6624"/>
    <n v="6624"/>
    <s v="Closed"/>
    <s v="03-03-2025"/>
    <x v="22"/>
  </r>
  <r>
    <s v="PO-010091"/>
    <x v="160"/>
    <x v="154"/>
    <s v="13-in1 Repair Tool"/>
    <n v="1260"/>
    <n v="1260"/>
    <s v="Closed"/>
    <s v="03-03-2025"/>
    <x v="22"/>
  </r>
  <r>
    <s v="PO-010091"/>
    <x v="161"/>
    <x v="155"/>
    <s v="Multi-purpose scissors"/>
    <n v="3150"/>
    <n v="3150"/>
    <s v="Closed"/>
    <s v="03-03-2025"/>
    <x v="22"/>
  </r>
  <r>
    <s v="PO-010092"/>
    <x v="162"/>
    <x v="156"/>
    <s v="NIGHTLIGHT PROJECTOR"/>
    <n v="129872"/>
    <n v="129872"/>
    <s v="Closed"/>
    <s v="03-03-2025"/>
    <x v="43"/>
  </r>
  <r>
    <s v="PO-010092"/>
    <x v="163"/>
    <x v="157"/>
    <s v="MONEY BANK"/>
    <n v="108312"/>
    <n v="108312"/>
    <s v="Closed"/>
    <s v="03-03-2025"/>
    <x v="43"/>
  </r>
  <r>
    <s v="PO-010093"/>
    <x v="164"/>
    <x v="158"/>
    <s v="MUGS SET OF 2PCS"/>
    <n v="121248"/>
    <n v="121248"/>
    <s v="Closed"/>
    <s v="03-03-2025"/>
    <x v="44"/>
  </r>
  <r>
    <s v="PO-010093"/>
    <x v="165"/>
    <x v="159"/>
    <s v="BOWLS SET OF 2PCS"/>
    <n v="128304"/>
    <n v="128304"/>
    <s v="Closed"/>
    <s v="03-03-2025"/>
    <x v="44"/>
  </r>
  <r>
    <s v="PO-010094"/>
    <x v="166"/>
    <x v="160"/>
    <s v="BLANKET"/>
    <n v="217878"/>
    <n v="217878"/>
    <s v="Closed"/>
    <s v="03-03-2025"/>
    <x v="2"/>
  </r>
  <r>
    <s v="PO-010096"/>
    <x v="162"/>
    <x v="156"/>
    <s v="NIGHTLIGHT PROJECTOR"/>
    <n v="120128"/>
    <n v="120128"/>
    <s v="Closed"/>
    <s v="03-03-2025"/>
    <x v="43"/>
  </r>
  <r>
    <s v="PO-010096"/>
    <x v="163"/>
    <x v="157"/>
    <s v="MONEY BANK"/>
    <n v="61688"/>
    <n v="61688"/>
    <s v="Closed"/>
    <s v="03-03-2025"/>
    <x v="43"/>
  </r>
  <r>
    <s v="PO-010097"/>
    <x v="136"/>
    <x v="132"/>
    <s v="Disney Christmas Bell_0+ OPEN VERSION"/>
    <n v="64896"/>
    <n v="64896"/>
    <s v="Closed"/>
    <s v="03-03-2025"/>
    <x v="33"/>
  </r>
  <r>
    <s v="PO-010098"/>
    <x v="97"/>
    <x v="97"/>
    <s v="Star Wars 3pc Cards Nes Pack"/>
    <n v="4025600"/>
    <n v="4025600"/>
    <s v="Closed"/>
    <s v="03-03-2025"/>
    <x v="23"/>
  </r>
  <r>
    <s v="PO-010099"/>
    <x v="164"/>
    <x v="158"/>
    <s v="MUGS SET OF 2PCS"/>
    <n v="88752"/>
    <n v="88752"/>
    <s v="Closed"/>
    <s v="03-03-2025"/>
    <x v="44"/>
  </r>
  <r>
    <s v="PO-010099"/>
    <x v="165"/>
    <x v="159"/>
    <s v="BOWLS SET OF 2PCS"/>
    <n v="121698"/>
    <n v="121698"/>
    <s v="Closed"/>
    <s v="03-03-2025"/>
    <x v="44"/>
  </r>
  <r>
    <s v="PO-010100"/>
    <x v="166"/>
    <x v="160"/>
    <s v="BLANKET"/>
    <n v="202128"/>
    <n v="202128"/>
    <s v="Closed"/>
    <s v="03-03-2025"/>
    <x v="2"/>
  </r>
  <r>
    <s v="PO-010101"/>
    <x v="167"/>
    <x v="161"/>
    <s v="Minecraft Plush Enderman 16cm"/>
    <n v="30272"/>
    <n v="30272"/>
    <s v="Closed"/>
    <s v="03-03-2025"/>
    <x v="2"/>
  </r>
  <r>
    <s v="PO-010101"/>
    <x v="168"/>
    <x v="6"/>
    <s v="Minecraft Plush Pig 16cm"/>
    <n v="30336"/>
    <n v="30336"/>
    <s v="Closed"/>
    <s v="03-03-2025"/>
    <x v="2"/>
  </r>
  <r>
    <s v="PO-010101"/>
    <x v="169"/>
    <x v="7"/>
    <s v="Minecraft Plush Bee 16cm"/>
    <n v="30080"/>
    <n v="30080"/>
    <s v="Closed"/>
    <s v="03-03-2025"/>
    <x v="2"/>
  </r>
  <r>
    <s v="PO-010101"/>
    <x v="170"/>
    <x v="8"/>
    <s v="Minecraft Plush Fox 16cm"/>
    <n v="30336"/>
    <n v="30336"/>
    <s v="Closed"/>
    <s v="03-03-2025"/>
    <x v="2"/>
  </r>
  <r>
    <s v="PO-010101"/>
    <x v="171"/>
    <x v="162"/>
    <s v="Minecraft beach towel"/>
    <n v="5152"/>
    <n v="5152"/>
    <s v="Closed"/>
    <s v="03-03-2025"/>
    <x v="2"/>
  </r>
  <r>
    <s v="PO-010102"/>
    <x v="172"/>
    <x v="163"/>
    <s v="Harry Potter Bottle Gryffindor 500ml"/>
    <n v="84440"/>
    <n v="84440"/>
    <s v="Closed"/>
    <s v="03-03-2025"/>
    <x v="28"/>
  </r>
  <r>
    <s v="PO-010102"/>
    <x v="173"/>
    <x v="164"/>
    <s v="Harry Potter Bottle Hufflepuff 500ml"/>
    <n v="35536"/>
    <n v="35536"/>
    <s v="Closed"/>
    <s v="03-03-2025"/>
    <x v="28"/>
  </r>
  <r>
    <s v="PO-010102"/>
    <x v="174"/>
    <x v="165"/>
    <s v="Harry Potter Bottle Ravenclaw 500ml"/>
    <n v="42224"/>
    <n v="42224"/>
    <s v="Closed"/>
    <s v="03-03-2025"/>
    <x v="28"/>
  </r>
  <r>
    <s v="PO-010102"/>
    <x v="175"/>
    <x v="166"/>
    <s v="Harry Potter Bottle Slytherin 500ml"/>
    <n v="46816"/>
    <n v="46816"/>
    <s v="Closed"/>
    <s v="03-03-2025"/>
    <x v="28"/>
  </r>
  <r>
    <s v="PO-010103"/>
    <x v="176"/>
    <x v="167"/>
    <s v="Harry Potter String Bag with Poster"/>
    <n v="85000"/>
    <n v="85000"/>
    <s v="Closed"/>
    <s v="03-03-2025"/>
    <x v="21"/>
  </r>
  <r>
    <s v="PO-010104"/>
    <x v="177"/>
    <x v="168"/>
    <s v="HP printed patch in FSC flowpack"/>
    <n v="47500992"/>
    <n v="47500992"/>
    <s v="Closed"/>
    <s v="03-03-2025"/>
    <x v="2"/>
  </r>
  <r>
    <s v="PO-009910"/>
    <x v="178"/>
    <x v="169"/>
    <s v="Disney Fixeez E.Leclerc"/>
    <n v="6090624"/>
    <n v="6090624"/>
    <s v="Closed"/>
    <s v="26-02-2025"/>
    <x v="2"/>
  </r>
  <r>
    <s v="PO-010105"/>
    <x v="178"/>
    <x v="169"/>
    <s v="Disney Fixeez E.Leclerc"/>
    <n v="6090624"/>
    <n v="6090624"/>
    <s v="Closed"/>
    <s v="04-03-2025"/>
    <x v="2"/>
  </r>
  <r>
    <s v="PO-010162"/>
    <x v="179"/>
    <x v="75"/>
    <s v="Saucepan 16cm"/>
    <n v="3308"/>
    <n v="0"/>
    <s v="Closed"/>
    <s v="05-03-2025"/>
    <x v="45"/>
  </r>
  <r>
    <s v="PO-010162"/>
    <x v="180"/>
    <x v="170"/>
    <s v="Casserole 20cm with silicone straining lid"/>
    <n v="11800"/>
    <n v="0"/>
    <s v="Closed"/>
    <s v="05-03-2025"/>
    <x v="45"/>
  </r>
  <r>
    <s v="PO-010162"/>
    <x v="181"/>
    <x v="171"/>
    <s v="Casserole 24cm with silicone straining lid"/>
    <n v="4200"/>
    <n v="0"/>
    <s v="Closed"/>
    <s v="05-03-2025"/>
    <x v="45"/>
  </r>
  <r>
    <s v="PO-010162"/>
    <x v="182"/>
    <x v="172"/>
    <s v="Open wok 28cm"/>
    <n v="10200"/>
    <n v="0"/>
    <s v="Closed"/>
    <s v="05-03-2025"/>
    <x v="45"/>
  </r>
  <r>
    <s v="PO-010162"/>
    <x v="183"/>
    <x v="79"/>
    <s v="Frypan 20cm"/>
    <n v="5400"/>
    <n v="0"/>
    <s v="Closed"/>
    <s v="05-03-2025"/>
    <x v="45"/>
  </r>
  <r>
    <s v="PO-010162"/>
    <x v="184"/>
    <x v="80"/>
    <s v="Frypan 24cm"/>
    <n v="7100"/>
    <n v="0"/>
    <s v="Closed"/>
    <s v="05-03-2025"/>
    <x v="45"/>
  </r>
  <r>
    <s v="PO-010163"/>
    <x v="128"/>
    <x v="125"/>
    <s v="Serving platter - 34cm"/>
    <n v="10000"/>
    <n v="9559"/>
    <s v="Closed"/>
    <s v="05-03-2025"/>
    <x v="32"/>
  </r>
  <r>
    <s v="PO-010163"/>
    <x v="127"/>
    <x v="124"/>
    <s v="Cereal bowl set - 2 pcs"/>
    <n v="21000"/>
    <n v="21000"/>
    <s v="Closed"/>
    <s v="05-03-2025"/>
    <x v="32"/>
  </r>
  <r>
    <s v="PO-010165"/>
    <x v="179"/>
    <x v="75"/>
    <s v="Saucepan 16cm"/>
    <n v="3308"/>
    <n v="3308"/>
    <s v="Closed"/>
    <s v="05-03-2025"/>
    <x v="45"/>
  </r>
  <r>
    <s v="PO-010165"/>
    <x v="180"/>
    <x v="170"/>
    <s v="Casserole 20cm with silicone straining lid"/>
    <n v="11800"/>
    <n v="11800"/>
    <s v="Closed"/>
    <s v="05-03-2025"/>
    <x v="45"/>
  </r>
  <r>
    <s v="PO-010165"/>
    <x v="181"/>
    <x v="171"/>
    <s v="Casserole 24cm with silicone straining lid"/>
    <n v="4200"/>
    <n v="4200"/>
    <s v="Closed"/>
    <s v="05-03-2025"/>
    <x v="45"/>
  </r>
  <r>
    <s v="PO-010165"/>
    <x v="182"/>
    <x v="172"/>
    <s v="Open wok 28cm"/>
    <n v="10200"/>
    <n v="10200"/>
    <s v="Closed"/>
    <s v="05-03-2025"/>
    <x v="45"/>
  </r>
  <r>
    <s v="PO-010165"/>
    <x v="183"/>
    <x v="79"/>
    <s v="Frypan 20cm"/>
    <n v="5400"/>
    <n v="5400"/>
    <s v="Closed"/>
    <s v="05-03-2025"/>
    <x v="45"/>
  </r>
  <r>
    <s v="PO-010165"/>
    <x v="184"/>
    <x v="80"/>
    <s v="Frypan 24cm"/>
    <n v="7100"/>
    <n v="7100"/>
    <s v="Closed"/>
    <s v="05-03-2025"/>
    <x v="45"/>
  </r>
  <r>
    <s v="PO-010166"/>
    <x v="179"/>
    <x v="75"/>
    <s v="Saucepan 16cm"/>
    <n v="2712"/>
    <n v="2712"/>
    <s v="Closed"/>
    <s v="05-03-2025"/>
    <x v="45"/>
  </r>
  <r>
    <s v="PO-010166"/>
    <x v="180"/>
    <x v="170"/>
    <s v="Casserole 20cm with silicone straining lid"/>
    <n v="8516"/>
    <n v="8516"/>
    <s v="Closed"/>
    <s v="05-03-2025"/>
    <x v="45"/>
  </r>
  <r>
    <s v="PO-010166"/>
    <x v="181"/>
    <x v="171"/>
    <s v="Casserole 24cm with silicone straining lid"/>
    <n v="3324"/>
    <n v="3324"/>
    <s v="Closed"/>
    <s v="05-03-2025"/>
    <x v="45"/>
  </r>
  <r>
    <s v="PO-010166"/>
    <x v="182"/>
    <x v="172"/>
    <s v="Open wok 28cm"/>
    <n v="8608"/>
    <n v="8608"/>
    <s v="Closed"/>
    <s v="05-03-2025"/>
    <x v="45"/>
  </r>
  <r>
    <s v="PO-010166"/>
    <x v="183"/>
    <x v="79"/>
    <s v="Frypan 20cm"/>
    <n v="4380"/>
    <n v="4380"/>
    <s v="Closed"/>
    <s v="05-03-2025"/>
    <x v="45"/>
  </r>
  <r>
    <s v="PO-010166"/>
    <x v="184"/>
    <x v="80"/>
    <s v="Frypan 24cm"/>
    <n v="5692"/>
    <n v="5692"/>
    <s v="Closed"/>
    <s v="05-03-2025"/>
    <x v="45"/>
  </r>
  <r>
    <s v="PO-010170"/>
    <x v="185"/>
    <x v="173"/>
    <s v="2,8L preparation bowl"/>
    <n v="9090"/>
    <n v="9090"/>
    <s v="Closed"/>
    <s v="05-03-2025"/>
    <x v="27"/>
  </r>
  <r>
    <s v="PO-010171"/>
    <x v="113"/>
    <x v="113"/>
    <s v="Glass storage rnd 600ml"/>
    <n v="52416"/>
    <n v="52416"/>
    <s v="Closed"/>
    <s v="05-03-2025"/>
    <x v="27"/>
  </r>
  <r>
    <s v="PO-010178"/>
    <x v="186"/>
    <x v="174"/>
    <s v="Set of Mixed Sports Style Bags"/>
    <n v="95418"/>
    <n v="95418"/>
    <s v="Closed"/>
    <s v="10-03-2025"/>
    <x v="46"/>
  </r>
  <r>
    <s v="PO-010178"/>
    <x v="186"/>
    <x v="174"/>
    <s v="Set of Mixed Sports Style Bags"/>
    <n v="40986"/>
    <n v="40986"/>
    <s v="Closed"/>
    <s v="10-03-2025"/>
    <x v="46"/>
  </r>
  <r>
    <s v="PO-010178"/>
    <x v="186"/>
    <x v="174"/>
    <s v="Set of Mixed Sports Style Bags"/>
    <n v="63612"/>
    <n v="63612"/>
    <s v="Closed"/>
    <s v="10-03-2025"/>
    <x v="46"/>
  </r>
  <r>
    <s v="PO-010183"/>
    <x v="187"/>
    <x v="175"/>
    <s v="Grater - Parmenide"/>
    <n v="9762"/>
    <n v="9762"/>
    <s v="Closed"/>
    <s v="10-03-2025"/>
    <x v="47"/>
  </r>
  <r>
    <s v="PO-010184"/>
    <x v="188"/>
    <x v="21"/>
    <s v="VALIGETTA PRONTO SOCCORSO"/>
    <n v="30"/>
    <n v="30"/>
    <s v="Closed"/>
    <s v="11-03-2025"/>
    <x v="6"/>
  </r>
  <r>
    <s v="PO-010185"/>
    <x v="94"/>
    <x v="94"/>
    <s v="13-in-1 Multitool"/>
    <n v="39960"/>
    <n v="39960"/>
    <s v="Closed"/>
    <s v="11-03-2025"/>
    <x v="22"/>
  </r>
  <r>
    <s v="PO-010185"/>
    <x v="159"/>
    <x v="153"/>
    <s v="Snap-off knife"/>
    <n v="3312"/>
    <n v="3312"/>
    <s v="Closed"/>
    <s v="11-03-2025"/>
    <x v="22"/>
  </r>
  <r>
    <s v="PO-010185"/>
    <x v="161"/>
    <x v="155"/>
    <s v="Multi-purpose scissors"/>
    <n v="2520"/>
    <n v="2520"/>
    <s v="Closed"/>
    <s v="11-03-2025"/>
    <x v="22"/>
  </r>
  <r>
    <s v="PO-010185"/>
    <x v="95"/>
    <x v="95"/>
    <s v="UniversalBrush"/>
    <n v="800"/>
    <n v="800"/>
    <s v="Closed"/>
    <s v="11-03-2025"/>
    <x v="22"/>
  </r>
  <r>
    <s v="PO-010185"/>
    <x v="158"/>
    <x v="152"/>
    <s v="Truvo Digital Detector"/>
    <n v="1152"/>
    <n v="1152"/>
    <s v="Closed"/>
    <s v="11-03-2025"/>
    <x v="22"/>
  </r>
  <r>
    <s v="PO-010299"/>
    <x v="185"/>
    <x v="173"/>
    <s v="2,8L preparation bowl"/>
    <n v="1"/>
    <n v="0"/>
    <s v="Closed"/>
    <s v="12-03-2025"/>
    <x v="27"/>
  </r>
  <r>
    <s v="PO-010299"/>
    <x v="189"/>
    <x v="176"/>
    <s v="Pie dish 28cm"/>
    <n v="1"/>
    <n v="0"/>
    <s v="Closed"/>
    <s v="12-03-2025"/>
    <x v="27"/>
  </r>
  <r>
    <s v="PO-010299"/>
    <x v="190"/>
    <x v="177"/>
    <s v="Cake dish 26cm"/>
    <n v="1"/>
    <n v="0"/>
    <s v="Closed"/>
    <s v="12-03-2025"/>
    <x v="27"/>
  </r>
  <r>
    <s v="PO-010299"/>
    <x v="191"/>
    <x v="178"/>
    <s v="Measure Jug 1L"/>
    <n v="1"/>
    <n v="0"/>
    <s v="Closed"/>
    <s v="12-03-2025"/>
    <x v="27"/>
  </r>
  <r>
    <s v="PO-010302"/>
    <x v="128"/>
    <x v="125"/>
    <s v="Serving platter - 34cm"/>
    <n v="10000"/>
    <n v="10000"/>
    <s v="Closed"/>
    <s v="12-03-2025"/>
    <x v="32"/>
  </r>
  <r>
    <s v="PO-010302"/>
    <x v="127"/>
    <x v="124"/>
    <s v="Cereal bowl set - 2 pcs"/>
    <n v="21000"/>
    <n v="21000"/>
    <s v="Closed"/>
    <s v="12-03-2025"/>
    <x v="32"/>
  </r>
  <r>
    <s v="PO-010303"/>
    <x v="192"/>
    <x v="179"/>
    <s v="Paring Knife 100mm"/>
    <n v="56000"/>
    <n v="56090"/>
    <s v="Closed"/>
    <s v="12-03-2025"/>
    <x v="19"/>
  </r>
  <r>
    <s v="PO-010303"/>
    <x v="193"/>
    <x v="180"/>
    <s v="Bread Knife 200mm"/>
    <n v="23000"/>
    <n v="23015"/>
    <s v="Closed"/>
    <s v="12-03-2025"/>
    <x v="19"/>
  </r>
  <r>
    <s v="PO-010304"/>
    <x v="194"/>
    <x v="181"/>
    <s v="Cutting board, bamboo, medium"/>
    <n v="1"/>
    <n v="0"/>
    <s v="Closed"/>
    <s v="12-03-2025"/>
    <x v="19"/>
  </r>
  <r>
    <s v="PO-010304"/>
    <x v="195"/>
    <x v="182"/>
    <s v="Multi-purpose kitchen shears"/>
    <n v="1"/>
    <n v="0"/>
    <s v="Closed"/>
    <s v="12-03-2025"/>
    <x v="19"/>
  </r>
  <r>
    <s v="PO-010307"/>
    <x v="196"/>
    <x v="183"/>
    <s v="2L Tritan Drinking Bottle"/>
    <n v="8004"/>
    <n v="8004"/>
    <s v="Closed"/>
    <s v="13-03-2025"/>
    <x v="48"/>
  </r>
  <r>
    <s v="PO-010311"/>
    <x v="197"/>
    <x v="184"/>
    <s v="Tier 2 Thermal Tumblers in a mixed carton with filler"/>
    <n v="20004"/>
    <n v="20004"/>
    <s v="Closed"/>
    <s v="14-03-2025"/>
    <x v="49"/>
  </r>
  <r>
    <s v="PO-010313"/>
    <x v="198"/>
    <x v="185"/>
    <s v="Marvel 2.0 Stickerpack for free EN"/>
    <n v="5702400"/>
    <n v="5702400"/>
    <s v="Closed"/>
    <s v="14-03-2025"/>
    <x v="50"/>
  </r>
  <r>
    <s v="PO-010314"/>
    <x v="198"/>
    <x v="185"/>
    <s v="Marvel 2.0 Stickerpack for free EN"/>
    <n v="5702400"/>
    <n v="5702400"/>
    <s v="Closed"/>
    <s v="14-03-2025"/>
    <x v="50"/>
  </r>
  <r>
    <s v="PO-010315"/>
    <x v="198"/>
    <x v="185"/>
    <s v="Marvel 2.0 Stickerpack for free EN"/>
    <n v="5702400"/>
    <n v="5702400"/>
    <s v="Closed"/>
    <s v="14-03-2025"/>
    <x v="50"/>
  </r>
  <r>
    <s v="PO-010317"/>
    <x v="199"/>
    <x v="186"/>
    <s v="Marvel 2.0 Stickerpack for FR"/>
    <n v="5702400"/>
    <n v="5702400"/>
    <s v="Closed"/>
    <s v="14-03-2025"/>
    <x v="50"/>
  </r>
  <r>
    <s v="PO-010326"/>
    <x v="200"/>
    <x v="187"/>
    <s v="Marvel 2.0 Album for stickers"/>
    <n v="115500"/>
    <n v="115500"/>
    <s v="Closed"/>
    <s v="14-03-2025"/>
    <x v="50"/>
  </r>
  <r>
    <s v="PO-010319"/>
    <x v="199"/>
    <x v="186"/>
    <s v="Marvel 2.0 Stickerpack for FR"/>
    <n v="1955520"/>
    <n v="1955520"/>
    <s v="Closed"/>
    <s v="14-03-2025"/>
    <x v="50"/>
  </r>
  <r>
    <s v="PO-010320"/>
    <x v="198"/>
    <x v="185"/>
    <s v="Marvel 2.0 Stickerpack for free EN"/>
    <n v="5702400"/>
    <n v="5702400"/>
    <s v="Closed"/>
    <s v="14-03-2025"/>
    <x v="50"/>
  </r>
  <r>
    <s v="PO-010321"/>
    <x v="198"/>
    <x v="185"/>
    <s v="Marvel 2.0 Stickerpack for free EN"/>
    <n v="5702400"/>
    <n v="5702400"/>
    <s v="Closed"/>
    <s v="14-03-2025"/>
    <x v="50"/>
  </r>
  <r>
    <s v="PO-010322"/>
    <x v="198"/>
    <x v="185"/>
    <s v="Marvel 2.0 Stickerpack for free EN"/>
    <n v="5702400"/>
    <n v="5702400"/>
    <s v="Closed"/>
    <s v="14-03-2025"/>
    <x v="50"/>
  </r>
  <r>
    <s v="PO-010323"/>
    <x v="198"/>
    <x v="185"/>
    <s v="Marvel 2.0 Stickerpack for free EN"/>
    <n v="4659840"/>
    <n v="4659840"/>
    <s v="Closed"/>
    <s v="14-03-2025"/>
    <x v="50"/>
  </r>
  <r>
    <s v="PO-010327"/>
    <x v="200"/>
    <x v="187"/>
    <s v="Marvel 2.0 Album for stickers"/>
    <n v="115500"/>
    <n v="115500"/>
    <s v="Closed"/>
    <s v="14-03-2025"/>
    <x v="50"/>
  </r>
  <r>
    <s v="PO-010328"/>
    <x v="200"/>
    <x v="187"/>
    <s v="Marvel 2.0 Album for stickers"/>
    <n v="115500"/>
    <n v="115500"/>
    <s v="Closed"/>
    <s v="14-03-2025"/>
    <x v="50"/>
  </r>
  <r>
    <s v="PO-010329"/>
    <x v="200"/>
    <x v="187"/>
    <s v="Marvel 2.0 Album for stickers"/>
    <n v="38900"/>
    <n v="38550"/>
    <s v="Approved"/>
    <s v="14-03-2025"/>
    <x v="50"/>
  </r>
  <r>
    <s v="PO-010331"/>
    <x v="201"/>
    <x v="188"/>
    <s v="Marvel 2.0 Album for sticker FR"/>
    <n v="80050"/>
    <n v="80500"/>
    <s v="Closed"/>
    <s v="14-03-2025"/>
    <x v="50"/>
  </r>
  <r>
    <s v="PO-010334"/>
    <x v="202"/>
    <x v="189"/>
    <s v="Disney Morrison UK xmas bells 2025"/>
    <n v="3002832"/>
    <n v="3003120"/>
    <s v="Closed"/>
    <s v="14-03-2025"/>
    <x v="33"/>
  </r>
  <r>
    <s v="PO-010338"/>
    <x v="203"/>
    <x v="190"/>
    <s v="Snoopy Urban Style Umbrella with J Handle"/>
    <n v="5008"/>
    <n v="5008"/>
    <s v="Closed"/>
    <s v="17-03-2025"/>
    <x v="51"/>
  </r>
  <r>
    <s v="PO-010340"/>
    <x v="136"/>
    <x v="132"/>
    <s v="Disney Christmas Bell_0+ OPEN VERSION"/>
    <n v="500256"/>
    <n v="500256"/>
    <s v="Closed"/>
    <s v="17-03-2025"/>
    <x v="33"/>
  </r>
  <r>
    <s v="PO-010341"/>
    <x v="120"/>
    <x v="119"/>
    <s v="Paring knife"/>
    <n v="45678"/>
    <n v="45678"/>
    <s v="Closed"/>
    <s v="17-03-2025"/>
    <x v="16"/>
  </r>
  <r>
    <s v="PO-010341"/>
    <x v="121"/>
    <x v="120"/>
    <s v="Utility knife"/>
    <n v="35442"/>
    <n v="35442"/>
    <s v="Closed"/>
    <s v="17-03-2025"/>
    <x v="16"/>
  </r>
  <r>
    <s v="PO-010341"/>
    <x v="122"/>
    <x v="121"/>
    <s v="Bread knife"/>
    <n v="19920"/>
    <n v="19920"/>
    <s v="Closed"/>
    <s v="17-03-2025"/>
    <x v="16"/>
  </r>
  <r>
    <s v="PO-010341"/>
    <x v="123"/>
    <x v="122"/>
    <s v="Slicing knife"/>
    <n v="33942"/>
    <n v="33942"/>
    <s v="Closed"/>
    <s v="17-03-2025"/>
    <x v="16"/>
  </r>
  <r>
    <s v="PO-010341"/>
    <x v="124"/>
    <x v="98"/>
    <s v="Santoku knife"/>
    <n v="86250"/>
    <n v="86250"/>
    <s v="Closed"/>
    <s v="17-03-2025"/>
    <x v="16"/>
  </r>
  <r>
    <s v="PO-010341"/>
    <x v="125"/>
    <x v="99"/>
    <s v="Chef's knife"/>
    <n v="67902"/>
    <n v="67902"/>
    <s v="Closed"/>
    <s v="17-03-2025"/>
    <x v="16"/>
  </r>
  <r>
    <s v="PO-010341"/>
    <x v="73"/>
    <x v="73"/>
    <s v="Sharpener"/>
    <n v="23484"/>
    <n v="23484"/>
    <s v="Closed"/>
    <s v="17-03-2025"/>
    <x v="16"/>
  </r>
  <r>
    <s v="PO-010341"/>
    <x v="74"/>
    <x v="74"/>
    <s v="Kitchen Shears FSC"/>
    <n v="31824"/>
    <n v="31824"/>
    <s v="Closed"/>
    <s v="17-03-2025"/>
    <x v="16"/>
  </r>
  <r>
    <s v="PO-010343"/>
    <x v="204"/>
    <x v="191"/>
    <s v="20cm Plush Monochrome Snoopy with cap &amp; sunglasses"/>
    <n v="5000"/>
    <n v="5000"/>
    <s v="Closed"/>
    <s v="18-03-2025"/>
    <x v="52"/>
  </r>
  <r>
    <s v="PO-010343"/>
    <x v="205"/>
    <x v="192"/>
    <s v="1M Monochrome Snoopy plush"/>
    <n v="500"/>
    <n v="500"/>
    <s v="Closed"/>
    <s v="18-03-2025"/>
    <x v="52"/>
  </r>
  <r>
    <s v="PO-010339"/>
    <x v="206"/>
    <x v="193"/>
    <s v="Snoopy Mini Clear PC Hardcase with 2 sides UV print"/>
    <n v="4008"/>
    <n v="4008"/>
    <s v="Closed"/>
    <s v="17-03-2025"/>
    <x v="53"/>
  </r>
  <r>
    <s v="PO-010347"/>
    <x v="207"/>
    <x v="194"/>
    <s v="HP Wizzis Busts collector with HP wand"/>
    <n v="9156"/>
    <n v="9156"/>
    <s v="Closed"/>
    <s v="18-03-2025"/>
    <x v="54"/>
  </r>
  <r>
    <s v="PO-010348"/>
    <x v="208"/>
    <x v="195"/>
    <s v="HP wand"/>
    <n v="9168"/>
    <n v="9168"/>
    <s v="Closed"/>
    <s v="18-03-2025"/>
    <x v="55"/>
  </r>
  <r>
    <s v="PO-010349"/>
    <x v="209"/>
    <x v="196"/>
    <s v="Disney Maxi Serbia xmas bells 2025"/>
    <n v="802512"/>
    <n v="802512"/>
    <s v="Closed"/>
    <s v="18-03-2025"/>
    <x v="33"/>
  </r>
  <r>
    <s v="PO-010350"/>
    <x v="210"/>
    <x v="197"/>
    <s v="Disney Xmas bell 2025 - Generic 1.0 CZ ES RO"/>
    <n v="699840"/>
    <n v="699840"/>
    <s v="Closed"/>
    <s v="18-03-2025"/>
    <x v="33"/>
  </r>
  <r>
    <s v="PO-010351"/>
    <x v="128"/>
    <x v="125"/>
    <s v="Serving platter - 34cm"/>
    <n v="10002"/>
    <n v="0"/>
    <s v="Closed"/>
    <s v="18-03-2025"/>
    <x v="32"/>
  </r>
  <r>
    <s v="PO-010351"/>
    <x v="127"/>
    <x v="124"/>
    <s v="Cereal bowl set - 2 pcs"/>
    <n v="21000"/>
    <n v="0"/>
    <s v="Closed"/>
    <s v="18-03-2025"/>
    <x v="32"/>
  </r>
  <r>
    <s v="PO-010353"/>
    <x v="211"/>
    <x v="198"/>
    <s v="Morrisons UK X Disney Kitchen Cards"/>
    <n v="4867200"/>
    <n v="4867200"/>
    <s v="Closed"/>
    <s v="18-03-2025"/>
    <x v="56"/>
  </r>
  <r>
    <s v="PO-010354"/>
    <x v="212"/>
    <x v="199"/>
    <s v="Morrisons UK X Disney Kitchen Album"/>
    <n v="92400"/>
    <n v="92400"/>
    <s v="Closed"/>
    <s v="18-03-2025"/>
    <x v="57"/>
  </r>
  <r>
    <s v="PO-010355"/>
    <x v="213"/>
    <x v="200"/>
    <s v="Pie dish 30cm"/>
    <n v="2872"/>
    <n v="2872"/>
    <s v="Closed"/>
    <s v="18-03-2025"/>
    <x v="20"/>
  </r>
  <r>
    <s v="PO-010356"/>
    <x v="214"/>
    <x v="201"/>
    <s v="Slicing knife 160mm"/>
    <n v="30625"/>
    <n v="30645"/>
    <s v="Closed"/>
    <s v="18-03-2025"/>
    <x v="19"/>
  </r>
  <r>
    <s v="PO-010356"/>
    <x v="215"/>
    <x v="202"/>
    <s v="Utility Knife 130mm"/>
    <n v="9500"/>
    <n v="9540"/>
    <s v="Closed"/>
    <s v="18-03-2025"/>
    <x v="19"/>
  </r>
  <r>
    <s v="PO-010356"/>
    <x v="192"/>
    <x v="179"/>
    <s v="Paring Knife 100mm"/>
    <n v="29000"/>
    <n v="29035"/>
    <s v="Closed"/>
    <s v="18-03-2025"/>
    <x v="19"/>
  </r>
  <r>
    <s v="PO-010356"/>
    <x v="193"/>
    <x v="180"/>
    <s v="Bread Knife 200mm"/>
    <n v="12680"/>
    <n v="12680"/>
    <s v="Closed"/>
    <s v="18-03-2025"/>
    <x v="19"/>
  </r>
  <r>
    <s v="PO-010357"/>
    <x v="194"/>
    <x v="181"/>
    <s v="Cutting board, bamboo, medium"/>
    <n v="1"/>
    <n v="0"/>
    <s v="Closed"/>
    <s v="18-03-2025"/>
    <x v="19"/>
  </r>
  <r>
    <s v="PO-010357"/>
    <x v="195"/>
    <x v="182"/>
    <s v="Multi-purpose kitchen shears"/>
    <n v="1"/>
    <n v="0"/>
    <s v="Closed"/>
    <s v="18-03-2025"/>
    <x v="19"/>
  </r>
  <r>
    <s v="PO-010356"/>
    <x v="195"/>
    <x v="182"/>
    <s v="Multi-purpose kitchen shears"/>
    <n v="18810"/>
    <n v="18900"/>
    <s v="Closed"/>
    <s v="18-03-2025"/>
    <x v="19"/>
  </r>
  <r>
    <s v="PO-010303"/>
    <x v="214"/>
    <x v="201"/>
    <s v="Slicing knife 160mm"/>
    <n v="20000"/>
    <n v="19995"/>
    <s v="Closed"/>
    <s v="12-03-2025"/>
    <x v="19"/>
  </r>
  <r>
    <s v="PO-010303"/>
    <x v="195"/>
    <x v="182"/>
    <s v="Multi-purpose kitchen shears"/>
    <n v="19000"/>
    <n v="19000"/>
    <s v="Closed"/>
    <s v="12-03-2025"/>
    <x v="19"/>
  </r>
  <r>
    <s v="PO-010363"/>
    <x v="216"/>
    <x v="203"/>
    <s v="Cocotte cast iron round 24cm"/>
    <n v="30000"/>
    <n v="30000"/>
    <s v="Closed"/>
    <s v="18-03-2025"/>
    <x v="19"/>
  </r>
  <r>
    <s v="PO-010363"/>
    <x v="195"/>
    <x v="182"/>
    <s v="Multi-purpose kitchen shears"/>
    <n v="36000"/>
    <n v="36000"/>
    <s v="Closed"/>
    <s v="18-03-2025"/>
    <x v="19"/>
  </r>
  <r>
    <s v="PO-010375"/>
    <x v="210"/>
    <x v="197"/>
    <s v="Disney Xmas bell 2025 - Generic 1.0 CZ ES RO"/>
    <n v="2002032"/>
    <n v="2002032"/>
    <s v="Closed"/>
    <s v="19-03-2025"/>
    <x v="33"/>
  </r>
  <r>
    <s v="PO-010376"/>
    <x v="113"/>
    <x v="113"/>
    <s v="Glass storage rnd 600ml"/>
    <n v="27128"/>
    <n v="27128"/>
    <s v="Closed"/>
    <s v="19-03-2025"/>
    <x v="27"/>
  </r>
  <r>
    <s v="PO-010377"/>
    <x v="185"/>
    <x v="173"/>
    <s v="2,8L preparation bowl"/>
    <n v="25056"/>
    <n v="25056"/>
    <s v="Closed"/>
    <s v="19-03-2025"/>
    <x v="27"/>
  </r>
  <r>
    <s v="PO-010533"/>
    <x v="217"/>
    <x v="204"/>
    <s v="Tumbler 40 cl clear 2pcs"/>
    <n v="38502"/>
    <n v="33786"/>
    <s v="Closed"/>
    <s v="24-03-2025"/>
    <x v="58"/>
  </r>
  <r>
    <s v="PO-010536"/>
    <x v="210"/>
    <x v="197"/>
    <s v="Disney Xmas bell 2025 - Generic 1.0 CZ ES RO"/>
    <n v="720000"/>
    <n v="720000"/>
    <s v="Closed"/>
    <s v="26-03-2025"/>
    <x v="33"/>
  </r>
  <r>
    <s v="PO-010545"/>
    <x v="218"/>
    <x v="205"/>
    <s v="Disney multiverse Carrefour France xmas bells 2025"/>
    <n v="4000176"/>
    <n v="4000176"/>
    <s v="Closed"/>
    <s v="27-03-2025"/>
    <x v="33"/>
  </r>
  <r>
    <s v="PO-010546"/>
    <x v="219"/>
    <x v="206"/>
    <s v="Disney Xmas Wreath"/>
    <n v="720128"/>
    <n v="720128"/>
    <s v="Closed"/>
    <s v="27-03-2025"/>
    <x v="59"/>
  </r>
  <r>
    <s v="PO-010549"/>
    <x v="220"/>
    <x v="207"/>
    <s v="Disney Stitch NESpack of 4 cards &amp; 1 Fixeez"/>
    <n v="3345408"/>
    <n v="3345408"/>
    <s v="Closed"/>
    <s v="28-03-2025"/>
    <x v="50"/>
  </r>
  <r>
    <s v="PO-010550"/>
    <x v="220"/>
    <x v="207"/>
    <s v="Disney Stitch NESpack of 4 cards &amp; 1 Fixeez"/>
    <n v="3345408"/>
    <n v="3345408"/>
    <s v="Closed"/>
    <s v="28-03-2025"/>
    <x v="50"/>
  </r>
  <r>
    <s v="PO-010551"/>
    <x v="220"/>
    <x v="207"/>
    <s v="Disney Stitch NESpack of 4 cards &amp; 1 Fixeez"/>
    <n v="3345408"/>
    <n v="3345408"/>
    <s v="Closed"/>
    <s v="28-03-2025"/>
    <x v="50"/>
  </r>
  <r>
    <s v="PO-010566"/>
    <x v="220"/>
    <x v="207"/>
    <s v="Disney Stitch NESpack of 4 cards &amp; 1 Fixeez"/>
    <n v="3345408"/>
    <n v="3345408"/>
    <s v="Closed"/>
    <s v="28-03-2025"/>
    <x v="50"/>
  </r>
  <r>
    <s v="PO-010552"/>
    <x v="220"/>
    <x v="207"/>
    <s v="Disney Stitch NESpack of 4 cards &amp; 1 Fixeez"/>
    <n v="3345408"/>
    <n v="3345408"/>
    <s v="Closed"/>
    <s v="28-03-2025"/>
    <x v="50"/>
  </r>
  <r>
    <s v="PO-010553"/>
    <x v="220"/>
    <x v="207"/>
    <s v="Disney Stitch NESpack of 4 cards &amp; 1 Fixeez"/>
    <n v="3345408"/>
    <n v="3345408"/>
    <s v="Closed"/>
    <s v="28-03-2025"/>
    <x v="50"/>
  </r>
  <r>
    <s v="PO-010554"/>
    <x v="220"/>
    <x v="207"/>
    <s v="Disney Stitch NESpack of 4 cards &amp; 1 Fixeez"/>
    <n v="3345408"/>
    <n v="3345408"/>
    <s v="Closed"/>
    <s v="28-03-2025"/>
    <x v="50"/>
  </r>
  <r>
    <s v="PO-010555"/>
    <x v="220"/>
    <x v="207"/>
    <s v="Disney Stitch NESpack of 4 cards &amp; 1 Fixeez"/>
    <n v="3345408"/>
    <n v="3345408"/>
    <s v="Closed"/>
    <s v="28-03-2025"/>
    <x v="50"/>
  </r>
  <r>
    <s v="PO-010567"/>
    <x v="220"/>
    <x v="207"/>
    <s v="Disney Stitch NESpack of 4 cards &amp; 1 Fixeez"/>
    <n v="3345408"/>
    <n v="3345408"/>
    <s v="Closed"/>
    <s v="28-03-2025"/>
    <x v="50"/>
  </r>
  <r>
    <s v="PO-010556"/>
    <x v="220"/>
    <x v="207"/>
    <s v="Disney Stitch NESpack of 4 cards &amp; 1 Fixeez"/>
    <n v="3345408"/>
    <n v="3345408"/>
    <s v="Closed"/>
    <s v="28-03-2025"/>
    <x v="50"/>
  </r>
  <r>
    <s v="PO-010557"/>
    <x v="220"/>
    <x v="207"/>
    <s v="Disney Stitch NESpack of 4 cards &amp; 1 Fixeez"/>
    <n v="3345408"/>
    <n v="3345408"/>
    <s v="Approved"/>
    <s v="28-03-2025"/>
    <x v="50"/>
  </r>
  <r>
    <s v="PO-010569"/>
    <x v="220"/>
    <x v="207"/>
    <s v="Disney Stitch NESpack of 4 cards &amp; 1 Fixeez"/>
    <n v="3345408"/>
    <n v="3345408"/>
    <s v="Closed"/>
    <s v="28-03-2025"/>
    <x v="50"/>
  </r>
  <r>
    <s v="PO-010558"/>
    <x v="220"/>
    <x v="207"/>
    <s v="Disney Stitch NESpack of 4 cards &amp; 1 Fixeez"/>
    <n v="3345408"/>
    <n v="3345408"/>
    <s v="Approved"/>
    <s v="28-03-2025"/>
    <x v="50"/>
  </r>
  <r>
    <s v="PO-010559"/>
    <x v="220"/>
    <x v="207"/>
    <s v="Disney Stitch NESpack of 4 cards &amp; 1 Fixeez"/>
    <n v="3345408"/>
    <n v="3345408"/>
    <s v="Closed"/>
    <s v="28-03-2025"/>
    <x v="50"/>
  </r>
  <r>
    <s v="PO-010560"/>
    <x v="220"/>
    <x v="207"/>
    <s v="Disney Stitch NESpack of 4 cards &amp; 1 Fixeez"/>
    <n v="3345408"/>
    <n v="3345408"/>
    <s v="Closed"/>
    <s v="28-03-2025"/>
    <x v="50"/>
  </r>
  <r>
    <s v="PO-010561"/>
    <x v="220"/>
    <x v="207"/>
    <s v="Disney Stitch NESpack of 4 cards &amp; 1 Fixeez"/>
    <n v="3345408"/>
    <n v="3345408"/>
    <s v="Closed"/>
    <s v="28-03-2025"/>
    <x v="50"/>
  </r>
  <r>
    <s v="PO-010562"/>
    <x v="220"/>
    <x v="207"/>
    <s v="Disney Stitch NESpack of 4 cards &amp; 1 Fixeez"/>
    <n v="3345408"/>
    <n v="3345408"/>
    <s v="Closed"/>
    <s v="28-03-2025"/>
    <x v="50"/>
  </r>
  <r>
    <s v="PO-010563"/>
    <x v="220"/>
    <x v="207"/>
    <s v="Disney Stitch NESpack of 4 cards &amp; 1 Fixeez"/>
    <n v="3345408"/>
    <n v="3345408"/>
    <s v="Closed"/>
    <s v="28-03-2025"/>
    <x v="50"/>
  </r>
  <r>
    <s v="PO-010564"/>
    <x v="220"/>
    <x v="207"/>
    <s v="Disney Stitch NESpack of 4 cards &amp; 1 Fixeez"/>
    <n v="3345408"/>
    <n v="3345408"/>
    <s v="Closed"/>
    <s v="28-03-2025"/>
    <x v="50"/>
  </r>
  <r>
    <s v="PO-010565"/>
    <x v="220"/>
    <x v="207"/>
    <s v="Disney Stitch NESpack of 4 cards &amp; 1 Fixeez"/>
    <n v="3345408"/>
    <n v="3345408"/>
    <s v="Closed"/>
    <s v="28-03-2025"/>
    <x v="50"/>
  </r>
  <r>
    <s v="PO-010568"/>
    <x v="220"/>
    <x v="207"/>
    <s v="Disney Stitch NESpack of 4 cards &amp; 1 Fixeez"/>
    <n v="3345408"/>
    <n v="3345408"/>
    <s v="Closed"/>
    <s v="28-03-2025"/>
    <x v="50"/>
  </r>
  <r>
    <s v="PO-010570"/>
    <x v="220"/>
    <x v="207"/>
    <s v="Disney Stitch NESpack of 4 cards &amp; 1 Fixeez"/>
    <n v="3345408"/>
    <n v="3345408"/>
    <s v="Closed"/>
    <s v="28-03-2025"/>
    <x v="50"/>
  </r>
  <r>
    <s v="PO-010571"/>
    <x v="220"/>
    <x v="207"/>
    <s v="Disney Stitch NESpack of 4 cards &amp; 1 Fixeez"/>
    <n v="3345408"/>
    <n v="3345408"/>
    <s v="Closed"/>
    <s v="28-03-2025"/>
    <x v="50"/>
  </r>
  <r>
    <s v="PO-010572"/>
    <x v="220"/>
    <x v="207"/>
    <s v="Disney Stitch NESpack of 4 cards &amp; 1 Fixeez"/>
    <n v="3345408"/>
    <n v="3345408"/>
    <s v="Closed"/>
    <s v="28-03-2025"/>
    <x v="50"/>
  </r>
  <r>
    <s v="PO-010573"/>
    <x v="220"/>
    <x v="207"/>
    <s v="Disney Stitch NESpack of 4 cards &amp; 1 Fixeez"/>
    <n v="3345408"/>
    <n v="3345408"/>
    <s v="Closed"/>
    <s v="28-03-2025"/>
    <x v="50"/>
  </r>
  <r>
    <s v="PO-010574"/>
    <x v="220"/>
    <x v="207"/>
    <s v="Disney Stitch NESpack of 4 cards &amp; 1 Fixeez"/>
    <n v="3345408"/>
    <n v="3345408"/>
    <s v="Closed"/>
    <s v="28-03-2025"/>
    <x v="50"/>
  </r>
  <r>
    <s v="PO-010575"/>
    <x v="220"/>
    <x v="207"/>
    <s v="Disney Stitch NESpack of 4 cards &amp; 1 Fixeez"/>
    <n v="3345408"/>
    <n v="3345408"/>
    <s v="Closed"/>
    <s v="28-03-2025"/>
    <x v="50"/>
  </r>
  <r>
    <s v="PO-010576"/>
    <x v="220"/>
    <x v="207"/>
    <s v="Disney Stitch NESpack of 4 cards &amp; 1 Fixeez"/>
    <n v="3345408"/>
    <n v="3345408"/>
    <s v="Closed"/>
    <s v="28-03-2025"/>
    <x v="50"/>
  </r>
  <r>
    <s v="PO-010577"/>
    <x v="220"/>
    <x v="207"/>
    <s v="Disney Stitch NESpack of 4 cards &amp; 1 Fixeez"/>
    <n v="3345408"/>
    <n v="3345408"/>
    <s v="Closed"/>
    <s v="28-03-2025"/>
    <x v="50"/>
  </r>
  <r>
    <s v="PO-010578"/>
    <x v="220"/>
    <x v="207"/>
    <s v="Disney Stitch NESpack of 4 cards &amp; 1 Fixeez"/>
    <n v="3345408"/>
    <n v="3345408"/>
    <s v="Closed"/>
    <s v="28-03-2025"/>
    <x v="50"/>
  </r>
  <r>
    <s v="PO-010579"/>
    <x v="220"/>
    <x v="207"/>
    <s v="Disney Stitch NESpack of 4 cards &amp; 1 Fixeez"/>
    <n v="3345408"/>
    <n v="3345408"/>
    <s v="Closed"/>
    <s v="28-03-2025"/>
    <x v="50"/>
  </r>
  <r>
    <s v="PO-010580"/>
    <x v="220"/>
    <x v="207"/>
    <s v="Disney Stitch NESpack of 4 cards &amp; 1 Fixeez"/>
    <n v="3345408"/>
    <n v="3345408"/>
    <s v="Closed"/>
    <s v="28-03-2025"/>
    <x v="50"/>
  </r>
  <r>
    <s v="PO-010581"/>
    <x v="220"/>
    <x v="207"/>
    <s v="Disney Stitch NESpack of 4 cards &amp; 1 Fixeez"/>
    <n v="3345408"/>
    <n v="3345408"/>
    <s v="Closed"/>
    <s v="28-03-2025"/>
    <x v="50"/>
  </r>
  <r>
    <s v="PO-010582"/>
    <x v="220"/>
    <x v="207"/>
    <s v="Disney Stitch NESpack of 4 cards &amp; 1 Fixeez"/>
    <n v="3345408"/>
    <n v="3345408"/>
    <s v="Closed"/>
    <s v="28-03-2025"/>
    <x v="50"/>
  </r>
  <r>
    <s v="PO-010583"/>
    <x v="220"/>
    <x v="207"/>
    <s v="Disney Stitch NESpack of 4 cards &amp; 1 Fixeez"/>
    <n v="2914560"/>
    <n v="2914560"/>
    <s v="Closed"/>
    <s v="28-03-2025"/>
    <x v="50"/>
  </r>
  <r>
    <s v="PO-010586"/>
    <x v="221"/>
    <x v="208"/>
    <s v="Disney Stitch Album E.Leclerc"/>
    <n v="115500"/>
    <n v="115500"/>
    <s v="Closed"/>
    <s v="28-03-2025"/>
    <x v="50"/>
  </r>
  <r>
    <s v="PO-010585"/>
    <x v="221"/>
    <x v="208"/>
    <s v="Disney Stitch Album E.Leclerc"/>
    <n v="115500"/>
    <n v="115500"/>
    <s v="Closed"/>
    <s v="28-03-2025"/>
    <x v="50"/>
  </r>
  <r>
    <s v="PO-010587"/>
    <x v="221"/>
    <x v="208"/>
    <s v="Disney Stitch Album E.Leclerc"/>
    <n v="115500"/>
    <n v="115500"/>
    <s v="Closed"/>
    <s v="28-03-2025"/>
    <x v="50"/>
  </r>
  <r>
    <s v="PO-010588"/>
    <x v="221"/>
    <x v="208"/>
    <s v="Disney Stitch Album E.Leclerc"/>
    <n v="115500"/>
    <n v="115500"/>
    <s v="Closed"/>
    <s v="28-03-2025"/>
    <x v="50"/>
  </r>
  <r>
    <s v="PO-010589"/>
    <x v="221"/>
    <x v="208"/>
    <s v="Disney Stitch Album E.Leclerc"/>
    <n v="115500"/>
    <n v="115500"/>
    <s v="Closed"/>
    <s v="28-03-2025"/>
    <x v="50"/>
  </r>
  <r>
    <s v="PO-010590"/>
    <x v="221"/>
    <x v="208"/>
    <s v="Disney Stitch Album E.Leclerc"/>
    <n v="115500"/>
    <n v="115500"/>
    <s v="Closed"/>
    <s v="28-03-2025"/>
    <x v="50"/>
  </r>
  <r>
    <s v="PO-010591"/>
    <x v="221"/>
    <x v="208"/>
    <s v="Disney Stitch Album E.Leclerc"/>
    <n v="115500"/>
    <n v="115500"/>
    <s v="Closed"/>
    <s v="28-03-2025"/>
    <x v="50"/>
  </r>
  <r>
    <s v="PO-010594"/>
    <x v="220"/>
    <x v="207"/>
    <s v="Disney Stitch NESpack of 4 cards &amp; 1 Fixeez"/>
    <n v="3345408"/>
    <n v="3345408"/>
    <s v="Closed"/>
    <s v="31-03-2025"/>
    <x v="50"/>
  </r>
  <r>
    <s v="PO-010599"/>
    <x v="222"/>
    <x v="209"/>
    <s v="Glass storage Vacuum rnd 1100ml"/>
    <n v="66068"/>
    <n v="51008"/>
    <s v="Closed"/>
    <s v="01-04-2025"/>
    <x v="27"/>
  </r>
  <r>
    <s v="PO-010599"/>
    <x v="223"/>
    <x v="210"/>
    <s v="Glass storage Vacuum rnd 1600ml"/>
    <n v="77046"/>
    <n v="0"/>
    <s v="Closed"/>
    <s v="01-04-2025"/>
    <x v="27"/>
  </r>
  <r>
    <s v="PO-010599"/>
    <x v="224"/>
    <x v="211"/>
    <s v="Glass storage Vacuum rec. 800ml"/>
    <n v="99552"/>
    <n v="99552"/>
    <s v="Closed"/>
    <s v="01-04-2025"/>
    <x v="27"/>
  </r>
  <r>
    <s v="PO-010599"/>
    <x v="225"/>
    <x v="212"/>
    <s v="Glass storage Vacuum rec. 1500ml"/>
    <n v="110170"/>
    <n v="110170"/>
    <s v="Closed"/>
    <s v="01-04-2025"/>
    <x v="27"/>
  </r>
  <r>
    <s v="PO-010599"/>
    <x v="226"/>
    <x v="213"/>
    <s v="Glass storage Vacuum rec. 2600ml"/>
    <n v="138090"/>
    <n v="138090"/>
    <s v="Closed"/>
    <s v="01-04-2025"/>
    <x v="27"/>
  </r>
  <r>
    <s v="PO-010600"/>
    <x v="227"/>
    <x v="214"/>
    <s v="Glass storage Vacuum rnd 600ml"/>
    <n v="28884"/>
    <n v="28416"/>
    <s v="Closed"/>
    <s v="01-04-2025"/>
    <x v="27"/>
  </r>
  <r>
    <s v="PO-010600"/>
    <x v="224"/>
    <x v="211"/>
    <s v="Glass storage Vacuum rec. 800ml"/>
    <n v="198540"/>
    <n v="195696"/>
    <s v="Closed"/>
    <s v="01-04-2025"/>
    <x v="27"/>
  </r>
  <r>
    <s v="PO-010600"/>
    <x v="225"/>
    <x v="212"/>
    <s v="Glass storage Vacuum rec. 1500ml"/>
    <n v="152640"/>
    <n v="146890"/>
    <s v="Closed"/>
    <s v="01-04-2025"/>
    <x v="27"/>
  </r>
  <r>
    <s v="PO-010600"/>
    <x v="226"/>
    <x v="213"/>
    <s v="Glass storage Vacuum rec. 2600ml"/>
    <n v="210340"/>
    <n v="150415"/>
    <s v="Closed"/>
    <s v="01-04-2025"/>
    <x v="27"/>
  </r>
  <r>
    <s v="PO-010601"/>
    <x v="228"/>
    <x v="215"/>
    <s v="Lid of glass storage vacuum rec. 800ml"/>
    <n v="25020"/>
    <n v="25020"/>
    <s v="Closed"/>
    <s v="01-04-2025"/>
    <x v="14"/>
  </r>
  <r>
    <s v="PO-010601"/>
    <x v="229"/>
    <x v="216"/>
    <s v="Lid of glass storage vacuum rec. 1500ml"/>
    <n v="25020"/>
    <n v="25020"/>
    <s v="Closed"/>
    <s v="01-04-2025"/>
    <x v="14"/>
  </r>
  <r>
    <s v="PO-010601"/>
    <x v="230"/>
    <x v="217"/>
    <s v="Lid of glass storage vacuum rec. 2600ml"/>
    <n v="30000"/>
    <n v="30000"/>
    <s v="Closed"/>
    <s v="01-04-2025"/>
    <x v="14"/>
  </r>
  <r>
    <s v="PO-010606"/>
    <x v="211"/>
    <x v="198"/>
    <s v="Morrisons UK X Disney Kitchen Cards"/>
    <n v="4867200"/>
    <n v="4867200"/>
    <s v="Closed"/>
    <s v="03-04-2025"/>
    <x v="56"/>
  </r>
  <r>
    <s v="PO-010608"/>
    <x v="211"/>
    <x v="198"/>
    <s v="Morrisons UK X Disney Kitchen Cards"/>
    <n v="4867200"/>
    <n v="4867200"/>
    <s v="Closed"/>
    <s v="03-04-2025"/>
    <x v="56"/>
  </r>
  <r>
    <s v="PO-010609"/>
    <x v="211"/>
    <x v="198"/>
    <s v="Morrisons UK X Disney Kitchen Cards"/>
    <n v="4867200"/>
    <n v="4867200"/>
    <s v="Closed"/>
    <s v="03-04-2025"/>
    <x v="56"/>
  </r>
  <r>
    <s v="PO-010610"/>
    <x v="211"/>
    <x v="198"/>
    <s v="Morrisons UK X Disney Kitchen Cards"/>
    <n v="4867200"/>
    <n v="4867200"/>
    <s v="Closed"/>
    <s v="03-04-2025"/>
    <x v="56"/>
  </r>
  <r>
    <s v="PO-010611"/>
    <x v="211"/>
    <x v="198"/>
    <s v="Morrisons UK X Disney Kitchen Cards"/>
    <n v="7300800"/>
    <n v="7300800"/>
    <s v="Closed"/>
    <s v="03-04-2025"/>
    <x v="56"/>
  </r>
  <r>
    <s v="PO-010612"/>
    <x v="211"/>
    <x v="198"/>
    <s v="Morrisons UK X Disney Kitchen Cards"/>
    <n v="7300800"/>
    <n v="7300800"/>
    <s v="Closed"/>
    <s v="03-04-2025"/>
    <x v="56"/>
  </r>
  <r>
    <s v="PO-010613"/>
    <x v="211"/>
    <x v="198"/>
    <s v="Morrisons UK X Disney Kitchen Cards"/>
    <n v="6664800"/>
    <n v="6664800"/>
    <s v="Closed"/>
    <s v="03-04-2025"/>
    <x v="56"/>
  </r>
  <r>
    <s v="PO-010614"/>
    <x v="211"/>
    <x v="198"/>
    <s v="Morrisons UK X Disney Kitchen Cards"/>
    <n v="4867200"/>
    <n v="4867200"/>
    <s v="Closed"/>
    <s v="03-04-2025"/>
    <x v="56"/>
  </r>
  <r>
    <s v="PO-010619"/>
    <x v="231"/>
    <x v="218"/>
    <s v="Set 2 cassette portavalori"/>
    <n v="1"/>
    <n v="1"/>
    <s v="Closed"/>
    <s v="03-04-2025"/>
    <x v="5"/>
  </r>
  <r>
    <s v="PO-010619"/>
    <x v="16"/>
    <x v="16"/>
    <s v="Set 6 ghiaccio spray"/>
    <n v="11"/>
    <n v="11"/>
    <s v="Closed"/>
    <s v="03-04-2025"/>
    <x v="5"/>
  </r>
  <r>
    <s v="PO-010619"/>
    <x v="232"/>
    <x v="219"/>
    <s v="Tondo galleggiante per piscina 24 pezzi"/>
    <n v="1"/>
    <n v="1"/>
    <s v="Closed"/>
    <s v="03-04-2025"/>
    <x v="5"/>
  </r>
  <r>
    <s v="PO-010619"/>
    <x v="233"/>
    <x v="220"/>
    <s v="Set 6 Casco Di Sicurezza Regolabile Bici Junior. Misura: 52 - 56 Cm"/>
    <n v="1"/>
    <n v="1"/>
    <s v="Closed"/>
    <s v="03-04-2025"/>
    <x v="5"/>
  </r>
  <r>
    <s v="PO-010619"/>
    <x v="234"/>
    <x v="221"/>
    <s v="Bilanciere olimpionico"/>
    <n v="1"/>
    <n v="1"/>
    <s v="Closed"/>
    <s v="03-04-2025"/>
    <x v="5"/>
  </r>
  <r>
    <s v="PO-010619"/>
    <x v="235"/>
    <x v="222"/>
    <s v="Set 4 lavagne magnetiche calcio per coach"/>
    <n v="1"/>
    <n v="1"/>
    <s v="Closed"/>
    <s v="03-04-2025"/>
    <x v="5"/>
  </r>
  <r>
    <s v="PO-010619"/>
    <x v="14"/>
    <x v="14"/>
    <s v="Set 12 corde per saltare"/>
    <n v="1"/>
    <n v="1"/>
    <s v="Closed"/>
    <s v="03-04-2025"/>
    <x v="5"/>
  </r>
  <r>
    <s v="PO-010620"/>
    <x v="236"/>
    <x v="223"/>
    <s v="Megafono"/>
    <n v="1"/>
    <n v="1"/>
    <s v="Closed"/>
    <s v="03-04-2025"/>
    <x v="6"/>
  </r>
  <r>
    <s v="PO-010620"/>
    <x v="22"/>
    <x v="22"/>
    <s v="Compressore"/>
    <n v="2"/>
    <n v="2"/>
    <s v="Closed"/>
    <s v="03-04-2025"/>
    <x v="6"/>
  </r>
  <r>
    <s v="PO-010620"/>
    <x v="237"/>
    <x v="224"/>
    <s v="Sport cam"/>
    <n v="2"/>
    <n v="2"/>
    <s v="Closed"/>
    <s v="03-04-2025"/>
    <x v="6"/>
  </r>
  <r>
    <s v="PO-010620"/>
    <x v="18"/>
    <x v="18"/>
    <s v="Set 5 cuffie poliestere - junior"/>
    <n v="1"/>
    <n v="1"/>
    <s v="Closed"/>
    <s v="03-04-2025"/>
    <x v="6"/>
  </r>
  <r>
    <s v="PO-010623"/>
    <x v="179"/>
    <x v="75"/>
    <s v="Saucepan 16cm"/>
    <n v="4016"/>
    <n v="4016"/>
    <s v="Closed"/>
    <s v="04-04-2025"/>
    <x v="45"/>
  </r>
  <r>
    <s v="PO-010623"/>
    <x v="180"/>
    <x v="170"/>
    <s v="Casserole 20cm with silicone straining lid"/>
    <n v="13544"/>
    <n v="13544"/>
    <s v="Closed"/>
    <s v="04-04-2025"/>
    <x v="45"/>
  </r>
  <r>
    <s v="PO-010623"/>
    <x v="181"/>
    <x v="171"/>
    <s v="Casserole 24cm with silicone straining lid"/>
    <n v="5016"/>
    <n v="5016"/>
    <s v="Closed"/>
    <s v="04-04-2025"/>
    <x v="45"/>
  </r>
  <r>
    <s v="PO-010623"/>
    <x v="182"/>
    <x v="172"/>
    <s v="Open wok 28cm"/>
    <n v="12540"/>
    <n v="12540"/>
    <s v="Closed"/>
    <s v="04-04-2025"/>
    <x v="45"/>
  </r>
  <r>
    <s v="PO-010623"/>
    <x v="183"/>
    <x v="79"/>
    <s v="Frypan 20cm"/>
    <n v="6520"/>
    <n v="6520"/>
    <s v="Closed"/>
    <s v="04-04-2025"/>
    <x v="45"/>
  </r>
  <r>
    <s v="PO-010623"/>
    <x v="184"/>
    <x v="80"/>
    <s v="Frypan 24cm"/>
    <n v="8528"/>
    <n v="8528"/>
    <s v="Closed"/>
    <s v="04-04-2025"/>
    <x v="45"/>
  </r>
  <r>
    <s v="PO-010624"/>
    <x v="238"/>
    <x v="225"/>
    <s v="Scudo Gilbert placcaggio senior"/>
    <n v="1"/>
    <n v="1"/>
    <s v="Closed"/>
    <s v="04-04-2025"/>
    <x v="8"/>
  </r>
  <r>
    <s v="PO-010625"/>
    <x v="29"/>
    <x v="29"/>
    <s v="Set 2 borse porta palloni"/>
    <n v="3"/>
    <n v="3"/>
    <s v="Closed"/>
    <s v="04-04-2025"/>
    <x v="9"/>
  </r>
  <r>
    <s v="PO-010625"/>
    <x v="239"/>
    <x v="226"/>
    <s v="Set 12 borracce Givova in acciaio"/>
    <n v="6"/>
    <n v="6"/>
    <s v="Closed"/>
    <s v="04-04-2025"/>
    <x v="9"/>
  </r>
  <r>
    <s v="PO-010625"/>
    <x v="34"/>
    <x v="34"/>
    <s v="Set 2 borse Brera"/>
    <n v="2"/>
    <n v="2"/>
    <s v="Closed"/>
    <s v="04-04-2025"/>
    <x v="9"/>
  </r>
  <r>
    <s v="PO-010625"/>
    <x v="35"/>
    <x v="35"/>
    <s v="Set 2 zaini Europa fondo imbottito"/>
    <n v="6"/>
    <n v="6"/>
    <s v="Closed"/>
    <s v="04-04-2025"/>
    <x v="9"/>
  </r>
  <r>
    <s v="PO-010625"/>
    <x v="240"/>
    <x v="227"/>
    <s v="Calza calcio 10 paia Baby/Boy/Adulto"/>
    <n v="1"/>
    <n v="1"/>
    <s v="Closed"/>
    <s v="04-04-2025"/>
    <x v="9"/>
  </r>
  <r>
    <s v="PO-010625"/>
    <x v="32"/>
    <x v="32"/>
    <s v="Set 10 casacche Pro allenamento"/>
    <n v="12"/>
    <n v="12"/>
    <s v="Closed"/>
    <s v="04-04-2025"/>
    <x v="9"/>
  </r>
  <r>
    <s v="PO-010625"/>
    <x v="33"/>
    <x v="33"/>
    <s v="Set 10 casacche Double"/>
    <n v="4"/>
    <n v="4"/>
    <s v="Closed"/>
    <s v="04-04-2025"/>
    <x v="9"/>
  </r>
  <r>
    <s v="PO-010625"/>
    <x v="241"/>
    <x v="228"/>
    <s v="Set 4 accappatoi microfibra uomo grigio"/>
    <n v="1"/>
    <n v="1"/>
    <s v="Closed"/>
    <s v="04-04-2025"/>
    <x v="9"/>
  </r>
  <r>
    <s v="PO-010625"/>
    <x v="242"/>
    <x v="229"/>
    <s v="Set 10 short capo"/>
    <n v="3"/>
    <n v="3"/>
    <s v="Closed"/>
    <s v="04-04-2025"/>
    <x v="9"/>
  </r>
  <r>
    <s v="PO-010625"/>
    <x v="243"/>
    <x v="230"/>
    <s v="Set 5 palloni gara match king"/>
    <n v="1"/>
    <n v="1"/>
    <s v="Closed"/>
    <s v="04-04-2025"/>
    <x v="9"/>
  </r>
  <r>
    <s v="PO-010625"/>
    <x v="27"/>
    <x v="27"/>
    <s v="Set 5 palloni Academy School, mis.4 da allenamento"/>
    <n v="11"/>
    <n v="11"/>
    <s v="Closed"/>
    <s v="04-04-2025"/>
    <x v="9"/>
  </r>
  <r>
    <s v="PO-010625"/>
    <x v="28"/>
    <x v="28"/>
    <s v="Set 5 palloni Academy School, mis. 5 da allenamento"/>
    <n v="6"/>
    <n v="6"/>
    <s v="Closed"/>
    <s v="04-04-2025"/>
    <x v="9"/>
  </r>
  <r>
    <s v="PO-010626"/>
    <x v="244"/>
    <x v="231"/>
    <s v="Set 10 cuffie - adulto"/>
    <n v="2"/>
    <n v="0"/>
    <s v="Approved"/>
    <s v="04-04-2025"/>
    <x v="10"/>
  </r>
  <r>
    <s v="PO-010627"/>
    <x v="37"/>
    <x v="37"/>
    <s v="Set 10 t-shirt mezza manica"/>
    <n v="2"/>
    <n v="2"/>
    <s v="Closed"/>
    <s v="04-04-2025"/>
    <x v="11"/>
  </r>
  <r>
    <s v="PO-010627"/>
    <x v="245"/>
    <x v="232"/>
    <s v="Set 10 k-way"/>
    <n v="2"/>
    <n v="2"/>
    <s v="Closed"/>
    <s v="04-04-2025"/>
    <x v="11"/>
  </r>
  <r>
    <s v="PO-010627"/>
    <x v="246"/>
    <x v="233"/>
    <s v="Set 3 pantaloncini adulto s-m-l"/>
    <n v="1"/>
    <n v="1"/>
    <s v="Closed"/>
    <s v="04-04-2025"/>
    <x v="11"/>
  </r>
  <r>
    <s v="PO-010628"/>
    <x v="45"/>
    <x v="45"/>
    <s v="Set 4 cronometri impermeabili"/>
    <n v="1"/>
    <n v="1"/>
    <s v="Closed"/>
    <s v="04-04-2025"/>
    <x v="12"/>
  </r>
  <r>
    <s v="PO-010628"/>
    <x v="247"/>
    <x v="234"/>
    <s v="Cronometro in acciaio alta precisione"/>
    <n v="2"/>
    <n v="2"/>
    <s v="Closed"/>
    <s v="04-04-2025"/>
    <x v="12"/>
  </r>
  <r>
    <s v="PO-010628"/>
    <x v="248"/>
    <x v="235"/>
    <s v="Panca pesistica e per addominali"/>
    <n v="1"/>
    <n v="1"/>
    <s v="Closed"/>
    <s v="04-04-2025"/>
    <x v="12"/>
  </r>
  <r>
    <s v="PO-010629"/>
    <x v="112"/>
    <x v="112"/>
    <s v="Glass storage rnd 1100ml"/>
    <n v="49768"/>
    <n v="49768"/>
    <s v="Closed"/>
    <s v="04-04-2025"/>
    <x v="27"/>
  </r>
  <r>
    <s v="PO-010628"/>
    <x v="42"/>
    <x v="42"/>
    <s v="Polsiere / cavigliere regolabili"/>
    <n v="7"/>
    <n v="7"/>
    <s v="Closed"/>
    <s v="04-04-2025"/>
    <x v="12"/>
  </r>
  <r>
    <s v="PO-010628"/>
    <x v="43"/>
    <x v="43"/>
    <s v="Set di 10 stretch band"/>
    <n v="5"/>
    <n v="5"/>
    <s v="Closed"/>
    <s v="04-04-2025"/>
    <x v="12"/>
  </r>
  <r>
    <s v="PO-010628"/>
    <x v="249"/>
    <x v="236"/>
    <s v="Set pesi 20 kg"/>
    <n v="4"/>
    <n v="4"/>
    <s v="Closed"/>
    <s v="04-04-2025"/>
    <x v="12"/>
  </r>
  <r>
    <s v="PO-010628"/>
    <x v="40"/>
    <x v="40"/>
    <s v="Set da 8 materassini pieghevoli"/>
    <n v="2"/>
    <n v="2"/>
    <s v="Closed"/>
    <s v="04-04-2025"/>
    <x v="12"/>
  </r>
  <r>
    <s v="PO-010628"/>
    <x v="44"/>
    <x v="44"/>
    <s v="Set di 2 balance board con maniglie"/>
    <n v="2"/>
    <n v="2"/>
    <s v="Closed"/>
    <s v="04-04-2025"/>
    <x v="12"/>
  </r>
  <r>
    <s v="PO-010630"/>
    <x v="60"/>
    <x v="60"/>
    <s v="Carrello porta palloni"/>
    <n v="1"/>
    <n v="1"/>
    <s v="Closed"/>
    <s v="04-04-2025"/>
    <x v="13"/>
  </r>
  <r>
    <s v="PO-010630"/>
    <x v="250"/>
    <x v="237"/>
    <s v="Set 2 supporti terra per sbarra danza"/>
    <n v="1"/>
    <n v="1"/>
    <s v="Closed"/>
    <s v="04-04-2025"/>
    <x v="13"/>
  </r>
  <r>
    <s v="PO-010630"/>
    <x v="51"/>
    <x v="51"/>
    <s v="Sbarra danza in legno 2 metri"/>
    <n v="1"/>
    <n v="1"/>
    <s v="Closed"/>
    <s v="04-04-2025"/>
    <x v="13"/>
  </r>
  <r>
    <s v="PO-010630"/>
    <x v="49"/>
    <x v="49"/>
    <s v="Coppia di polsiere ad 1 fascia 500 g cadauna"/>
    <n v="1"/>
    <n v="1"/>
    <s v="Closed"/>
    <s v="04-04-2025"/>
    <x v="13"/>
  </r>
  <r>
    <s v="PO-010630"/>
    <x v="251"/>
    <x v="238"/>
    <s v="Impianto minivolley modello hobby"/>
    <n v="2"/>
    <n v="2"/>
    <s v="Closed"/>
    <s v="04-04-2025"/>
    <x v="13"/>
  </r>
  <r>
    <s v="PO-010630"/>
    <x v="252"/>
    <x v="239"/>
    <s v="Rete da minivolley"/>
    <n v="1"/>
    <n v="1"/>
    <s v="Closed"/>
    <s v="04-04-2025"/>
    <x v="13"/>
  </r>
  <r>
    <s v="PO-010630"/>
    <x v="253"/>
    <x v="240"/>
    <s v="Coppia reti calcio"/>
    <n v="1"/>
    <n v="1"/>
    <s v="Closed"/>
    <s v="04-04-2025"/>
    <x v="13"/>
  </r>
  <r>
    <s v="PO-010630"/>
    <x v="254"/>
    <x v="241"/>
    <s v="Set 4 pali angolo snodati"/>
    <n v="1"/>
    <n v="1"/>
    <s v="Closed"/>
    <s v="04-04-2025"/>
    <x v="13"/>
  </r>
  <r>
    <s v="PO-010630"/>
    <x v="47"/>
    <x v="47"/>
    <s v="Set 2 aste guardialinee complete"/>
    <n v="1"/>
    <n v="1"/>
    <s v="Closed"/>
    <s v="04-04-2025"/>
    <x v="13"/>
  </r>
  <r>
    <s v="PO-010630"/>
    <x v="55"/>
    <x v="55"/>
    <s v="Set di 48 delimitatori"/>
    <n v="12"/>
    <n v="12"/>
    <s v="Closed"/>
    <s v="04-04-2025"/>
    <x v="13"/>
  </r>
  <r>
    <s v="PO-010630"/>
    <x v="255"/>
    <x v="242"/>
    <s v="Coppia reti calcetto"/>
    <n v="1"/>
    <n v="1"/>
    <s v="Closed"/>
    <s v="04-04-2025"/>
    <x v="13"/>
  </r>
  <r>
    <s v="PO-010630"/>
    <x v="256"/>
    <x v="243"/>
    <s v="Set 100 palline da tennis tavolo"/>
    <n v="1"/>
    <n v="1"/>
    <s v="Closed"/>
    <s v="04-04-2025"/>
    <x v="13"/>
  </r>
  <r>
    <s v="PO-010630"/>
    <x v="52"/>
    <x v="52"/>
    <s v="Sacco boxe da 30 kg"/>
    <n v="1"/>
    <n v="1"/>
    <s v="Closed"/>
    <s v="04-04-2025"/>
    <x v="13"/>
  </r>
  <r>
    <s v="PO-010630"/>
    <x v="54"/>
    <x v="54"/>
    <s v="Cono"/>
    <n v="15"/>
    <n v="15"/>
    <s v="Closed"/>
    <s v="04-04-2025"/>
    <x v="13"/>
  </r>
  <r>
    <s v="PO-010630"/>
    <x v="56"/>
    <x v="56"/>
    <s v="Set 10 cerchi in nylon"/>
    <n v="1"/>
    <n v="1"/>
    <s v="Closed"/>
    <s v="04-04-2025"/>
    <x v="13"/>
  </r>
  <r>
    <s v="PO-010630"/>
    <x v="58"/>
    <x v="58"/>
    <s v="Set 10 stuoie"/>
    <n v="1"/>
    <n v="1"/>
    <s v="Closed"/>
    <s v="04-04-2025"/>
    <x v="13"/>
  </r>
  <r>
    <s v="PO-011041"/>
    <x v="257"/>
    <x v="244"/>
    <s v="Lid of glass storage vacuum rnd 600ml"/>
    <n v="5040"/>
    <n v="5040"/>
    <s v="Closed"/>
    <s v="07-04-2025"/>
    <x v="14"/>
  </r>
  <r>
    <s v="PO-011041"/>
    <x v="228"/>
    <x v="215"/>
    <s v="Lid of glass storage vacuum rec. 800ml"/>
    <n v="15030"/>
    <n v="15030"/>
    <s v="Closed"/>
    <s v="07-04-2025"/>
    <x v="14"/>
  </r>
  <r>
    <s v="PO-011041"/>
    <x v="229"/>
    <x v="216"/>
    <s v="Lid of glass storage vacuum rec. 1500ml"/>
    <n v="15000"/>
    <n v="15000"/>
    <s v="Closed"/>
    <s v="07-04-2025"/>
    <x v="14"/>
  </r>
  <r>
    <s v="PO-011041"/>
    <x v="230"/>
    <x v="217"/>
    <s v="Lid of glass storage vacuum rec. 2600ml"/>
    <n v="15000"/>
    <n v="15000"/>
    <s v="Closed"/>
    <s v="07-04-2025"/>
    <x v="14"/>
  </r>
  <r>
    <s v="PO-011252"/>
    <x v="258"/>
    <x v="245"/>
    <s v="Disney Game On NES FREE 2Cards"/>
    <n v="3953664"/>
    <n v="3953664"/>
    <s v="Closed"/>
    <s v="07-04-2025"/>
    <x v="50"/>
  </r>
  <r>
    <s v="PO-011253"/>
    <x v="258"/>
    <x v="245"/>
    <s v="Disney Game On NES FREE 2Cards"/>
    <n v="3953664"/>
    <n v="3953664"/>
    <s v="Closed"/>
    <s v="07-04-2025"/>
    <x v="50"/>
  </r>
  <r>
    <s v="PO-011254"/>
    <x v="258"/>
    <x v="245"/>
    <s v="Disney Game On NES FREE 2Cards"/>
    <n v="3953664"/>
    <n v="3953664"/>
    <s v="Closed"/>
    <s v="07-04-2025"/>
    <x v="50"/>
  </r>
  <r>
    <s v="PO-011255"/>
    <x v="258"/>
    <x v="245"/>
    <s v="Disney Game On NES FREE 2Cards"/>
    <n v="3953664"/>
    <n v="3953664"/>
    <s v="Closed"/>
    <s v="07-04-2025"/>
    <x v="50"/>
  </r>
  <r>
    <s v="PO-011256"/>
    <x v="258"/>
    <x v="245"/>
    <s v="Disney Game On NES FREE 2Cards"/>
    <n v="3953664"/>
    <n v="3953664"/>
    <s v="Closed"/>
    <s v="07-04-2025"/>
    <x v="50"/>
  </r>
  <r>
    <s v="PO-011257"/>
    <x v="258"/>
    <x v="245"/>
    <s v="Disney Game On NES FREE 2Cards"/>
    <n v="3953664"/>
    <n v="3953664"/>
    <s v="Closed"/>
    <s v="07-04-2025"/>
    <x v="50"/>
  </r>
  <r>
    <s v="PO-011258"/>
    <x v="258"/>
    <x v="245"/>
    <s v="Disney Game On NES FREE 2Cards"/>
    <n v="1682080"/>
    <n v="1682080"/>
    <s v="Closed"/>
    <s v="07-04-2025"/>
    <x v="50"/>
  </r>
  <r>
    <s v="PO-011259"/>
    <x v="259"/>
    <x v="246"/>
    <s v="Disney Game On Album for Cards"/>
    <n v="79200"/>
    <n v="79200"/>
    <s v="Closed"/>
    <s v="07-04-2025"/>
    <x v="50"/>
  </r>
  <r>
    <s v="PO-011260"/>
    <x v="259"/>
    <x v="246"/>
    <s v="Disney Game On Album for Cards"/>
    <n v="21720"/>
    <n v="21720"/>
    <s v="Closed"/>
    <s v="07-04-2025"/>
    <x v="50"/>
  </r>
  <r>
    <s v="PO-011261"/>
    <x v="260"/>
    <x v="247"/>
    <s v="Disney Game On NES pack 4Cards + 2Sticker"/>
    <n v="150840"/>
    <n v="150840"/>
    <s v="Closed"/>
    <s v="07-04-2025"/>
    <x v="50"/>
  </r>
  <r>
    <s v="PO-011268"/>
    <x v="261"/>
    <x v="248"/>
    <s v="1 pallone da volleyball"/>
    <n v="6"/>
    <n v="6"/>
    <s v="Closed"/>
    <s v="07-04-2025"/>
    <x v="15"/>
  </r>
  <r>
    <s v="PO-011268"/>
    <x v="71"/>
    <x v="71"/>
    <s v="1 pallone MVP da basket mis 7"/>
    <n v="6"/>
    <n v="6"/>
    <s v="Closed"/>
    <s v="07-04-2025"/>
    <x v="15"/>
  </r>
  <r>
    <s v="PO-011268"/>
    <x v="72"/>
    <x v="72"/>
    <s v="1 pallone da minibasket mis 5"/>
    <n v="18"/>
    <n v="18"/>
    <s v="Closed"/>
    <s v="07-04-2025"/>
    <x v="15"/>
  </r>
  <r>
    <s v="PO-011269"/>
    <x v="228"/>
    <x v="215"/>
    <s v="Lid of glass storage vacuum rec. 800ml"/>
    <n v="15030"/>
    <n v="15030"/>
    <s v="Closed"/>
    <s v="07-04-2025"/>
    <x v="14"/>
  </r>
  <r>
    <s v="PO-011269"/>
    <x v="229"/>
    <x v="216"/>
    <s v="Lid of glass storage vacuum rec. 1500ml"/>
    <n v="10020"/>
    <n v="10020"/>
    <s v="Closed"/>
    <s v="07-04-2025"/>
    <x v="14"/>
  </r>
  <r>
    <s v="PO-011269"/>
    <x v="230"/>
    <x v="217"/>
    <s v="Lid of glass storage vacuum rec. 2600ml"/>
    <n v="15000"/>
    <n v="15000"/>
    <s v="Closed"/>
    <s v="07-04-2025"/>
    <x v="14"/>
  </r>
  <r>
    <s v="PO-011269"/>
    <x v="262"/>
    <x v="249"/>
    <s v="Vacuum pump - Manual"/>
    <n v="26000"/>
    <n v="26000"/>
    <s v="Closed"/>
    <s v="07-04-2025"/>
    <x v="14"/>
  </r>
  <r>
    <s v="PO-011270"/>
    <x v="228"/>
    <x v="215"/>
    <s v="Lid of glass storage vacuum rec. 800ml"/>
    <n v="30060"/>
    <n v="30060"/>
    <s v="Closed"/>
    <s v="07-04-2025"/>
    <x v="14"/>
  </r>
  <r>
    <s v="PO-011270"/>
    <x v="229"/>
    <x v="216"/>
    <s v="Lid of glass storage vacuum rec. 1500ml"/>
    <n v="30000"/>
    <n v="30000"/>
    <s v="Closed"/>
    <s v="07-04-2025"/>
    <x v="14"/>
  </r>
  <r>
    <s v="PO-011270"/>
    <x v="230"/>
    <x v="217"/>
    <s v="Lid of glass storage vacuum rec. 2600ml"/>
    <n v="30000"/>
    <n v="30000"/>
    <s v="Closed"/>
    <s v="07-04-2025"/>
    <x v="14"/>
  </r>
  <r>
    <s v="PO-011270"/>
    <x v="262"/>
    <x v="249"/>
    <s v="Vacuum pump - Manual"/>
    <n v="10000"/>
    <n v="10000"/>
    <s v="Closed"/>
    <s v="07-04-2025"/>
    <x v="14"/>
  </r>
  <r>
    <s v="PO-011271"/>
    <x v="263"/>
    <x v="250"/>
    <s v="Disney Pixar backpack Woody"/>
    <n v="3216"/>
    <n v="3216"/>
    <s v="Closed"/>
    <s v="07-04-2025"/>
    <x v="21"/>
  </r>
  <r>
    <s v="PO-011271"/>
    <x v="264"/>
    <x v="251"/>
    <s v="Disney Pixar lunch bag Remy"/>
    <n v="5694"/>
    <n v="5694"/>
    <s v="Closed"/>
    <s v="07-04-2025"/>
    <x v="21"/>
  </r>
  <r>
    <s v="PO-011271"/>
    <x v="265"/>
    <x v="252"/>
    <s v="Disney Pixar beach bag Anxiety"/>
    <n v="3468"/>
    <n v="3468"/>
    <s v="Closed"/>
    <s v="07-04-2025"/>
    <x v="21"/>
  </r>
  <r>
    <s v="PO-011272"/>
    <x v="266"/>
    <x v="253"/>
    <s v="Disney Pixar drink bottle Buzz"/>
    <n v="5196"/>
    <n v="5196"/>
    <s v="Closed"/>
    <s v="07-04-2025"/>
    <x v="28"/>
  </r>
  <r>
    <s v="PO-011273"/>
    <x v="267"/>
    <x v="254"/>
    <s v="Disney Pixar beach towel Nemo"/>
    <n v="25002"/>
    <n v="25002"/>
    <s v="Closed"/>
    <s v="07-04-2025"/>
    <x v="2"/>
  </r>
  <r>
    <s v="PO-011273"/>
    <x v="268"/>
    <x v="255"/>
    <s v="Disney Pixar beach towel Dory"/>
    <n v="25002"/>
    <n v="25002"/>
    <s v="Closed"/>
    <s v="07-04-2025"/>
    <x v="2"/>
  </r>
  <r>
    <s v="PO-011274"/>
    <x v="269"/>
    <x v="256"/>
    <s v="Disney Pixar pouch Edna"/>
    <n v="3216"/>
    <n v="3216"/>
    <s v="Closed"/>
    <s v="07-04-2025"/>
    <x v="29"/>
  </r>
  <r>
    <s v="PO-011277"/>
    <x v="128"/>
    <x v="125"/>
    <s v="Serving platter - 34cm"/>
    <n v="10002"/>
    <n v="10002"/>
    <s v="Closed"/>
    <s v="08-04-2025"/>
    <x v="32"/>
  </r>
  <r>
    <s v="PO-011277"/>
    <x v="127"/>
    <x v="124"/>
    <s v="Cereal bowl set - 2 pcs"/>
    <n v="21000"/>
    <n v="20710"/>
    <s v="Closed"/>
    <s v="08-04-2025"/>
    <x v="32"/>
  </r>
  <r>
    <s v="PO-011282"/>
    <x v="270"/>
    <x v="257"/>
    <s v="Nat Geo - Album softCover 42 pages  - SIGMA"/>
    <n v="40410"/>
    <n v="40410"/>
    <s v="Closed"/>
    <s v="08-04-2025"/>
    <x v="40"/>
  </r>
  <r>
    <s v="PO-011281"/>
    <x v="271"/>
    <x v="258"/>
    <s v="Nat Geo - Pack with 4 cards - SIGMA"/>
    <n v="3049200"/>
    <n v="3049200"/>
    <s v="Closed"/>
    <s v="08-04-2025"/>
    <x v="40"/>
  </r>
  <r>
    <s v="PO-011283"/>
    <x v="271"/>
    <x v="258"/>
    <s v="Nat Geo - Pack with 4 cards - SIGMA"/>
    <n v="1954800"/>
    <n v="1954800"/>
    <s v="Closed"/>
    <s v="08-04-2025"/>
    <x v="40"/>
  </r>
  <r>
    <s v="PO-011284"/>
    <x v="212"/>
    <x v="199"/>
    <s v="Morrisons UK X Disney Kitchen Album"/>
    <n v="92400"/>
    <n v="92400"/>
    <s v="Closed"/>
    <s v="09-04-2025"/>
    <x v="57"/>
  </r>
  <r>
    <s v="PO-011285"/>
    <x v="212"/>
    <x v="199"/>
    <s v="Morrisons UK X Disney Kitchen Album"/>
    <n v="92400"/>
    <n v="92400"/>
    <s v="Closed"/>
    <s v="09-04-2025"/>
    <x v="57"/>
  </r>
  <r>
    <s v="PO-011286"/>
    <x v="212"/>
    <x v="199"/>
    <s v="Morrisons UK X Disney Kitchen Album"/>
    <n v="72990"/>
    <n v="72990"/>
    <s v="Closed"/>
    <s v="09-04-2025"/>
    <x v="57"/>
  </r>
  <r>
    <s v="PO-011287"/>
    <x v="132"/>
    <x v="128"/>
    <s v="Glass Measuring Jug with Lid 500ml"/>
    <n v="48552"/>
    <n v="48552"/>
    <s v="Closed"/>
    <s v="10-04-2025"/>
    <x v="14"/>
  </r>
  <r>
    <s v="PO-011287"/>
    <x v="133"/>
    <x v="129"/>
    <s v="Mini Glass Container 2 pack with Lid"/>
    <n v="56700"/>
    <n v="56700"/>
    <s v="Closed"/>
    <s v="10-04-2025"/>
    <x v="14"/>
  </r>
  <r>
    <s v="PO-011287"/>
    <x v="134"/>
    <x v="130"/>
    <s v="Medium Glass Container with Lid"/>
    <n v="38184"/>
    <n v="38184"/>
    <s v="Closed"/>
    <s v="10-04-2025"/>
    <x v="14"/>
  </r>
  <r>
    <s v="PO-011288"/>
    <x v="221"/>
    <x v="208"/>
    <s v="Disney Stitch Album E.Leclerc"/>
    <n v="95300"/>
    <n v="95300"/>
    <s v="Closed"/>
    <s v="10-04-2025"/>
    <x v="50"/>
  </r>
  <r>
    <s v="PO-011293"/>
    <x v="131"/>
    <x v="127"/>
    <s v="Manual Vacuum Pump"/>
    <n v="2124"/>
    <n v="2124"/>
    <s v="Approved"/>
    <s v="11-04-2025"/>
    <x v="14"/>
  </r>
  <r>
    <s v="PO-011293"/>
    <x v="272"/>
    <x v="259"/>
    <s v="Small Glass Container with Basket with Lid"/>
    <n v="92588"/>
    <n v="92588"/>
    <s v="Approved"/>
    <s v="11-04-2025"/>
    <x v="14"/>
  </r>
  <r>
    <s v="PO-011293"/>
    <x v="273"/>
    <x v="260"/>
    <s v="Large Glass Container with Basket &amp; Divider with Lid"/>
    <n v="55938"/>
    <n v="55938"/>
    <s v="Approved"/>
    <s v="11-04-2025"/>
    <x v="14"/>
  </r>
  <r>
    <s v="PO-011293"/>
    <x v="135"/>
    <x v="131"/>
    <s v="Glass Cookware Set with Lid 2 Pack"/>
    <n v="9806"/>
    <n v="0"/>
    <s v="Approved"/>
    <s v="11-04-2025"/>
    <x v="14"/>
  </r>
  <r>
    <s v="PO-011297"/>
    <x v="100"/>
    <x v="100"/>
    <s v="Vacuum pump Manual"/>
    <n v="30304"/>
    <n v="30304"/>
    <s v="Closed"/>
    <s v="14-04-2025"/>
    <x v="24"/>
  </r>
  <r>
    <s v="PO-011297"/>
    <x v="101"/>
    <x v="101"/>
    <s v="PP vacuum container sq. 1500ml"/>
    <n v="54320"/>
    <n v="54320"/>
    <s v="Closed"/>
    <s v="14-04-2025"/>
    <x v="24"/>
  </r>
  <r>
    <s v="PO-011297"/>
    <x v="102"/>
    <x v="102"/>
    <s v="PP vacuum container rec. 600ml"/>
    <n v="57564"/>
    <n v="57564"/>
    <s v="Closed"/>
    <s v="14-04-2025"/>
    <x v="24"/>
  </r>
  <r>
    <s v="PO-011297"/>
    <x v="103"/>
    <x v="103"/>
    <s v="PP vacuum container rec. 1200ml"/>
    <n v="64184"/>
    <n v="64184"/>
    <s v="Closed"/>
    <s v="14-04-2025"/>
    <x v="24"/>
  </r>
  <r>
    <s v="PO-011297"/>
    <x v="104"/>
    <x v="104"/>
    <s v="PP vacuum container bowl 1000ml"/>
    <n v="44112"/>
    <n v="44112"/>
    <s v="Closed"/>
    <s v="14-04-2025"/>
    <x v="24"/>
  </r>
  <r>
    <s v="PO-011297"/>
    <x v="105"/>
    <x v="105"/>
    <s v="PP vacuum container bowl 2000ml"/>
    <n v="40488"/>
    <n v="40488"/>
    <s v="Closed"/>
    <s v="14-04-2025"/>
    <x v="24"/>
  </r>
  <r>
    <s v="PO-011302"/>
    <x v="243"/>
    <x v="230"/>
    <s v="Set 5 palloni gara match king"/>
    <n v="7"/>
    <n v="7"/>
    <s v="Closed"/>
    <s v="14-04-2025"/>
    <x v="9"/>
  </r>
  <r>
    <s v="PO-011312"/>
    <x v="228"/>
    <x v="215"/>
    <s v="Lid of glass storage vacuum rec. 800ml"/>
    <n v="25020"/>
    <n v="25020"/>
    <s v="Closed"/>
    <s v="14-04-2025"/>
    <x v="14"/>
  </r>
  <r>
    <s v="PO-011312"/>
    <x v="229"/>
    <x v="216"/>
    <s v="Lid of glass storage vacuum rec. 1500ml"/>
    <n v="20040"/>
    <n v="20040"/>
    <s v="Closed"/>
    <s v="14-04-2025"/>
    <x v="14"/>
  </r>
  <r>
    <s v="PO-011312"/>
    <x v="230"/>
    <x v="217"/>
    <s v="Lid of glass storage vacuum rec. 2600ml"/>
    <n v="30000"/>
    <n v="30000"/>
    <s v="Closed"/>
    <s v="14-04-2025"/>
    <x v="14"/>
  </r>
  <r>
    <s v="PO-011312"/>
    <x v="262"/>
    <x v="249"/>
    <s v="Vacuum pump - Manual"/>
    <n v="16000"/>
    <n v="16000"/>
    <s v="Closed"/>
    <s v="14-04-2025"/>
    <x v="14"/>
  </r>
  <r>
    <s v="PO-011315"/>
    <x v="93"/>
    <x v="93"/>
    <s v="PKP 18 E Glue Gun"/>
    <n v="2560"/>
    <n v="2560"/>
    <s v="Closed"/>
    <s v="15-04-2025"/>
    <x v="22"/>
  </r>
  <r>
    <s v="PO-011315"/>
    <x v="94"/>
    <x v="94"/>
    <s v="13-in-1 Multitool"/>
    <n v="2154"/>
    <n v="2154"/>
    <s v="Closed"/>
    <s v="15-04-2025"/>
    <x v="22"/>
  </r>
  <r>
    <s v="PO-011315"/>
    <x v="161"/>
    <x v="155"/>
    <s v="Multi-purpose scissors"/>
    <n v="10710"/>
    <n v="10710"/>
    <s v="Closed"/>
    <s v="15-04-2025"/>
    <x v="22"/>
  </r>
  <r>
    <s v="PO-011315"/>
    <x v="274"/>
    <x v="261"/>
    <s v="Head lamp"/>
    <n v="16704"/>
    <n v="16704"/>
    <s v="Closed"/>
    <s v="15-04-2025"/>
    <x v="22"/>
  </r>
  <r>
    <s v="PO-011316"/>
    <x v="228"/>
    <x v="215"/>
    <s v="Lid of glass storage vacuum rec. 800ml"/>
    <n v="25020"/>
    <n v="25020"/>
    <s v="Closed"/>
    <s v="15-04-2025"/>
    <x v="14"/>
  </r>
  <r>
    <s v="PO-011316"/>
    <x v="229"/>
    <x v="216"/>
    <s v="Lid of glass storage vacuum rec. 1500ml"/>
    <n v="25020"/>
    <n v="25020"/>
    <s v="Closed"/>
    <s v="15-04-2025"/>
    <x v="14"/>
  </r>
  <r>
    <s v="PO-011316"/>
    <x v="230"/>
    <x v="217"/>
    <s v="Lid of glass storage vacuum rec. 2600ml"/>
    <n v="25000"/>
    <n v="25000"/>
    <s v="Closed"/>
    <s v="15-04-2025"/>
    <x v="14"/>
  </r>
  <r>
    <s v="PO-011316"/>
    <x v="262"/>
    <x v="249"/>
    <s v="Vacuum pump - Manual"/>
    <n v="36968"/>
    <n v="36968"/>
    <s v="Closed"/>
    <s v="15-04-2025"/>
    <x v="14"/>
  </r>
  <r>
    <s v="PO-011317"/>
    <x v="228"/>
    <x v="215"/>
    <s v="Lid of glass storage vacuum rec. 800ml"/>
    <n v="30060"/>
    <n v="30060"/>
    <s v="Closed"/>
    <s v="15-04-2025"/>
    <x v="14"/>
  </r>
  <r>
    <s v="PO-011317"/>
    <x v="229"/>
    <x v="216"/>
    <s v="Lid of glass storage vacuum rec. 1500ml"/>
    <n v="13020"/>
    <n v="13020"/>
    <s v="Closed"/>
    <s v="15-04-2025"/>
    <x v="14"/>
  </r>
  <r>
    <s v="PO-011318"/>
    <x v="257"/>
    <x v="244"/>
    <s v="Lid of glass storage vacuum rnd 600ml"/>
    <n v="5040"/>
    <n v="5040"/>
    <s v="Closed"/>
    <s v="15-04-2025"/>
    <x v="14"/>
  </r>
  <r>
    <s v="PO-011318"/>
    <x v="228"/>
    <x v="215"/>
    <s v="Lid of glass storage vacuum rec. 800ml"/>
    <n v="33480"/>
    <n v="33480"/>
    <s v="Closed"/>
    <s v="15-04-2025"/>
    <x v="14"/>
  </r>
  <r>
    <s v="PO-011318"/>
    <x v="230"/>
    <x v="217"/>
    <s v="Lid of glass storage vacuum rec. 2600ml"/>
    <n v="10000"/>
    <n v="10000"/>
    <s v="Closed"/>
    <s v="15-04-2025"/>
    <x v="14"/>
  </r>
  <r>
    <s v="PO-011315"/>
    <x v="95"/>
    <x v="95"/>
    <s v="UniversalBrush"/>
    <n v="480"/>
    <n v="480"/>
    <s v="Closed"/>
    <s v="15-04-2025"/>
    <x v="22"/>
  </r>
  <r>
    <s v="PO-011319"/>
    <x v="219"/>
    <x v="206"/>
    <s v="Disney Xmas Wreath"/>
    <n v="1680128"/>
    <n v="1680128"/>
    <s v="Closed"/>
    <s v="15-04-2025"/>
    <x v="59"/>
  </r>
  <r>
    <s v="PO-011320"/>
    <x v="87"/>
    <x v="87"/>
    <s v="Rectangular dish 36cm"/>
    <n v="15000"/>
    <n v="15000"/>
    <s v="Closed"/>
    <s v="15-04-2025"/>
    <x v="20"/>
  </r>
  <r>
    <s v="PO-011329"/>
    <x v="275"/>
    <x v="262"/>
    <s v="Bowl 15cm 2pc set"/>
    <n v="13824"/>
    <n v="13824"/>
    <s v="Closed"/>
    <s v="15-04-2025"/>
    <x v="1"/>
  </r>
  <r>
    <s v="PO-011329"/>
    <x v="276"/>
    <x v="263"/>
    <s v="Salad bowl 23cm"/>
    <n v="4608"/>
    <n v="4608"/>
    <s v="Closed"/>
    <s v="15-04-2025"/>
    <x v="1"/>
  </r>
  <r>
    <s v="PO-011329"/>
    <x v="277"/>
    <x v="264"/>
    <s v="Serving dish 30cm"/>
    <n v="3384"/>
    <n v="3384"/>
    <s v="Closed"/>
    <s v="15-04-2025"/>
    <x v="1"/>
  </r>
  <r>
    <s v="PO-011329"/>
    <x v="278"/>
    <x v="265"/>
    <s v="Oven dish large"/>
    <n v="2640"/>
    <n v="3840"/>
    <s v="Closed"/>
    <s v="15-04-2025"/>
    <x v="1"/>
  </r>
  <r>
    <s v="PO-011329"/>
    <x v="279"/>
    <x v="266"/>
    <s v="Oven dish medium"/>
    <n v="3264"/>
    <n v="3264"/>
    <s v="Closed"/>
    <s v="15-04-2025"/>
    <x v="1"/>
  </r>
  <r>
    <s v="PO-011331"/>
    <x v="275"/>
    <x v="262"/>
    <s v="Bowl 15cm 2pc set"/>
    <n v="11880"/>
    <n v="11880"/>
    <s v="Closed"/>
    <s v="15-04-2025"/>
    <x v="1"/>
  </r>
  <r>
    <s v="PO-011331"/>
    <x v="276"/>
    <x v="263"/>
    <s v="Salad bowl 23cm"/>
    <n v="1248"/>
    <n v="1248"/>
    <s v="Closed"/>
    <s v="15-04-2025"/>
    <x v="1"/>
  </r>
  <r>
    <s v="PO-011331"/>
    <x v="277"/>
    <x v="264"/>
    <s v="Serving dish 30cm"/>
    <n v="1980"/>
    <n v="1980"/>
    <s v="Closed"/>
    <s v="15-04-2025"/>
    <x v="1"/>
  </r>
  <r>
    <s v="PO-011331"/>
    <x v="278"/>
    <x v="265"/>
    <s v="Oven dish large"/>
    <n v="1280"/>
    <n v="0"/>
    <s v="Closed"/>
    <s v="15-04-2025"/>
    <x v="1"/>
  </r>
  <r>
    <s v="PO-011331"/>
    <x v="279"/>
    <x v="266"/>
    <s v="Oven dish medium"/>
    <n v="720"/>
    <n v="720"/>
    <s v="Closed"/>
    <s v="15-04-2025"/>
    <x v="1"/>
  </r>
  <r>
    <s v="PO-011337"/>
    <x v="87"/>
    <x v="87"/>
    <s v="Rectangular dish 36cm"/>
    <n v="15000"/>
    <n v="10920"/>
    <s v="Closed"/>
    <s v="16-04-2025"/>
    <x v="20"/>
  </r>
  <r>
    <s v="PO-011339"/>
    <x v="161"/>
    <x v="155"/>
    <s v="Multi-purpose scissors"/>
    <n v="15120"/>
    <n v="0"/>
    <s v="Closed"/>
    <s v="16-04-2025"/>
    <x v="22"/>
  </r>
  <r>
    <s v="PO-011342"/>
    <x v="280"/>
    <x v="98"/>
    <s v="Santoku Knife"/>
    <n v="11622"/>
    <n v="11622"/>
    <s v="Closed"/>
    <s v="17-04-2025"/>
    <x v="16"/>
  </r>
  <r>
    <s v="PO-011342"/>
    <x v="281"/>
    <x v="267"/>
    <s v="Universal Kitchen scissors"/>
    <n v="2946"/>
    <n v="2946"/>
    <s v="Closed"/>
    <s v="17-04-2025"/>
    <x v="16"/>
  </r>
  <r>
    <s v="PO-011342"/>
    <x v="282"/>
    <x v="73"/>
    <s v="Sharpener"/>
    <n v="6630"/>
    <n v="6630"/>
    <s v="Closed"/>
    <s v="17-04-2025"/>
    <x v="16"/>
  </r>
  <r>
    <s v="PO-011342"/>
    <x v="283"/>
    <x v="99"/>
    <s v="Chef's Knife"/>
    <n v="3486"/>
    <n v="3486"/>
    <s v="Closed"/>
    <s v="17-04-2025"/>
    <x v="16"/>
  </r>
  <r>
    <s v="PO-011346"/>
    <x v="2"/>
    <x v="2"/>
    <s v="Pie dish"/>
    <n v="16372"/>
    <n v="16372"/>
    <s v="Closed"/>
    <s v="18-04-2025"/>
    <x v="20"/>
  </r>
  <r>
    <s v="PO-011346"/>
    <x v="284"/>
    <x v="268"/>
    <s v="Rectangular dish 30 cm"/>
    <n v="14248"/>
    <n v="14248"/>
    <s v="Closed"/>
    <s v="18-04-2025"/>
    <x v="20"/>
  </r>
  <r>
    <s v="PO-011346"/>
    <x v="1"/>
    <x v="1"/>
    <s v="Oval Dish"/>
    <n v="10000"/>
    <n v="10000"/>
    <s v="Closed"/>
    <s v="18-04-2025"/>
    <x v="20"/>
  </r>
  <r>
    <s v="PO-011360"/>
    <x v="285"/>
    <x v="269"/>
    <s v="Ramekin 10cm set/2"/>
    <n v="2016"/>
    <n v="2016"/>
    <s v="Closed"/>
    <s v="22-04-2025"/>
    <x v="1"/>
  </r>
  <r>
    <s v="PO-011361"/>
    <x v="120"/>
    <x v="119"/>
    <s v="Paring knife"/>
    <n v="15000"/>
    <n v="15000"/>
    <s v="Closed"/>
    <s v="22-04-2025"/>
    <x v="16"/>
  </r>
  <r>
    <s v="PO-011361"/>
    <x v="121"/>
    <x v="120"/>
    <s v="Utility knife"/>
    <n v="9000"/>
    <n v="9000"/>
    <s v="Closed"/>
    <s v="22-04-2025"/>
    <x v="16"/>
  </r>
  <r>
    <s v="PO-011361"/>
    <x v="122"/>
    <x v="121"/>
    <s v="Bread knife"/>
    <n v="10002"/>
    <n v="10002"/>
    <s v="Closed"/>
    <s v="22-04-2025"/>
    <x v="16"/>
  </r>
  <r>
    <s v="PO-011361"/>
    <x v="123"/>
    <x v="122"/>
    <s v="Slicing knife"/>
    <n v="16002"/>
    <n v="16002"/>
    <s v="Closed"/>
    <s v="22-04-2025"/>
    <x v="16"/>
  </r>
  <r>
    <s v="PO-011361"/>
    <x v="124"/>
    <x v="98"/>
    <s v="Santoku knife"/>
    <n v="25002"/>
    <n v="25002"/>
    <s v="Closed"/>
    <s v="22-04-2025"/>
    <x v="16"/>
  </r>
  <r>
    <s v="PO-011361"/>
    <x v="125"/>
    <x v="99"/>
    <s v="Chef's knife"/>
    <n v="10002"/>
    <n v="10002"/>
    <s v="Closed"/>
    <s v="22-04-2025"/>
    <x v="16"/>
  </r>
  <r>
    <s v="PO-011361"/>
    <x v="73"/>
    <x v="73"/>
    <s v="Sharpener"/>
    <n v="6000"/>
    <n v="6000"/>
    <s v="Closed"/>
    <s v="22-04-2025"/>
    <x v="16"/>
  </r>
  <r>
    <s v="PO-011361"/>
    <x v="74"/>
    <x v="74"/>
    <s v="Kitchen Shears FSC"/>
    <n v="9000"/>
    <n v="9000"/>
    <s v="Closed"/>
    <s v="22-04-2025"/>
    <x v="16"/>
  </r>
  <r>
    <s v="PO-011364"/>
    <x v="262"/>
    <x v="249"/>
    <s v="Vacuum pump - Manual"/>
    <n v="50000"/>
    <n v="50000"/>
    <s v="Closed"/>
    <s v="23-04-2025"/>
    <x v="14"/>
  </r>
  <r>
    <s v="PO-011365"/>
    <x v="262"/>
    <x v="249"/>
    <s v="Vacuum pump - Manual"/>
    <n v="40000"/>
    <n v="40000"/>
    <s v="Closed"/>
    <s v="23-04-2025"/>
    <x v="14"/>
  </r>
  <r>
    <s v="PO-011369"/>
    <x v="286"/>
    <x v="270"/>
    <s v="Chef knife 20 cm - Acacia"/>
    <n v="33840"/>
    <n v="33840"/>
    <s v="Closed"/>
    <s v="24-04-2025"/>
    <x v="16"/>
  </r>
  <r>
    <s v="PO-011369"/>
    <x v="287"/>
    <x v="271"/>
    <s v="Santoku knife 12,5 cm - Acacia"/>
    <n v="35640"/>
    <n v="35640"/>
    <s v="Closed"/>
    <s v="24-04-2025"/>
    <x v="16"/>
  </r>
  <r>
    <s v="PO-011369"/>
    <x v="288"/>
    <x v="272"/>
    <s v="Cutting board - Acacia wood"/>
    <n v="6400"/>
    <n v="6400"/>
    <s v="Closed"/>
    <s v="24-04-2025"/>
    <x v="16"/>
  </r>
  <r>
    <s v="PO-011369"/>
    <x v="289"/>
    <x v="273"/>
    <s v="Carving knife 20 cm - Acacia"/>
    <n v="14400"/>
    <n v="14400"/>
    <s v="Closed"/>
    <s v="24-04-2025"/>
    <x v="16"/>
  </r>
  <r>
    <s v="PO-011369"/>
    <x v="290"/>
    <x v="274"/>
    <s v="Set of 2 steak knives 11.5 cm - Acacia"/>
    <n v="1728"/>
    <n v="1728"/>
    <s v="Closed"/>
    <s v="24-04-2025"/>
    <x v="16"/>
  </r>
  <r>
    <s v="PO-011369"/>
    <x v="291"/>
    <x v="275"/>
    <s v="Bread knife - Acacia"/>
    <n v="17280"/>
    <n v="17280"/>
    <s v="Closed"/>
    <s v="24-04-2025"/>
    <x v="16"/>
  </r>
  <r>
    <s v="PO-011369"/>
    <x v="292"/>
    <x v="276"/>
    <s v="Utility knife 12 cm - Acacia"/>
    <n v="13200"/>
    <n v="13200"/>
    <s v="Closed"/>
    <s v="24-04-2025"/>
    <x v="16"/>
  </r>
  <r>
    <s v="PO-011371"/>
    <x v="286"/>
    <x v="270"/>
    <s v="Chef knife 20 cm - Acacia"/>
    <n v="19440"/>
    <n v="19440"/>
    <s v="Closed"/>
    <s v="24-04-2025"/>
    <x v="16"/>
  </r>
  <r>
    <s v="PO-011371"/>
    <x v="287"/>
    <x v="271"/>
    <s v="Santoku knife 12,5 cm - Acacia"/>
    <n v="7920"/>
    <n v="7920"/>
    <s v="Closed"/>
    <s v="24-04-2025"/>
    <x v="16"/>
  </r>
  <r>
    <s v="PO-011371"/>
    <x v="288"/>
    <x v="272"/>
    <s v="Cutting board - Acacia wood"/>
    <n v="1280"/>
    <n v="1280"/>
    <s v="Closed"/>
    <s v="24-04-2025"/>
    <x v="16"/>
  </r>
  <r>
    <s v="PO-011371"/>
    <x v="289"/>
    <x v="273"/>
    <s v="Carving knife 20 cm - Acacia"/>
    <n v="5040"/>
    <n v="5040"/>
    <s v="Closed"/>
    <s v="24-04-2025"/>
    <x v="16"/>
  </r>
  <r>
    <s v="PO-011371"/>
    <x v="291"/>
    <x v="275"/>
    <s v="Bread knife - Acacia"/>
    <n v="6480"/>
    <n v="6480"/>
    <s v="Closed"/>
    <s v="24-04-2025"/>
    <x v="16"/>
  </r>
  <r>
    <s v="PO-011374"/>
    <x v="179"/>
    <x v="75"/>
    <s v="Saucepan 16cm"/>
    <n v="2008"/>
    <n v="2008"/>
    <s v="Closed"/>
    <s v="26-04-2025"/>
    <x v="45"/>
  </r>
  <r>
    <s v="PO-011374"/>
    <x v="180"/>
    <x v="170"/>
    <s v="Casserole 20cm with silicone straining lid"/>
    <n v="6772"/>
    <n v="6772"/>
    <s v="Closed"/>
    <s v="26-04-2025"/>
    <x v="45"/>
  </r>
  <r>
    <s v="PO-011374"/>
    <x v="181"/>
    <x v="171"/>
    <s v="Casserole 24cm with silicone straining lid"/>
    <n v="2508"/>
    <n v="2508"/>
    <s v="Closed"/>
    <s v="26-04-2025"/>
    <x v="45"/>
  </r>
  <r>
    <s v="PO-011374"/>
    <x v="182"/>
    <x v="172"/>
    <s v="Open wok 28cm"/>
    <n v="6272"/>
    <n v="6272"/>
    <s v="Closed"/>
    <s v="26-04-2025"/>
    <x v="45"/>
  </r>
  <r>
    <s v="PO-011374"/>
    <x v="183"/>
    <x v="79"/>
    <s v="Frypan 20cm"/>
    <n v="3260"/>
    <n v="3260"/>
    <s v="Closed"/>
    <s v="26-04-2025"/>
    <x v="45"/>
  </r>
  <r>
    <s v="PO-011374"/>
    <x v="184"/>
    <x v="80"/>
    <s v="Frypan 24cm"/>
    <n v="4264"/>
    <n v="4264"/>
    <s v="Closed"/>
    <s v="26-04-2025"/>
    <x v="45"/>
  </r>
  <r>
    <s v="PO-011375"/>
    <x v="293"/>
    <x v="277"/>
    <s v="Knife block Greencut Acacia"/>
    <n v="10560"/>
    <n v="10560"/>
    <s v="Closed"/>
    <s v="25-04-2025"/>
    <x v="31"/>
  </r>
  <r>
    <s v="PO-011377"/>
    <x v="126"/>
    <x v="123"/>
    <s v="Thermal Food Flask"/>
    <n v="8004"/>
    <n v="8004"/>
    <s v="Closed"/>
    <s v="28-04-2025"/>
    <x v="31"/>
  </r>
  <r>
    <s v="PO-011318"/>
    <x v="229"/>
    <x v="216"/>
    <s v="Lid of glass storage vacuum rec. 1500ml"/>
    <n v="14520"/>
    <n v="14520"/>
    <s v="Closed"/>
    <s v="15-04-2025"/>
    <x v="14"/>
  </r>
  <r>
    <s v="PO-011386"/>
    <x v="257"/>
    <x v="244"/>
    <s v="Lid of glass storage vacuum rnd 600ml"/>
    <n v="36360"/>
    <n v="36360"/>
    <s v="Closed"/>
    <s v="28-04-2025"/>
    <x v="14"/>
  </r>
  <r>
    <s v="PO-011386"/>
    <x v="230"/>
    <x v="217"/>
    <s v="Lid of glass storage vacuum rec. 2600ml"/>
    <n v="55360"/>
    <n v="55360"/>
    <s v="Closed"/>
    <s v="28-04-2025"/>
    <x v="14"/>
  </r>
  <r>
    <s v="PO-011388"/>
    <x v="161"/>
    <x v="155"/>
    <s v="Multi-purpose scissors"/>
    <n v="3780"/>
    <n v="3780"/>
    <s v="Closed"/>
    <s v="29-04-2025"/>
    <x v="22"/>
  </r>
  <r>
    <s v="PO-011388"/>
    <x v="294"/>
    <x v="278"/>
    <s v="Easy Drill 1200 Lithium-ion cordless drill/driver"/>
    <n v="3600"/>
    <n v="3600"/>
    <s v="Closed"/>
    <s v="29-04-2025"/>
    <x v="22"/>
  </r>
  <r>
    <s v="PO-011389"/>
    <x v="17"/>
    <x v="17"/>
    <s v="Bacheca/pannello fondo sughero"/>
    <n v="1"/>
    <n v="1"/>
    <s v="Closed"/>
    <s v="29-04-2025"/>
    <x v="5"/>
  </r>
  <r>
    <s v="PO-011389"/>
    <x v="295"/>
    <x v="279"/>
    <s v="Lavagna magnetica cancellabile"/>
    <n v="1"/>
    <n v="1"/>
    <s v="Closed"/>
    <s v="29-04-2025"/>
    <x v="5"/>
  </r>
  <r>
    <s v="PO-011389"/>
    <x v="14"/>
    <x v="14"/>
    <s v="Set 12 corde per saltare"/>
    <n v="1"/>
    <n v="1"/>
    <s v="Closed"/>
    <s v="29-04-2025"/>
    <x v="5"/>
  </r>
  <r>
    <s v="PO-011389"/>
    <x v="235"/>
    <x v="222"/>
    <s v="Set 4 lavagne magnetiche calcio per coach"/>
    <n v="1"/>
    <n v="1"/>
    <s v="Closed"/>
    <s v="29-04-2025"/>
    <x v="5"/>
  </r>
  <r>
    <s v="PO-011389"/>
    <x v="16"/>
    <x v="16"/>
    <s v="Set 6 ghiaccio spray"/>
    <n v="1"/>
    <n v="1"/>
    <s v="Closed"/>
    <s v="29-04-2025"/>
    <x v="5"/>
  </r>
  <r>
    <s v="PO-011390"/>
    <x v="33"/>
    <x v="33"/>
    <s v="Set 10 casacche Double"/>
    <n v="2"/>
    <n v="2"/>
    <s v="Closed"/>
    <s v="29-04-2025"/>
    <x v="9"/>
  </r>
  <r>
    <s v="PO-011390"/>
    <x v="32"/>
    <x v="32"/>
    <s v="Set 10 casacche Pro allenamento"/>
    <n v="4"/>
    <n v="4"/>
    <s v="Closed"/>
    <s v="29-04-2025"/>
    <x v="9"/>
  </r>
  <r>
    <s v="PO-011390"/>
    <x v="296"/>
    <x v="280"/>
    <s v="Set 10 t-shirt capo"/>
    <n v="1"/>
    <n v="1"/>
    <s v="Closed"/>
    <s v="29-04-2025"/>
    <x v="9"/>
  </r>
  <r>
    <s v="PO-011390"/>
    <x v="28"/>
    <x v="28"/>
    <s v="Set 5 palloni Academy School, mis. 5 da allenamento"/>
    <n v="4"/>
    <n v="4"/>
    <s v="Closed"/>
    <s v="29-04-2025"/>
    <x v="9"/>
  </r>
  <r>
    <s v="PO-011390"/>
    <x v="243"/>
    <x v="230"/>
    <s v="Set 5 palloni gara match king"/>
    <n v="3"/>
    <n v="3"/>
    <s v="Closed"/>
    <s v="29-04-2025"/>
    <x v="9"/>
  </r>
  <r>
    <s v="PO-011398"/>
    <x v="42"/>
    <x v="42"/>
    <s v="Polsiere / cavigliere regolabili"/>
    <n v="1"/>
    <n v="1"/>
    <s v="Closed"/>
    <s v="29-04-2025"/>
    <x v="12"/>
  </r>
  <r>
    <s v="PO-011399"/>
    <x v="54"/>
    <x v="54"/>
    <s v="Cono"/>
    <n v="3"/>
    <n v="3"/>
    <s v="Closed"/>
    <s v="29-04-2025"/>
    <x v="13"/>
  </r>
  <r>
    <s v="PO-011399"/>
    <x v="252"/>
    <x v="239"/>
    <s v="Rete da minivolley"/>
    <n v="1"/>
    <n v="1"/>
    <s v="Closed"/>
    <s v="29-04-2025"/>
    <x v="13"/>
  </r>
  <r>
    <s v="PO-011399"/>
    <x v="297"/>
    <x v="281"/>
    <s v="Set 10 cerchi in pvc"/>
    <n v="1"/>
    <n v="1"/>
    <s v="Closed"/>
    <s v="29-04-2025"/>
    <x v="13"/>
  </r>
  <r>
    <s v="PO-011399"/>
    <x v="47"/>
    <x v="47"/>
    <s v="Set 2 aste guardialinee complete"/>
    <n v="1"/>
    <n v="1"/>
    <s v="Closed"/>
    <s v="29-04-2025"/>
    <x v="13"/>
  </r>
  <r>
    <s v="PO-011399"/>
    <x v="59"/>
    <x v="59"/>
    <s v="Set 6 borracce"/>
    <n v="1"/>
    <n v="1"/>
    <s v="Closed"/>
    <s v="29-04-2025"/>
    <x v="13"/>
  </r>
  <r>
    <s v="PO-011399"/>
    <x v="55"/>
    <x v="55"/>
    <s v="Set di 48 delimitatori"/>
    <n v="9"/>
    <n v="9"/>
    <s v="Closed"/>
    <s v="29-04-2025"/>
    <x v="13"/>
  </r>
  <r>
    <s v="PO-011391"/>
    <x v="38"/>
    <x v="38"/>
    <s v="Set 3 pantaloncini donna blu s-m-l"/>
    <n v="2"/>
    <n v="2"/>
    <s v="Closed"/>
    <s v="29-04-2025"/>
    <x v="11"/>
  </r>
  <r>
    <s v="PO-011403"/>
    <x v="298"/>
    <x v="282"/>
    <s v="Fresh Paring Knife"/>
    <n v="390"/>
    <n v="390"/>
    <s v="Closed"/>
    <s v="06-05-2025"/>
    <x v="16"/>
  </r>
  <r>
    <s v="PO-011403"/>
    <x v="299"/>
    <x v="98"/>
    <s v="Santoku knife"/>
    <n v="390"/>
    <n v="390"/>
    <s v="Closed"/>
    <s v="06-05-2025"/>
    <x v="16"/>
  </r>
  <r>
    <s v="PO-011403"/>
    <x v="300"/>
    <x v="283"/>
    <s v="Chef Knife"/>
    <n v="390"/>
    <n v="390"/>
    <s v="Closed"/>
    <s v="06-05-2025"/>
    <x v="16"/>
  </r>
  <r>
    <s v="PO-011388"/>
    <x v="95"/>
    <x v="95"/>
    <s v="UniversalBrush"/>
    <n v="1280"/>
    <n v="1280"/>
    <s v="Closed"/>
    <s v="29-04-2025"/>
    <x v="22"/>
  </r>
  <r>
    <s v="PO-011388"/>
    <x v="96"/>
    <x v="96"/>
    <s v="IXO7"/>
    <n v="2128"/>
    <n v="2128"/>
    <s v="Closed"/>
    <s v="29-04-2025"/>
    <x v="22"/>
  </r>
  <r>
    <s v="PO-011403"/>
    <x v="301"/>
    <x v="284"/>
    <s v="Small Santoku Knife"/>
    <n v="390"/>
    <n v="390"/>
    <s v="Closed"/>
    <s v="06-05-2025"/>
    <x v="16"/>
  </r>
  <r>
    <s v="PO-011407"/>
    <x v="302"/>
    <x v="285"/>
    <s v="Square tray 1L"/>
    <n v="326250"/>
    <n v="326250"/>
    <s v="Closed"/>
    <s v="07-05-2025"/>
    <x v="60"/>
  </r>
  <r>
    <s v="PO-011407"/>
    <x v="303"/>
    <x v="286"/>
    <s v="Rectangular tray 2L ( 32 x 20 x 5 cm )"/>
    <n v="195840"/>
    <n v="195840"/>
    <s v="Closed"/>
    <s v="07-05-2025"/>
    <x v="60"/>
  </r>
  <r>
    <s v="PO-011407"/>
    <x v="304"/>
    <x v="287"/>
    <s v="Rectangular tray 3,6L ( 39 x 24 x 6 cm )"/>
    <n v="235392"/>
    <n v="235392"/>
    <s v="Closed"/>
    <s v="07-05-2025"/>
    <x v="60"/>
  </r>
  <r>
    <s v="PO-011408"/>
    <x v="305"/>
    <x v="288"/>
    <s v="Mixing Bowl"/>
    <n v="16560"/>
    <n v="16560"/>
    <s v="Closed"/>
    <s v="07-05-2025"/>
    <x v="61"/>
  </r>
  <r>
    <s v="PO-011409"/>
    <x v="306"/>
    <x v="289"/>
    <s v="Cast Iron Grill Pan"/>
    <n v="27804"/>
    <n v="27804"/>
    <s v="Closed"/>
    <s v="07-05-2025"/>
    <x v="62"/>
  </r>
  <r>
    <s v="PO-011409"/>
    <x v="307"/>
    <x v="290"/>
    <s v="Cast Iron Casserole (24cm)"/>
    <n v="32088"/>
    <n v="32088"/>
    <s v="Closed"/>
    <s v="07-05-2025"/>
    <x v="62"/>
  </r>
  <r>
    <s v="PO-011410"/>
    <x v="305"/>
    <x v="288"/>
    <s v="Mixing Bowl"/>
    <n v="38436"/>
    <n v="38436"/>
    <s v="Closed"/>
    <s v="07-05-2025"/>
    <x v="61"/>
  </r>
  <r>
    <s v="PO-011411"/>
    <x v="306"/>
    <x v="289"/>
    <s v="Cast Iron Grill Pan"/>
    <n v="28224"/>
    <n v="28224"/>
    <s v="Closed"/>
    <s v="07-05-2025"/>
    <x v="62"/>
  </r>
  <r>
    <s v="PO-011411"/>
    <x v="307"/>
    <x v="290"/>
    <s v="Cast Iron Casserole (24cm)"/>
    <n v="32088"/>
    <n v="32088"/>
    <s v="Closed"/>
    <s v="07-05-2025"/>
    <x v="62"/>
  </r>
  <r>
    <s v="PO-011414"/>
    <x v="2"/>
    <x v="2"/>
    <s v="Pie dish"/>
    <n v="17840"/>
    <n v="17840"/>
    <s v="Closed"/>
    <s v="08-05-2025"/>
    <x v="20"/>
  </r>
  <r>
    <s v="PO-011433"/>
    <x v="308"/>
    <x v="291"/>
    <s v="Casserole with lid 16cm"/>
    <n v="10000"/>
    <n v="10000"/>
    <s v="Closed"/>
    <s v="15-05-2025"/>
    <x v="17"/>
  </r>
  <r>
    <s v="PO-011433"/>
    <x v="309"/>
    <x v="80"/>
    <s v="frypan 24cm"/>
    <n v="13000"/>
    <n v="13000"/>
    <s v="Closed"/>
    <s v="15-05-2025"/>
    <x v="17"/>
  </r>
  <r>
    <s v="PO-011434"/>
    <x v="310"/>
    <x v="292"/>
    <s v="Rubberwood Block (6 slots)"/>
    <n v="3600"/>
    <n v="3600"/>
    <s v="Closed"/>
    <s v="15-05-2025"/>
    <x v="31"/>
  </r>
  <r>
    <s v="PO-011435"/>
    <x v="311"/>
    <x v="73"/>
    <s v="Sharpener"/>
    <n v="23004"/>
    <n v="23004"/>
    <s v="Closed"/>
    <s v="15-05-2025"/>
    <x v="16"/>
  </r>
  <r>
    <s v="PO-011437"/>
    <x v="305"/>
    <x v="288"/>
    <s v="Mixing Bowl"/>
    <n v="38640"/>
    <n v="38640"/>
    <s v="Closed"/>
    <s v="16-05-2025"/>
    <x v="61"/>
  </r>
  <r>
    <s v="PO-011438"/>
    <x v="305"/>
    <x v="288"/>
    <s v="Mixing Bowl"/>
    <n v="38640"/>
    <n v="38640"/>
    <s v="Closed"/>
    <s v="16-05-2025"/>
    <x v="61"/>
  </r>
  <r>
    <s v="PO-011439"/>
    <x v="305"/>
    <x v="288"/>
    <s v="Mixing Bowl"/>
    <n v="38640"/>
    <n v="38640"/>
    <s v="Closed"/>
    <s v="16-05-2025"/>
    <x v="61"/>
  </r>
  <r>
    <s v="PO-011440"/>
    <x v="305"/>
    <x v="288"/>
    <s v="Mixing Bowl"/>
    <n v="33120"/>
    <n v="33120"/>
    <s v="Closed"/>
    <s v="16-05-2025"/>
    <x v="61"/>
  </r>
  <r>
    <s v="PO-011441"/>
    <x v="305"/>
    <x v="288"/>
    <s v="Mixing Bowl"/>
    <n v="33120"/>
    <n v="33120"/>
    <s v="Closed"/>
    <s v="16-05-2025"/>
    <x v="61"/>
  </r>
  <r>
    <s v="PO-011442"/>
    <x v="305"/>
    <x v="288"/>
    <s v="Mixing Bowl"/>
    <n v="33120"/>
    <n v="33120"/>
    <s v="Closed"/>
    <s v="16-05-2025"/>
    <x v="61"/>
  </r>
  <r>
    <s v="PO-011443"/>
    <x v="305"/>
    <x v="288"/>
    <s v="Mixing Bowl"/>
    <n v="38640"/>
    <n v="38640"/>
    <s v="Closed"/>
    <s v="16-05-2025"/>
    <x v="61"/>
  </r>
  <r>
    <s v="PO-011444"/>
    <x v="305"/>
    <x v="288"/>
    <s v="Mixing Bowl"/>
    <n v="33120"/>
    <n v="33120"/>
    <s v="Closed"/>
    <s v="16-05-2025"/>
    <x v="61"/>
  </r>
  <r>
    <s v="PO-011445"/>
    <x v="306"/>
    <x v="289"/>
    <s v="Cast Iron Grill Pan"/>
    <n v="30576"/>
    <n v="30576"/>
    <s v="Closed"/>
    <s v="16-05-2025"/>
    <x v="62"/>
  </r>
  <r>
    <s v="PO-011445"/>
    <x v="307"/>
    <x v="290"/>
    <s v="Cast Iron Casserole (24cm)"/>
    <n v="32088"/>
    <n v="32088"/>
    <s v="Closed"/>
    <s v="16-05-2025"/>
    <x v="62"/>
  </r>
  <r>
    <s v="PO-011446"/>
    <x v="306"/>
    <x v="289"/>
    <s v="Cast Iron Grill Pan"/>
    <n v="30576"/>
    <n v="30576"/>
    <s v="Closed"/>
    <s v="16-05-2025"/>
    <x v="62"/>
  </r>
  <r>
    <s v="PO-011446"/>
    <x v="307"/>
    <x v="290"/>
    <s v="Cast Iron Casserole (24cm)"/>
    <n v="32088"/>
    <n v="32088"/>
    <s v="Closed"/>
    <s v="16-05-2025"/>
    <x v="62"/>
  </r>
  <r>
    <s v="PO-011447"/>
    <x v="306"/>
    <x v="289"/>
    <s v="Cast Iron Grill Pan"/>
    <n v="26208"/>
    <n v="26208"/>
    <s v="Closed"/>
    <s v="16-05-2025"/>
    <x v="62"/>
  </r>
  <r>
    <s v="PO-011447"/>
    <x v="307"/>
    <x v="290"/>
    <s v="Cast Iron Casserole (24cm)"/>
    <n v="27504"/>
    <n v="27504"/>
    <s v="Closed"/>
    <s v="16-05-2025"/>
    <x v="62"/>
  </r>
  <r>
    <s v="PO-011448"/>
    <x v="306"/>
    <x v="289"/>
    <s v="Cast Iron Grill Pan"/>
    <n v="22568"/>
    <n v="22568"/>
    <s v="Closed"/>
    <s v="16-05-2025"/>
    <x v="62"/>
  </r>
  <r>
    <s v="PO-011448"/>
    <x v="307"/>
    <x v="290"/>
    <s v="Cast Iron Casserole (24cm)"/>
    <n v="26880"/>
    <n v="26880"/>
    <s v="Closed"/>
    <s v="16-05-2025"/>
    <x v="62"/>
  </r>
  <r>
    <s v="PO-011449"/>
    <x v="306"/>
    <x v="289"/>
    <s v="Cast Iron Grill Pan"/>
    <n v="24528"/>
    <n v="24528"/>
    <s v="Closed"/>
    <s v="16-05-2025"/>
    <x v="62"/>
  </r>
  <r>
    <s v="PO-011449"/>
    <x v="307"/>
    <x v="290"/>
    <s v="Cast Iron Casserole (24cm)"/>
    <n v="26880"/>
    <n v="26880"/>
    <s v="Closed"/>
    <s v="16-05-2025"/>
    <x v="62"/>
  </r>
  <r>
    <s v="PO-011450"/>
    <x v="306"/>
    <x v="289"/>
    <s v="Cast Iron Grill Pan"/>
    <n v="24528"/>
    <n v="24528"/>
    <s v="Closed"/>
    <s v="16-05-2025"/>
    <x v="62"/>
  </r>
  <r>
    <s v="PO-011450"/>
    <x v="307"/>
    <x v="290"/>
    <s v="Cast Iron Casserole (24cm)"/>
    <n v="26880"/>
    <n v="26880"/>
    <s v="Closed"/>
    <s v="16-05-2025"/>
    <x v="62"/>
  </r>
  <r>
    <s v="PO-011451"/>
    <x v="306"/>
    <x v="289"/>
    <s v="Cast Iron Grill Pan"/>
    <n v="24528"/>
    <n v="24528"/>
    <s v="Closed"/>
    <s v="16-05-2025"/>
    <x v="62"/>
  </r>
  <r>
    <s v="PO-011451"/>
    <x v="307"/>
    <x v="290"/>
    <s v="Cast Iron Casserole (24cm)"/>
    <n v="26880"/>
    <n v="26880"/>
    <s v="Closed"/>
    <s v="16-05-2025"/>
    <x v="62"/>
  </r>
  <r>
    <s v="PO-011452"/>
    <x v="306"/>
    <x v="289"/>
    <s v="Cast Iron Grill Pan"/>
    <n v="25536"/>
    <n v="25536"/>
    <s v="Closed"/>
    <s v="16-05-2025"/>
    <x v="62"/>
  </r>
  <r>
    <s v="PO-011452"/>
    <x v="307"/>
    <x v="290"/>
    <s v="Cast Iron Casserole (24cm)"/>
    <n v="30720"/>
    <n v="30720"/>
    <s v="Closed"/>
    <s v="16-05-2025"/>
    <x v="62"/>
  </r>
  <r>
    <s v="PO-011457"/>
    <x v="68"/>
    <x v="68"/>
    <s v="Glass storage round M 820ml"/>
    <n v="1000"/>
    <n v="1000"/>
    <s v="Closed"/>
    <s v="20-05-2025"/>
    <x v="14"/>
  </r>
  <r>
    <s v="PO-011457"/>
    <x v="63"/>
    <x v="63"/>
    <s v="Glass storage rec. M 800ml"/>
    <n v="4000"/>
    <n v="4000"/>
    <s v="Closed"/>
    <s v="20-05-2025"/>
    <x v="14"/>
  </r>
  <r>
    <s v="PO-011457"/>
    <x v="62"/>
    <x v="62"/>
    <s v="Glass storage rec. S 470ml"/>
    <n v="15000"/>
    <n v="15000"/>
    <s v="Closed"/>
    <s v="20-05-2025"/>
    <x v="14"/>
  </r>
  <r>
    <s v="PO-011461"/>
    <x v="205"/>
    <x v="192"/>
    <s v="1M Monochrome Snoopy plush"/>
    <n v="1100"/>
    <n v="1100"/>
    <s v="Closed"/>
    <s v="21-05-2025"/>
    <x v="52"/>
  </r>
  <r>
    <s v="PO-011414"/>
    <x v="284"/>
    <x v="268"/>
    <s v="Rectangular dish 30 cm"/>
    <n v="11296"/>
    <n v="11296"/>
    <s v="Closed"/>
    <s v="08-05-2025"/>
    <x v="20"/>
  </r>
  <r>
    <s v="PO-011414"/>
    <x v="1"/>
    <x v="1"/>
    <s v="Oval Dish"/>
    <n v="4468"/>
    <n v="4468"/>
    <s v="Closed"/>
    <s v="08-05-2025"/>
    <x v="20"/>
  </r>
  <r>
    <s v="PO-011464"/>
    <x v="312"/>
    <x v="119"/>
    <s v="Paring Knife"/>
    <n v="60546"/>
    <n v="60546"/>
    <s v="Closed"/>
    <s v="22-05-2025"/>
    <x v="16"/>
  </r>
  <r>
    <s v="PO-011464"/>
    <x v="98"/>
    <x v="98"/>
    <s v="Santoku knife"/>
    <n v="116304"/>
    <n v="116304"/>
    <s v="Closed"/>
    <s v="22-05-2025"/>
    <x v="16"/>
  </r>
  <r>
    <s v="PO-011464"/>
    <x v="99"/>
    <x v="99"/>
    <s v="Chef's knife"/>
    <n v="59238"/>
    <n v="59238"/>
    <s v="Closed"/>
    <s v="22-05-2025"/>
    <x v="16"/>
  </r>
  <r>
    <s v="PO-011471"/>
    <x v="60"/>
    <x v="60"/>
    <s v="Carrello porta palloni"/>
    <n v="1"/>
    <n v="0"/>
    <s v="Approved"/>
    <s v="26-05-2025"/>
    <x v="13"/>
  </r>
  <r>
    <s v="PO-011476"/>
    <x v="147"/>
    <x v="143"/>
    <s v="Minecraft Tagz in flowpack"/>
    <n v="12753216"/>
    <n v="12753216"/>
    <s v="Closed"/>
    <s v="26-05-2025"/>
    <x v="2"/>
  </r>
  <r>
    <s v="PO-011478"/>
    <x v="313"/>
    <x v="293"/>
    <s v="Side plate 21cm - 2pcs"/>
    <n v="10866"/>
    <n v="2802"/>
    <s v="Closed"/>
    <s v="27-05-2025"/>
    <x v="1"/>
  </r>
  <r>
    <s v="PO-011478"/>
    <x v="314"/>
    <x v="294"/>
    <s v="Pasta plate 23cm - 2pcs"/>
    <n v="8232"/>
    <n v="8232"/>
    <s v="Closed"/>
    <s v="27-05-2025"/>
    <x v="1"/>
  </r>
  <r>
    <s v="PO-011477"/>
    <x v="301"/>
    <x v="284"/>
    <s v="Small Santoku Knife"/>
    <n v="4800"/>
    <n v="4800"/>
    <s v="Closed"/>
    <s v="27-05-2025"/>
    <x v="16"/>
  </r>
  <r>
    <s v="PO-011477"/>
    <x v="300"/>
    <x v="283"/>
    <s v="Chef Knife"/>
    <n v="4800"/>
    <n v="4800"/>
    <s v="Closed"/>
    <s v="27-05-2025"/>
    <x v="16"/>
  </r>
  <r>
    <s v="PO-011481"/>
    <x v="138"/>
    <x v="134"/>
    <s v="Glasses - Iron Man"/>
    <n v="972"/>
    <n v="972"/>
    <s v="Closed"/>
    <s v="27-05-2025"/>
    <x v="34"/>
  </r>
  <r>
    <s v="PO-011483"/>
    <x v="315"/>
    <x v="295"/>
    <s v="PP CUTTING BOARD"/>
    <n v="4800"/>
    <n v="4800"/>
    <s v="Closed"/>
    <s v="27-05-2025"/>
    <x v="24"/>
  </r>
  <r>
    <s v="PO-011487"/>
    <x v="284"/>
    <x v="268"/>
    <s v="Rectangular dish 30 cm"/>
    <n v="30000"/>
    <n v="30000"/>
    <s v="Closed"/>
    <s v="28-05-2025"/>
    <x v="1"/>
  </r>
  <r>
    <s v="PO-011489"/>
    <x v="286"/>
    <x v="270"/>
    <s v="Chef knife 20 cm - Acacia"/>
    <n v="12960"/>
    <n v="12960"/>
    <s v="Closed"/>
    <s v="17-06-2025"/>
    <x v="16"/>
  </r>
  <r>
    <s v="PO-011489"/>
    <x v="287"/>
    <x v="271"/>
    <s v="Santoku knife 12,5 cm - Acacia"/>
    <n v="15840"/>
    <n v="15840"/>
    <s v="Closed"/>
    <s v="17-06-2025"/>
    <x v="16"/>
  </r>
  <r>
    <s v="PO-011489"/>
    <x v="288"/>
    <x v="272"/>
    <s v="Cutting board - Acacia wood"/>
    <n v="1600"/>
    <n v="1600"/>
    <s v="Closed"/>
    <s v="17-06-2025"/>
    <x v="16"/>
  </r>
  <r>
    <s v="PO-011489"/>
    <x v="289"/>
    <x v="273"/>
    <s v="Carving knife 20 cm - Acacia"/>
    <n v="5040"/>
    <n v="5040"/>
    <s v="Closed"/>
    <s v="17-06-2025"/>
    <x v="16"/>
  </r>
  <r>
    <s v="PO-011489"/>
    <x v="291"/>
    <x v="275"/>
    <s v="Bread knife - Acacia"/>
    <n v="4320"/>
    <n v="4320"/>
    <s v="Closed"/>
    <s v="17-06-2025"/>
    <x v="16"/>
  </r>
  <r>
    <s v="PO-011489"/>
    <x v="292"/>
    <x v="276"/>
    <s v="Utility knife 12 cm - Acacia"/>
    <n v="13200"/>
    <n v="13200"/>
    <s v="Closed"/>
    <s v="17-06-2025"/>
    <x v="16"/>
  </r>
  <r>
    <s v="PO-011490"/>
    <x v="293"/>
    <x v="277"/>
    <s v="Knife block Greencut Acacia"/>
    <n v="3200"/>
    <n v="3200"/>
    <s v="Closed"/>
    <s v="28-05-2025"/>
    <x v="31"/>
  </r>
  <r>
    <s v="PO-011492"/>
    <x v="93"/>
    <x v="93"/>
    <s v="PKP 18 E Glue Gun"/>
    <n v="4800"/>
    <n v="4800"/>
    <s v="Closed"/>
    <s v="29-05-2025"/>
    <x v="22"/>
  </r>
  <r>
    <s v="PO-011492"/>
    <x v="161"/>
    <x v="155"/>
    <s v="Multi-purpose scissors"/>
    <n v="15120"/>
    <n v="15084"/>
    <s v="Closed"/>
    <s v="29-05-2025"/>
    <x v="22"/>
  </r>
  <r>
    <s v="PO-011502"/>
    <x v="316"/>
    <x v="296"/>
    <s v="Glass storage round S 270ml"/>
    <n v="2544"/>
    <n v="2544"/>
    <s v="Closed"/>
    <s v="03-06-2025"/>
    <x v="14"/>
  </r>
  <r>
    <s v="PO-011502"/>
    <x v="65"/>
    <x v="65"/>
    <s v="Glass storage round L 1500ml"/>
    <n v="3668"/>
    <n v="3668"/>
    <s v="Closed"/>
    <s v="03-06-2025"/>
    <x v="14"/>
  </r>
  <r>
    <s v="PO-011502"/>
    <x v="63"/>
    <x v="63"/>
    <s v="Glass storage rec. M 800ml"/>
    <n v="2516"/>
    <n v="2516"/>
    <s v="Closed"/>
    <s v="03-06-2025"/>
    <x v="14"/>
  </r>
  <r>
    <s v="PO-011502"/>
    <x v="62"/>
    <x v="62"/>
    <s v="Glass storage rec. S 470ml"/>
    <n v="3108"/>
    <n v="3108"/>
    <s v="Closed"/>
    <s v="03-06-2025"/>
    <x v="14"/>
  </r>
  <r>
    <s v="PO-011502"/>
    <x v="64"/>
    <x v="64"/>
    <s v="Glass storage rec. L 1380ml"/>
    <n v="2668"/>
    <n v="2668"/>
    <s v="Closed"/>
    <s v="03-06-2025"/>
    <x v="14"/>
  </r>
  <r>
    <s v="PO-011502"/>
    <x v="66"/>
    <x v="66"/>
    <s v="Glass storage rec. XL 2620ml"/>
    <n v="5360"/>
    <n v="5360"/>
    <s v="Closed"/>
    <s v="03-06-2025"/>
    <x v="14"/>
  </r>
  <r>
    <s v="PO-011505"/>
    <x v="317"/>
    <x v="297"/>
    <s v="Monopoly cardpack"/>
    <n v="50988000"/>
    <n v="60549599"/>
    <s v="Closed"/>
    <s v="03-06-2025"/>
    <x v="40"/>
  </r>
  <r>
    <s v="PO-011505"/>
    <x v="318"/>
    <x v="298"/>
    <s v="Monopoly cardpack_Version for Proxy stores"/>
    <n v="5013600"/>
    <n v="5013600"/>
    <s v="Closed"/>
    <s v="03-06-2025"/>
    <x v="40"/>
  </r>
  <r>
    <s v="PO-011502"/>
    <x v="67"/>
    <x v="67"/>
    <s v="Vacuum pump - Electrical"/>
    <n v="2544"/>
    <n v="2544"/>
    <s v="Closed"/>
    <s v="03-06-2025"/>
    <x v="14"/>
  </r>
  <r>
    <s v="PO-011506"/>
    <x v="68"/>
    <x v="68"/>
    <s v="Glass storage round M 820ml"/>
    <n v="3000"/>
    <n v="3000"/>
    <s v="Closed"/>
    <s v="03-06-2025"/>
    <x v="14"/>
  </r>
  <r>
    <s v="PO-011506"/>
    <x v="63"/>
    <x v="63"/>
    <s v="Glass storage rec. M 800ml"/>
    <n v="2000"/>
    <n v="2000"/>
    <s v="Closed"/>
    <s v="03-06-2025"/>
    <x v="14"/>
  </r>
  <r>
    <s v="PO-011506"/>
    <x v="64"/>
    <x v="64"/>
    <s v="Glass storage rec. L 1380ml"/>
    <n v="1000"/>
    <n v="1000"/>
    <s v="Closed"/>
    <s v="03-06-2025"/>
    <x v="14"/>
  </r>
  <r>
    <s v="PO-011643"/>
    <x v="319"/>
    <x v="299"/>
    <s v="Frypan 20 cm - light blue"/>
    <n v="1"/>
    <n v="0"/>
    <s v="Closed"/>
    <s v="04-06-2025"/>
    <x v="47"/>
  </r>
  <r>
    <s v="PO-011643"/>
    <x v="320"/>
    <x v="300"/>
    <s v="Frypan 24 cm - blue"/>
    <n v="1"/>
    <n v="0"/>
    <s v="Closed"/>
    <s v="04-06-2025"/>
    <x v="47"/>
  </r>
  <r>
    <s v="PO-011643"/>
    <x v="321"/>
    <x v="301"/>
    <s v="Wok 28 cm - dove grey"/>
    <n v="1"/>
    <n v="0"/>
    <s v="Closed"/>
    <s v="04-06-2025"/>
    <x v="47"/>
  </r>
  <r>
    <s v="PO-011643"/>
    <x v="322"/>
    <x v="302"/>
    <s v="Casserole 2 handles 24 cm - dove grey"/>
    <n v="1"/>
    <n v="0"/>
    <s v="Closed"/>
    <s v="04-06-2025"/>
    <x v="47"/>
  </r>
  <r>
    <s v="PO-011643"/>
    <x v="323"/>
    <x v="303"/>
    <s v="Skillet 32 cm - blue"/>
    <n v="1"/>
    <n v="0"/>
    <s v="Closed"/>
    <s v="04-06-2025"/>
    <x v="47"/>
  </r>
  <r>
    <s v="PO-011643"/>
    <x v="324"/>
    <x v="304"/>
    <s v="Milk pot 14 cm - light blue"/>
    <n v="1"/>
    <n v="0"/>
    <s v="Closed"/>
    <s v="04-06-2025"/>
    <x v="47"/>
  </r>
  <r>
    <s v="PO-011643"/>
    <x v="325"/>
    <x v="305"/>
    <s v="Tong - Domenica"/>
    <n v="1"/>
    <n v="0"/>
    <s v="Closed"/>
    <s v="04-06-2025"/>
    <x v="47"/>
  </r>
  <r>
    <s v="PO-011644"/>
    <x v="326"/>
    <x v="306"/>
    <s v="Set 72 pezzi scrittura Best Seller"/>
    <n v="1"/>
    <n v="1"/>
    <s v="Approved"/>
    <s v="04-06-2025"/>
    <x v="5"/>
  </r>
  <r>
    <s v="PO-011644"/>
    <x v="327"/>
    <x v="307"/>
    <s v="Set 100 pezzi scrittura ecologica"/>
    <n v="1"/>
    <n v="1"/>
    <s v="Approved"/>
    <s v="04-06-2025"/>
    <x v="5"/>
  </r>
  <r>
    <s v="PO-011644"/>
    <x v="328"/>
    <x v="308"/>
    <s v="Set 12 bottiglie tempere colori primari"/>
    <n v="4"/>
    <n v="4"/>
    <s v="Approved"/>
    <s v="04-06-2025"/>
    <x v="5"/>
  </r>
  <r>
    <s v="PO-011644"/>
    <x v="329"/>
    <x v="309"/>
    <s v="Valigetta Minabella"/>
    <n v="2"/>
    <n v="2"/>
    <s v="Approved"/>
    <s v="04-06-2025"/>
    <x v="5"/>
  </r>
  <r>
    <s v="PO-011644"/>
    <x v="330"/>
    <x v="310"/>
    <s v="Set 20 colle stick"/>
    <n v="11"/>
    <n v="11"/>
    <s v="Approved"/>
    <s v="04-06-2025"/>
    <x v="5"/>
  </r>
  <r>
    <s v="PO-011644"/>
    <x v="331"/>
    <x v="311"/>
    <s v="Cucitrice Lebez ad alti spessori"/>
    <n v="1"/>
    <n v="0"/>
    <s v="Approved"/>
    <s v="04-06-2025"/>
    <x v="5"/>
  </r>
  <r>
    <s v="PO-011644"/>
    <x v="332"/>
    <x v="312"/>
    <s v="Set pettorine 15 blu e 15 gialle"/>
    <n v="1"/>
    <n v="1"/>
    <s v="Approved"/>
    <s v="04-06-2025"/>
    <x v="5"/>
  </r>
  <r>
    <s v="PO-011644"/>
    <x v="333"/>
    <x v="313"/>
    <s v="Set 400 cartoncini colorati lisci"/>
    <n v="7"/>
    <n v="7"/>
    <s v="Approved"/>
    <s v="04-06-2025"/>
    <x v="5"/>
  </r>
  <r>
    <s v="PO-011644"/>
    <x v="334"/>
    <x v="314"/>
    <s v="Tennis tavolo"/>
    <n v="1"/>
    <n v="0"/>
    <s v="Approved"/>
    <s v="04-06-2025"/>
    <x v="5"/>
  </r>
  <r>
    <s v="PO-011649"/>
    <x v="321"/>
    <x v="301"/>
    <s v="Wok 28 cm - dove grey"/>
    <n v="15702"/>
    <n v="15702"/>
    <s v="Closed"/>
    <s v="05-06-2025"/>
    <x v="47"/>
  </r>
  <r>
    <s v="PO-011645"/>
    <x v="335"/>
    <x v="315"/>
    <s v="Plastificatrice Peach A3/A4"/>
    <n v="13"/>
    <n v="0"/>
    <s v="Closed"/>
    <s v="04-06-2025"/>
    <x v="63"/>
  </r>
  <r>
    <s v="PO-011645"/>
    <x v="336"/>
    <x v="316"/>
    <s v="Cuffia con microfono usb"/>
    <n v="4"/>
    <n v="0"/>
    <s v="Closed"/>
    <s v="04-06-2025"/>
    <x v="63"/>
  </r>
  <r>
    <s v="PO-011645"/>
    <x v="337"/>
    <x v="317"/>
    <s v="Cavo Hdmi Da 5 Mt"/>
    <n v="6"/>
    <n v="0"/>
    <s v="Closed"/>
    <s v="04-06-2025"/>
    <x v="63"/>
  </r>
  <r>
    <s v="PO-011645"/>
    <x v="338"/>
    <x v="318"/>
    <s v="100 pouches A4"/>
    <n v="1"/>
    <n v="0"/>
    <s v="Closed"/>
    <s v="04-06-2025"/>
    <x v="63"/>
  </r>
  <r>
    <s v="PO-011650"/>
    <x v="339"/>
    <x v="319"/>
    <s v="Pallino coding - 2 confezioni"/>
    <n v="5"/>
    <n v="5"/>
    <s v="Closed"/>
    <s v="05-06-2025"/>
    <x v="64"/>
  </r>
  <r>
    <s v="PO-011650"/>
    <x v="340"/>
    <x v="320"/>
    <s v="Set insiemistica"/>
    <n v="1"/>
    <n v="1"/>
    <s v="Closed"/>
    <s v="05-06-2025"/>
    <x v="64"/>
  </r>
  <r>
    <s v="PO-011651"/>
    <x v="341"/>
    <x v="321"/>
    <s v="Scanmarker Reader"/>
    <n v="1"/>
    <n v="1"/>
    <s v="Closed"/>
    <s v="05-06-2025"/>
    <x v="65"/>
  </r>
  <r>
    <s v="PO-011652"/>
    <x v="342"/>
    <x v="60"/>
    <s v="Carrello porta palloni"/>
    <n v="1"/>
    <n v="1"/>
    <s v="Closed"/>
    <s v="05-06-2025"/>
    <x v="6"/>
  </r>
  <r>
    <s v="PO-011652"/>
    <x v="343"/>
    <x v="322"/>
    <s v="Set timbrini dei giudizi"/>
    <n v="1"/>
    <n v="1"/>
    <s v="Closed"/>
    <s v="05-06-2025"/>
    <x v="6"/>
  </r>
  <r>
    <s v="PO-011652"/>
    <x v="344"/>
    <x v="323"/>
    <s v="Speaker portatile Usb"/>
    <n v="1"/>
    <n v="1"/>
    <s v="Closed"/>
    <s v="05-06-2025"/>
    <x v="6"/>
  </r>
  <r>
    <s v="PO-011652"/>
    <x v="345"/>
    <x v="324"/>
    <s v="Stampante HP Multifunzione Laser Bianco e Nero A4"/>
    <n v="1"/>
    <n v="1"/>
    <s v="Closed"/>
    <s v="05-06-2025"/>
    <x v="6"/>
  </r>
  <r>
    <s v="PO-011652"/>
    <x v="346"/>
    <x v="325"/>
    <s v="Amplificatore Da Cintura Karma"/>
    <n v="1"/>
    <n v="1"/>
    <s v="Closed"/>
    <s v="05-06-2025"/>
    <x v="6"/>
  </r>
  <r>
    <s v="PO-011652"/>
    <x v="347"/>
    <x v="326"/>
    <s v="Stampante Epson Inkjet Bianco e Nero Epson"/>
    <n v="1"/>
    <n v="1"/>
    <s v="Closed"/>
    <s v="05-06-2025"/>
    <x v="6"/>
  </r>
  <r>
    <s v="PO-011652"/>
    <x v="348"/>
    <x v="327"/>
    <s v="Notebook HP 11,6 Touch"/>
    <n v="1"/>
    <n v="1"/>
    <s v="Closed"/>
    <s v="05-06-2025"/>
    <x v="6"/>
  </r>
  <r>
    <s v="PO-011652"/>
    <x v="349"/>
    <x v="328"/>
    <s v="Notebook Acer 15.6 Intel Core i5"/>
    <n v="1"/>
    <n v="1"/>
    <s v="Closed"/>
    <s v="05-06-2025"/>
    <x v="6"/>
  </r>
  <r>
    <s v="PO-011652"/>
    <x v="350"/>
    <x v="329"/>
    <s v="Masterizzatore e Lettore Dvd Portatile HP"/>
    <n v="1"/>
    <n v="1"/>
    <s v="Closed"/>
    <s v="05-06-2025"/>
    <x v="6"/>
  </r>
  <r>
    <s v="PO-011653"/>
    <x v="351"/>
    <x v="330"/>
    <s v="Notebook HP 15,6 Intel Core i3"/>
    <n v="5"/>
    <n v="5"/>
    <s v="Closed"/>
    <s v="05-06-2025"/>
    <x v="66"/>
  </r>
  <r>
    <s v="PO-011653"/>
    <x v="352"/>
    <x v="331"/>
    <s v="Casse acustiche da 100W"/>
    <n v="1"/>
    <n v="1"/>
    <s v="Closed"/>
    <s v="05-06-2025"/>
    <x v="66"/>
  </r>
  <r>
    <s v="PO-011653"/>
    <x v="353"/>
    <x v="332"/>
    <s v="Lego education - BRICQ Motion Prime"/>
    <n v="1"/>
    <n v="1"/>
    <s v="Closed"/>
    <s v="05-06-2025"/>
    <x v="66"/>
  </r>
  <r>
    <s v="PO-011653"/>
    <x v="354"/>
    <x v="333"/>
    <s v="Tastiera per disabili"/>
    <n v="1"/>
    <n v="1"/>
    <s v="Closed"/>
    <s v="05-06-2025"/>
    <x v="66"/>
  </r>
  <r>
    <s v="PO-011653"/>
    <x v="355"/>
    <x v="334"/>
    <s v="Carrello per monitor"/>
    <n v="2"/>
    <n v="2"/>
    <s v="Closed"/>
    <s v="05-06-2025"/>
    <x v="66"/>
  </r>
  <r>
    <s v="PO-011654"/>
    <x v="356"/>
    <x v="335"/>
    <s v="Armadio 2 ante con pannello ecologico"/>
    <n v="1"/>
    <n v="1"/>
    <s v="Closed"/>
    <s v="05-06-2025"/>
    <x v="67"/>
  </r>
  <r>
    <s v="PO-011654"/>
    <x v="357"/>
    <x v="336"/>
    <s v="Armadio 9 vani con pannello ecologico"/>
    <n v="3"/>
    <n v="3"/>
    <s v="Closed"/>
    <s v="05-06-2025"/>
    <x v="67"/>
  </r>
  <r>
    <s v="PO-011654"/>
    <x v="358"/>
    <x v="337"/>
    <s v="Carrello per pittura con pannello ecologico"/>
    <n v="3"/>
    <n v="3"/>
    <s v="Closed"/>
    <s v="05-06-2025"/>
    <x v="67"/>
  </r>
  <r>
    <s v="PO-011654"/>
    <x v="359"/>
    <x v="338"/>
    <s v="Tastiera digitale 49 tasti"/>
    <n v="3"/>
    <n v="3"/>
    <s v="Closed"/>
    <s v="05-06-2025"/>
    <x v="67"/>
  </r>
  <r>
    <s v="PO-011654"/>
    <x v="360"/>
    <x v="339"/>
    <s v="Costruzioni colorate legno"/>
    <n v="1"/>
    <n v="1"/>
    <s v="Closed"/>
    <s v="05-06-2025"/>
    <x v="67"/>
  </r>
  <r>
    <s v="PO-011654"/>
    <x v="361"/>
    <x v="340"/>
    <s v="Set BS Toys"/>
    <n v="1"/>
    <n v="1"/>
    <s v="Closed"/>
    <s v="05-06-2025"/>
    <x v="67"/>
  </r>
  <r>
    <s v="PO-011654"/>
    <x v="362"/>
    <x v="341"/>
    <s v="Set 3 grandi sfide"/>
    <n v="1"/>
    <n v="1"/>
    <s v="Closed"/>
    <s v="05-06-2025"/>
    <x v="67"/>
  </r>
  <r>
    <s v="PO-011654"/>
    <x v="363"/>
    <x v="342"/>
    <s v="Tavolo pieghevole con pannello ecologico"/>
    <n v="2"/>
    <n v="2"/>
    <s v="Closed"/>
    <s v="05-06-2025"/>
    <x v="67"/>
  </r>
  <r>
    <s v="PO-011654"/>
    <x v="364"/>
    <x v="343"/>
    <s v="Carrello porta colori con pannello ecologico"/>
    <n v="6"/>
    <n v="6"/>
    <s v="Closed"/>
    <s v="05-06-2025"/>
    <x v="67"/>
  </r>
  <r>
    <s v="PO-011654"/>
    <x v="365"/>
    <x v="344"/>
    <s v="Cronometro in acciaio"/>
    <n v="1"/>
    <n v="1"/>
    <s v="Closed"/>
    <s v="05-06-2025"/>
    <x v="67"/>
  </r>
  <r>
    <s v="PO-011655"/>
    <x v="93"/>
    <x v="93"/>
    <s v="PKP 18 E Glue Gun"/>
    <n v="2560"/>
    <n v="2560"/>
    <s v="Closed"/>
    <s v="05-06-2025"/>
    <x v="22"/>
  </r>
  <r>
    <s v="PO-011682"/>
    <x v="179"/>
    <x v="75"/>
    <s v="Saucepan 16cm"/>
    <n v="1004"/>
    <n v="1004"/>
    <s v="Closed"/>
    <s v="09-06-2025"/>
    <x v="45"/>
  </r>
  <r>
    <s v="PO-011682"/>
    <x v="180"/>
    <x v="170"/>
    <s v="Casserole 20cm with silicone straining lid"/>
    <n v="3388"/>
    <n v="3388"/>
    <s v="Closed"/>
    <s v="09-06-2025"/>
    <x v="45"/>
  </r>
  <r>
    <s v="PO-011682"/>
    <x v="181"/>
    <x v="171"/>
    <s v="Casserole 24cm with silicone straining lid"/>
    <n v="1256"/>
    <n v="1264"/>
    <s v="Closed"/>
    <s v="09-06-2025"/>
    <x v="45"/>
  </r>
  <r>
    <s v="PO-011682"/>
    <x v="182"/>
    <x v="172"/>
    <s v="Open wok 28cm"/>
    <n v="3136"/>
    <n v="3144"/>
    <s v="Closed"/>
    <s v="09-06-2025"/>
    <x v="45"/>
  </r>
  <r>
    <s v="PO-011682"/>
    <x v="183"/>
    <x v="79"/>
    <s v="Frypan 20cm"/>
    <n v="1632"/>
    <n v="1640"/>
    <s v="Closed"/>
    <s v="09-06-2025"/>
    <x v="45"/>
  </r>
  <r>
    <s v="PO-011682"/>
    <x v="184"/>
    <x v="80"/>
    <s v="Frypan 24cm"/>
    <n v="2132"/>
    <n v="2132"/>
    <s v="Closed"/>
    <s v="09-06-2025"/>
    <x v="45"/>
  </r>
  <r>
    <s v="PO-011683"/>
    <x v="366"/>
    <x v="345"/>
    <s v="Tablet Samsung Galaxy 10,5 Wifi"/>
    <n v="16"/>
    <n v="16"/>
    <s v="Closed"/>
    <s v="09-06-2025"/>
    <x v="66"/>
  </r>
  <r>
    <s v="PO-011684"/>
    <x v="367"/>
    <x v="346"/>
    <s v="Metro laser digitale"/>
    <n v="6"/>
    <n v="6"/>
    <s v="Closed"/>
    <s v="09-06-2025"/>
    <x v="67"/>
  </r>
  <r>
    <s v="PO-011686"/>
    <x v="128"/>
    <x v="125"/>
    <s v="Serving platter - 34cm"/>
    <n v="5962"/>
    <n v="6120"/>
    <s v="Closed"/>
    <s v="10-06-2025"/>
    <x v="32"/>
  </r>
  <r>
    <s v="PO-011686"/>
    <x v="127"/>
    <x v="124"/>
    <s v="Cereal bowl set - 2 pcs"/>
    <n v="9441"/>
    <n v="9504"/>
    <s v="Closed"/>
    <s v="10-06-2025"/>
    <x v="32"/>
  </r>
  <r>
    <s v="PO-011694"/>
    <x v="280"/>
    <x v="98"/>
    <s v="Santoku Knife"/>
    <n v="1002"/>
    <n v="1002"/>
    <s v="Closed"/>
    <s v="11-06-2025"/>
    <x v="16"/>
  </r>
  <r>
    <s v="PO-011694"/>
    <x v="282"/>
    <x v="73"/>
    <s v="Sharpener"/>
    <n v="1002"/>
    <n v="1002"/>
    <s v="Closed"/>
    <s v="11-06-2025"/>
    <x v="16"/>
  </r>
  <r>
    <s v="PO-011694"/>
    <x v="368"/>
    <x v="347"/>
    <s v="Vegetable Knife"/>
    <n v="1002"/>
    <n v="1002"/>
    <s v="Closed"/>
    <s v="11-06-2025"/>
    <x v="16"/>
  </r>
  <r>
    <s v="PO-011709"/>
    <x v="369"/>
    <x v="348"/>
    <s v="Sistema audio portatile"/>
    <n v="1"/>
    <n v="1"/>
    <s v="Closed"/>
    <s v="12-06-2025"/>
    <x v="6"/>
  </r>
  <r>
    <s v="PO-011721"/>
    <x v="370"/>
    <x v="93"/>
    <s v="PKP 18 E Glue Gun"/>
    <n v="5190"/>
    <n v="5190"/>
    <s v="Closed"/>
    <s v="17-06-2025"/>
    <x v="22"/>
  </r>
  <r>
    <s v="PO-011721"/>
    <x v="274"/>
    <x v="261"/>
    <s v="Head lamp"/>
    <n v="13920"/>
    <n v="13920"/>
    <s v="Closed"/>
    <s v="17-06-2025"/>
    <x v="22"/>
  </r>
  <r>
    <s v="PO-011722"/>
    <x v="371"/>
    <x v="73"/>
    <s v="Sharpener"/>
    <n v="2760"/>
    <n v="1938"/>
    <s v="Closed"/>
    <s v="17-06-2025"/>
    <x v="16"/>
  </r>
  <r>
    <s v="PO-011738"/>
    <x v="372"/>
    <x v="349"/>
    <s v="UniversalVac 18 Set"/>
    <n v="728"/>
    <n v="728"/>
    <s v="Closed"/>
    <s v="17-06-2025"/>
    <x v="22"/>
  </r>
  <r>
    <s v="PO-011739"/>
    <x v="308"/>
    <x v="291"/>
    <s v="Casserole with lid 16cm"/>
    <n v="15188"/>
    <n v="15188"/>
    <s v="Closed"/>
    <s v="17-06-2025"/>
    <x v="17"/>
  </r>
  <r>
    <s v="PO-011739"/>
    <x v="373"/>
    <x v="76"/>
    <s v="Casserole with lid 20cm"/>
    <n v="13200"/>
    <n v="13200"/>
    <s v="Closed"/>
    <s v="17-06-2025"/>
    <x v="17"/>
  </r>
  <r>
    <s v="PO-011739"/>
    <x v="374"/>
    <x v="79"/>
    <s v="frypan 20cm"/>
    <n v="15724"/>
    <n v="15724"/>
    <s v="Closed"/>
    <s v="17-06-2025"/>
    <x v="17"/>
  </r>
  <r>
    <s v="PO-011739"/>
    <x v="309"/>
    <x v="80"/>
    <s v="frypan 24cm"/>
    <n v="21092"/>
    <n v="21092"/>
    <s v="Closed"/>
    <s v="17-06-2025"/>
    <x v="17"/>
  </r>
  <r>
    <s v="PO-011740"/>
    <x v="286"/>
    <x v="270"/>
    <s v="Chef knife 20 cm - Acacia"/>
    <n v="13680"/>
    <n v="13680"/>
    <s v="Closed"/>
    <s v="24-06-2025"/>
    <x v="16"/>
  </r>
  <r>
    <s v="PO-011740"/>
    <x v="287"/>
    <x v="271"/>
    <s v="Santoku knife 12,5 cm - Acacia"/>
    <n v="11880"/>
    <n v="11880"/>
    <s v="Closed"/>
    <s v="24-06-2025"/>
    <x v="16"/>
  </r>
  <r>
    <s v="PO-011740"/>
    <x v="288"/>
    <x v="272"/>
    <s v="Cutting board - Acacia wood"/>
    <n v="2240"/>
    <n v="2240"/>
    <s v="Closed"/>
    <s v="24-06-2025"/>
    <x v="16"/>
  </r>
  <r>
    <s v="PO-011740"/>
    <x v="289"/>
    <x v="273"/>
    <s v="Carving knife 20 cm - Acacia"/>
    <n v="5040"/>
    <n v="5040"/>
    <s v="Closed"/>
    <s v="24-06-2025"/>
    <x v="16"/>
  </r>
  <r>
    <s v="PO-011740"/>
    <x v="291"/>
    <x v="275"/>
    <s v="Bread knife - Acacia"/>
    <n v="6480"/>
    <n v="6480"/>
    <s v="Closed"/>
    <s v="24-06-2025"/>
    <x v="16"/>
  </r>
  <r>
    <s v="PO-011740"/>
    <x v="292"/>
    <x v="276"/>
    <s v="Utility knife 12 cm - Acacia"/>
    <n v="13602"/>
    <n v="13602"/>
    <s v="Closed"/>
    <s v="24-06-2025"/>
    <x v="16"/>
  </r>
  <r>
    <s v="PO-011741"/>
    <x v="293"/>
    <x v="277"/>
    <s v="Knife block Greencut Acacia"/>
    <n v="2240"/>
    <n v="2240"/>
    <s v="Closed"/>
    <s v="17-06-2025"/>
    <x v="31"/>
  </r>
  <r>
    <s v="PO-011742"/>
    <x v="293"/>
    <x v="277"/>
    <s v="Knife block Greencut Acacia"/>
    <n v="5376"/>
    <n v="5376"/>
    <s v="Closed"/>
    <s v="24-06-2025"/>
    <x v="31"/>
  </r>
  <r>
    <s v="PO-012679"/>
    <x v="275"/>
    <x v="262"/>
    <s v="Bowl 15cm 2pc set"/>
    <n v="11016"/>
    <n v="11016"/>
    <s v="Closed"/>
    <s v="18-06-2025"/>
    <x v="1"/>
  </r>
  <r>
    <s v="PO-012679"/>
    <x v="278"/>
    <x v="265"/>
    <s v="Oven dish large"/>
    <n v="7080"/>
    <n v="7080"/>
    <s v="Closed"/>
    <s v="18-06-2025"/>
    <x v="1"/>
  </r>
  <r>
    <s v="PO-012679"/>
    <x v="279"/>
    <x v="266"/>
    <s v="Oven dish medium"/>
    <n v="4224"/>
    <n v="4224"/>
    <s v="Closed"/>
    <s v="18-06-2025"/>
    <x v="1"/>
  </r>
  <r>
    <s v="PO-012680"/>
    <x v="275"/>
    <x v="262"/>
    <s v="Bowl 15cm 2pc set"/>
    <n v="10368"/>
    <n v="10368"/>
    <s v="Closed"/>
    <s v="18-06-2025"/>
    <x v="1"/>
  </r>
  <r>
    <s v="PO-012680"/>
    <x v="276"/>
    <x v="263"/>
    <s v="Salad bowl 23cm"/>
    <n v="4128"/>
    <n v="-768"/>
    <s v="Closed"/>
    <s v="18-06-2025"/>
    <x v="1"/>
  </r>
  <r>
    <s v="PO-012680"/>
    <x v="277"/>
    <x v="264"/>
    <s v="Serving dish 30cm"/>
    <n v="3600"/>
    <n v="3600"/>
    <s v="Closed"/>
    <s v="18-06-2025"/>
    <x v="1"/>
  </r>
  <r>
    <s v="PO-012680"/>
    <x v="278"/>
    <x v="265"/>
    <s v="Oven dish large"/>
    <n v="2520"/>
    <n v="52"/>
    <s v="Closed"/>
    <s v="18-06-2025"/>
    <x v="1"/>
  </r>
  <r>
    <s v="PO-012680"/>
    <x v="279"/>
    <x v="266"/>
    <s v="Oven dish medium"/>
    <n v="2496"/>
    <n v="2496"/>
    <s v="Closed"/>
    <s v="18-06-2025"/>
    <x v="1"/>
  </r>
  <r>
    <s v="PO-012681"/>
    <x v="275"/>
    <x v="262"/>
    <s v="Bowl 15cm 2pc set"/>
    <n v="4320"/>
    <n v="4320"/>
    <s v="Closed"/>
    <s v="18-06-2025"/>
    <x v="1"/>
  </r>
  <r>
    <s v="PO-012681"/>
    <x v="276"/>
    <x v="263"/>
    <s v="Salad bowl 23cm"/>
    <n v="1440"/>
    <n v="1440"/>
    <s v="Closed"/>
    <s v="18-06-2025"/>
    <x v="1"/>
  </r>
  <r>
    <s v="PO-012681"/>
    <x v="277"/>
    <x v="264"/>
    <s v="Serving dish 30cm"/>
    <n v="1152"/>
    <n v="1152"/>
    <s v="Closed"/>
    <s v="18-06-2025"/>
    <x v="1"/>
  </r>
  <r>
    <s v="PO-012681"/>
    <x v="278"/>
    <x v="265"/>
    <s v="Oven dish large"/>
    <n v="1200"/>
    <n v="0"/>
    <s v="Closed"/>
    <s v="18-06-2025"/>
    <x v="1"/>
  </r>
  <r>
    <s v="PO-012681"/>
    <x v="279"/>
    <x v="266"/>
    <s v="Oven dish medium"/>
    <n v="960"/>
    <n v="960"/>
    <s v="Closed"/>
    <s v="18-06-2025"/>
    <x v="1"/>
  </r>
  <r>
    <s v="PO-012682"/>
    <x v="275"/>
    <x v="262"/>
    <s v="Bowl 15cm 2pc set"/>
    <n v="7560"/>
    <n v="7560"/>
    <s v="Closed"/>
    <s v="18-06-2025"/>
    <x v="1"/>
  </r>
  <r>
    <s v="PO-012682"/>
    <x v="276"/>
    <x v="263"/>
    <s v="Salad bowl 23cm"/>
    <n v="2016"/>
    <n v="2400"/>
    <s v="Closed"/>
    <s v="18-06-2025"/>
    <x v="1"/>
  </r>
  <r>
    <s v="PO-012682"/>
    <x v="277"/>
    <x v="264"/>
    <s v="Serving dish 30cm"/>
    <n v="3024"/>
    <n v="3024"/>
    <s v="Closed"/>
    <s v="18-06-2025"/>
    <x v="1"/>
  </r>
  <r>
    <s v="PO-012682"/>
    <x v="278"/>
    <x v="265"/>
    <s v="Oven dish large"/>
    <n v="2880"/>
    <n v="720"/>
    <s v="Closed"/>
    <s v="18-06-2025"/>
    <x v="1"/>
  </r>
  <r>
    <s v="PO-012682"/>
    <x v="279"/>
    <x v="266"/>
    <s v="Oven dish medium"/>
    <n v="1920"/>
    <n v="1920"/>
    <s v="Closed"/>
    <s v="18-06-2025"/>
    <x v="1"/>
  </r>
  <r>
    <s v="PO-012687"/>
    <x v="276"/>
    <x v="263"/>
    <s v="Salad bowl 23cm"/>
    <n v="2976"/>
    <n v="864"/>
    <s v="Closed"/>
    <s v="18-06-2025"/>
    <x v="1"/>
  </r>
  <r>
    <s v="PO-012687"/>
    <x v="278"/>
    <x v="265"/>
    <s v="Oven dish large"/>
    <n v="2400"/>
    <n v="0"/>
    <s v="Closed"/>
    <s v="18-06-2025"/>
    <x v="1"/>
  </r>
  <r>
    <s v="PO-012687"/>
    <x v="279"/>
    <x v="266"/>
    <s v="Oven dish medium"/>
    <n v="2880"/>
    <n v="2880"/>
    <s v="Closed"/>
    <s v="18-06-2025"/>
    <x v="1"/>
  </r>
  <r>
    <s v="PO-013049"/>
    <x v="375"/>
    <x v="350"/>
    <s v="Servingpan 28cm"/>
    <n v="46992"/>
    <n v="0"/>
    <s v="Closed"/>
    <s v="19-06-2025"/>
    <x v="19"/>
  </r>
  <r>
    <s v="PO-013049"/>
    <x v="376"/>
    <x v="351"/>
    <s v="Stewpot 20cm w/lid"/>
    <n v="46740"/>
    <n v="0"/>
    <s v="Closed"/>
    <s v="19-06-2025"/>
    <x v="19"/>
  </r>
  <r>
    <s v="PO-013049"/>
    <x v="377"/>
    <x v="352"/>
    <s v="Stockpot 16cm w/lid"/>
    <n v="53664"/>
    <n v="0"/>
    <s v="Closed"/>
    <s v="19-06-2025"/>
    <x v="19"/>
  </r>
  <r>
    <s v="PO-013049"/>
    <x v="378"/>
    <x v="353"/>
    <s v="Saucepan 16cm w/o lid"/>
    <n v="44880"/>
    <n v="0"/>
    <s v="Closed"/>
    <s v="19-06-2025"/>
    <x v="19"/>
  </r>
  <r>
    <s v="PO-013049"/>
    <x v="379"/>
    <x v="354"/>
    <s v="Stockpot 24cm w/lid"/>
    <n v="38208"/>
    <n v="0"/>
    <s v="Closed"/>
    <s v="19-06-2025"/>
    <x v="19"/>
  </r>
  <r>
    <s v="PO-013049"/>
    <x v="380"/>
    <x v="355"/>
    <s v="Frypan 16cm ceramic coated"/>
    <n v="40000"/>
    <n v="0"/>
    <s v="Closed"/>
    <s v="19-06-2025"/>
    <x v="19"/>
  </r>
  <r>
    <s v="PO-013049"/>
    <x v="381"/>
    <x v="356"/>
    <s v="Frying pan, 20cm, ceramic coated"/>
    <n v="62976"/>
    <n v="0"/>
    <s v="Closed"/>
    <s v="19-06-2025"/>
    <x v="19"/>
  </r>
  <r>
    <s v="PO-013049"/>
    <x v="382"/>
    <x v="357"/>
    <s v="Frying pan, 24cm, ceramic coated"/>
    <n v="80768"/>
    <n v="0"/>
    <s v="Closed"/>
    <s v="19-06-2025"/>
    <x v="19"/>
  </r>
  <r>
    <s v="PO-013049"/>
    <x v="383"/>
    <x v="358"/>
    <s v="Frying pan, 28cm, ceramic coated"/>
    <n v="75600"/>
    <n v="0"/>
    <s v="Closed"/>
    <s v="19-06-2025"/>
    <x v="19"/>
  </r>
  <r>
    <s v="PO-013050"/>
    <x v="384"/>
    <x v="359"/>
    <s v="Dinner plate 27cm 2 pc set"/>
    <n v="6192"/>
    <n v="6192"/>
    <s v="Closed"/>
    <s v="19-06-2025"/>
    <x v="68"/>
  </r>
  <r>
    <s v="PO-013050"/>
    <x v="385"/>
    <x v="360"/>
    <s v="Side plate 21 cm 2pc set"/>
    <n v="8256"/>
    <n v="8256"/>
    <s v="Closed"/>
    <s v="19-06-2025"/>
    <x v="68"/>
  </r>
  <r>
    <s v="PO-013053"/>
    <x v="384"/>
    <x v="359"/>
    <s v="Dinner plate 27cm 2 pc set"/>
    <n v="4752"/>
    <n v="4752"/>
    <s v="Closed"/>
    <s v="19-06-2025"/>
    <x v="68"/>
  </r>
  <r>
    <s v="PO-013053"/>
    <x v="385"/>
    <x v="360"/>
    <s v="Side plate 21 cm 2pc set"/>
    <n v="5040"/>
    <n v="5040"/>
    <s v="Closed"/>
    <s v="19-06-2025"/>
    <x v="68"/>
  </r>
  <r>
    <s v="PO-013176"/>
    <x v="306"/>
    <x v="289"/>
    <s v="Cast Iron Grill Pan"/>
    <n v="13440"/>
    <n v="13440"/>
    <s v="Closed"/>
    <s v="20-06-2025"/>
    <x v="62"/>
  </r>
  <r>
    <s v="PO-013176"/>
    <x v="307"/>
    <x v="290"/>
    <s v="Cast Iron Casserole (24cm)"/>
    <n v="34560"/>
    <n v="34560"/>
    <s v="Closed"/>
    <s v="20-06-2025"/>
    <x v="62"/>
  </r>
  <r>
    <s v="PO-013178"/>
    <x v="219"/>
    <x v="206"/>
    <s v="Disney Xmas Wreath"/>
    <n v="768"/>
    <n v="768"/>
    <s v="Closed"/>
    <s v="23-06-2025"/>
    <x v="59"/>
  </r>
  <r>
    <s v="PO-013180"/>
    <x v="386"/>
    <x v="361"/>
    <s v="KN0446-ISB"/>
    <n v="8500"/>
    <n v="8500"/>
    <s v="Closed"/>
    <s v="23-06-2025"/>
    <x v="19"/>
  </r>
  <r>
    <s v="PO-013180"/>
    <x v="387"/>
    <x v="362"/>
    <s v="KN0446-KI"/>
    <n v="8500"/>
    <n v="8500"/>
    <s v="Closed"/>
    <s v="23-06-2025"/>
    <x v="19"/>
  </r>
  <r>
    <s v="PO-013180"/>
    <x v="388"/>
    <x v="363"/>
    <s v="KN0447-KI"/>
    <n v="1000"/>
    <n v="1000"/>
    <s v="Closed"/>
    <s v="23-06-2025"/>
    <x v="19"/>
  </r>
  <r>
    <s v="PO-013180"/>
    <x v="389"/>
    <x v="364"/>
    <s v="KN0448-ISB"/>
    <n v="3500"/>
    <n v="3500"/>
    <s v="Closed"/>
    <s v="23-06-2025"/>
    <x v="19"/>
  </r>
  <r>
    <s v="PO-013180"/>
    <x v="390"/>
    <x v="365"/>
    <s v="KN0448-KI"/>
    <n v="3500"/>
    <n v="3500"/>
    <s v="Closed"/>
    <s v="23-06-2025"/>
    <x v="19"/>
  </r>
  <r>
    <s v="PO-013180"/>
    <x v="391"/>
    <x v="366"/>
    <s v="KN0475-ISB"/>
    <n v="5000"/>
    <n v="5000"/>
    <s v="Closed"/>
    <s v="23-06-2025"/>
    <x v="19"/>
  </r>
  <r>
    <s v="PO-013180"/>
    <x v="392"/>
    <x v="367"/>
    <s v="KN0475-KI"/>
    <n v="5000"/>
    <n v="5000"/>
    <s v="Closed"/>
    <s v="23-06-2025"/>
    <x v="19"/>
  </r>
  <r>
    <s v="PO-013332"/>
    <x v="263"/>
    <x v="250"/>
    <s v="Disney Pixar backpack Woody"/>
    <n v="82344"/>
    <n v="82344"/>
    <s v="Closed"/>
    <s v="30-06-2025"/>
    <x v="21"/>
  </r>
  <r>
    <s v="PO-013332"/>
    <x v="264"/>
    <x v="251"/>
    <s v="Disney Pixar lunch bag Remy"/>
    <n v="143118"/>
    <n v="143118"/>
    <s v="Closed"/>
    <s v="30-06-2025"/>
    <x v="21"/>
  </r>
  <r>
    <s v="PO-013332"/>
    <x v="265"/>
    <x v="252"/>
    <s v="Disney Pixar beach bag Anxiety"/>
    <n v="88722"/>
    <n v="88722"/>
    <s v="Closed"/>
    <s v="30-06-2025"/>
    <x v="21"/>
  </r>
  <r>
    <s v="PO-013333"/>
    <x v="266"/>
    <x v="253"/>
    <s v="Disney Pixar drink bottle Buzz"/>
    <n v="133008"/>
    <n v="133008"/>
    <s v="Closed"/>
    <s v="30-06-2025"/>
    <x v="28"/>
  </r>
  <r>
    <s v="PO-013334"/>
    <x v="267"/>
    <x v="254"/>
    <s v="Disney Pixar beach towel Nemo"/>
    <n v="27648"/>
    <n v="27648"/>
    <s v="Closed"/>
    <s v="30-06-2025"/>
    <x v="2"/>
  </r>
  <r>
    <s v="PO-013334"/>
    <x v="268"/>
    <x v="255"/>
    <s v="Disney Pixar beach towel Dory"/>
    <n v="27648"/>
    <n v="27648"/>
    <s v="Closed"/>
    <s v="30-06-2025"/>
    <x v="2"/>
  </r>
  <r>
    <s v="PO-013335"/>
    <x v="269"/>
    <x v="256"/>
    <s v="Disney Pixar pouch Edna"/>
    <n v="84996"/>
    <n v="84996"/>
    <s v="Closed"/>
    <s v="30-06-2025"/>
    <x v="29"/>
  </r>
  <r>
    <s v="PO-013338"/>
    <x v="393"/>
    <x v="368"/>
    <s v="Deep plate 20cm 2pc set"/>
    <n v="11088"/>
    <n v="11088"/>
    <s v="Closed"/>
    <s v="02-07-2025"/>
    <x v="20"/>
  </r>
  <r>
    <s v="PO-013339"/>
    <x v="393"/>
    <x v="368"/>
    <s v="Deep plate 20cm 2pc set"/>
    <n v="11088"/>
    <n v="11088"/>
    <s v="Closed"/>
    <s v="02-07-2025"/>
    <x v="20"/>
  </r>
  <r>
    <s v="PO-013341"/>
    <x v="393"/>
    <x v="368"/>
    <s v="Deep plate 20cm 2pc set"/>
    <n v="11088"/>
    <n v="11088"/>
    <s v="Closed"/>
    <s v="02-07-2025"/>
    <x v="20"/>
  </r>
  <r>
    <s v="PO-013342"/>
    <x v="393"/>
    <x v="368"/>
    <s v="Deep plate 20cm 2pc set"/>
    <n v="11088"/>
    <n v="11088"/>
    <s v="Closed"/>
    <s v="02-07-2025"/>
    <x v="20"/>
  </r>
  <r>
    <s v="PO-013343"/>
    <x v="393"/>
    <x v="368"/>
    <s v="Deep plate 20cm 2pc set"/>
    <n v="11088"/>
    <n v="11088"/>
    <s v="Closed"/>
    <s v="02-07-2025"/>
    <x v="20"/>
  </r>
  <r>
    <s v="PO-013344"/>
    <x v="393"/>
    <x v="368"/>
    <s v="Deep plate 20cm 2pc set"/>
    <n v="256"/>
    <n v="258"/>
    <s v="Closed"/>
    <s v="02-07-2025"/>
    <x v="20"/>
  </r>
  <r>
    <s v="PO-013345"/>
    <x v="394"/>
    <x v="369"/>
    <s v="Guesttowel  30x50cm - grey - set of 2 ."/>
    <n v="24"/>
    <n v="24"/>
    <s v="Closed"/>
    <s v="02-07-2025"/>
    <x v="69"/>
  </r>
  <r>
    <s v="PO-013345"/>
    <x v="395"/>
    <x v="370"/>
    <s v="Guesttowel  30x50cm - lightblue - set of 2"/>
    <n v="24"/>
    <n v="24"/>
    <s v="Closed"/>
    <s v="02-07-2025"/>
    <x v="69"/>
  </r>
  <r>
    <s v="PO-013345"/>
    <x v="396"/>
    <x v="371"/>
    <s v="Guesttowel  30x50cm - lightgreen - set of 2"/>
    <n v="24"/>
    <n v="24"/>
    <s v="Closed"/>
    <s v="02-07-2025"/>
    <x v="69"/>
  </r>
  <r>
    <s v="PO-013345"/>
    <x v="397"/>
    <x v="372"/>
    <s v="Handtowel  50x100cm - grey - Set of 2"/>
    <n v="24"/>
    <n v="24"/>
    <s v="Closed"/>
    <s v="02-07-2025"/>
    <x v="69"/>
  </r>
  <r>
    <s v="PO-013345"/>
    <x v="398"/>
    <x v="373"/>
    <s v="Handtowel  50x100cm - lightblue  - Set of 2"/>
    <n v="24"/>
    <n v="24"/>
    <s v="Closed"/>
    <s v="02-07-2025"/>
    <x v="69"/>
  </r>
  <r>
    <s v="PO-013345"/>
    <x v="399"/>
    <x v="374"/>
    <s v="Handtowel  50x100cm - lightgreen  - Set of 2"/>
    <n v="24"/>
    <n v="24"/>
    <s v="Closed"/>
    <s v="02-07-2025"/>
    <x v="69"/>
  </r>
  <r>
    <s v="PO-013345"/>
    <x v="400"/>
    <x v="375"/>
    <s v="bathtowel 70x140cm - grey"/>
    <n v="12"/>
    <n v="12"/>
    <s v="Closed"/>
    <s v="02-07-2025"/>
    <x v="69"/>
  </r>
  <r>
    <s v="PO-013345"/>
    <x v="401"/>
    <x v="376"/>
    <s v="bathtowel 70x140cm - lightblue"/>
    <n v="12"/>
    <n v="12"/>
    <s v="Closed"/>
    <s v="02-07-2025"/>
    <x v="69"/>
  </r>
  <r>
    <s v="PO-013345"/>
    <x v="402"/>
    <x v="377"/>
    <s v="bathtowel 70x140cm - lightgreen"/>
    <n v="12"/>
    <n v="12"/>
    <s v="Closed"/>
    <s v="02-07-2025"/>
    <x v="69"/>
  </r>
  <r>
    <s v="PO-013345"/>
    <x v="403"/>
    <x v="378"/>
    <s v="Bathmat 50x80cm - grey"/>
    <n v="12"/>
    <n v="12"/>
    <s v="Closed"/>
    <s v="02-07-2025"/>
    <x v="69"/>
  </r>
  <r>
    <s v="PO-013345"/>
    <x v="404"/>
    <x v="379"/>
    <s v="Wellnesstowel 75x180cm - grey"/>
    <n v="12"/>
    <n v="12"/>
    <s v="Closed"/>
    <s v="02-07-2025"/>
    <x v="69"/>
  </r>
  <r>
    <s v="PO-013395"/>
    <x v="384"/>
    <x v="359"/>
    <s v="Dinner plate 27cm 2 pc set"/>
    <n v="12096"/>
    <n v="12096"/>
    <s v="Closed"/>
    <s v="03-07-2025"/>
    <x v="68"/>
  </r>
  <r>
    <s v="PO-013395"/>
    <x v="385"/>
    <x v="360"/>
    <s v="Side plate 21 cm 2pc set"/>
    <n v="16128"/>
    <n v="16128"/>
    <s v="Closed"/>
    <s v="03-07-2025"/>
    <x v="68"/>
  </r>
  <r>
    <s v="PO-013396"/>
    <x v="384"/>
    <x v="359"/>
    <s v="Dinner plate 27cm 2 pc set"/>
    <n v="4752"/>
    <n v="4752"/>
    <s v="Closed"/>
    <s v="03-07-2025"/>
    <x v="68"/>
  </r>
  <r>
    <s v="PO-013396"/>
    <x v="385"/>
    <x v="360"/>
    <s v="Side plate 21 cm 2pc set"/>
    <n v="3696"/>
    <n v="3696"/>
    <s v="Closed"/>
    <s v="03-07-2025"/>
    <x v="68"/>
  </r>
  <r>
    <s v="PO-013398"/>
    <x v="384"/>
    <x v="359"/>
    <s v="Dinner plate 27cm 2 pc set"/>
    <n v="9504"/>
    <n v="9504"/>
    <s v="Closed"/>
    <s v="03-07-2025"/>
    <x v="68"/>
  </r>
  <r>
    <s v="PO-013398"/>
    <x v="385"/>
    <x v="360"/>
    <s v="Side plate 21 cm 2pc set"/>
    <n v="3696"/>
    <n v="3696"/>
    <s v="Closed"/>
    <s v="03-07-2025"/>
    <x v="68"/>
  </r>
  <r>
    <s v="PO-013399"/>
    <x v="384"/>
    <x v="359"/>
    <s v="Dinner plate 27cm 2 pc set"/>
    <n v="7920"/>
    <n v="7920"/>
    <s v="Closed"/>
    <s v="03-07-2025"/>
    <x v="68"/>
  </r>
  <r>
    <s v="PO-013399"/>
    <x v="385"/>
    <x v="360"/>
    <s v="Side plate 21 cm 2pc set"/>
    <n v="3168"/>
    <n v="3168"/>
    <s v="Closed"/>
    <s v="03-07-2025"/>
    <x v="68"/>
  </r>
  <r>
    <s v="PO-013400"/>
    <x v="384"/>
    <x v="359"/>
    <s v="Dinner plate 27cm 2 pc set"/>
    <n v="9504"/>
    <n v="9504"/>
    <s v="Closed"/>
    <s v="03-07-2025"/>
    <x v="68"/>
  </r>
  <r>
    <s v="PO-013400"/>
    <x v="385"/>
    <x v="360"/>
    <s v="Side plate 21 cm 2pc set"/>
    <n v="5712"/>
    <n v="5712"/>
    <s v="Closed"/>
    <s v="03-07-2025"/>
    <x v="68"/>
  </r>
  <r>
    <s v="PO-013401"/>
    <x v="384"/>
    <x v="359"/>
    <s v="Dinner plate 27cm 2 pc set"/>
    <n v="19008"/>
    <n v="19008"/>
    <s v="Closed"/>
    <s v="03-07-2025"/>
    <x v="68"/>
  </r>
  <r>
    <s v="PO-013401"/>
    <x v="385"/>
    <x v="360"/>
    <s v="Side plate 21 cm 2pc set"/>
    <n v="5040"/>
    <n v="5040"/>
    <s v="Closed"/>
    <s v="03-07-2025"/>
    <x v="68"/>
  </r>
  <r>
    <s v="PO-013402"/>
    <x v="384"/>
    <x v="359"/>
    <s v="Dinner plate 27cm 2 pc set"/>
    <n v="14256"/>
    <n v="14256"/>
    <s v="Closed"/>
    <s v="03-07-2025"/>
    <x v="68"/>
  </r>
  <r>
    <s v="PO-013402"/>
    <x v="385"/>
    <x v="360"/>
    <s v="Side plate 21 cm 2pc set"/>
    <n v="8232"/>
    <n v="8232"/>
    <s v="Closed"/>
    <s v="03-07-2025"/>
    <x v="68"/>
  </r>
  <r>
    <s v="PO-013409"/>
    <x v="405"/>
    <x v="120"/>
    <s v="Utility knife"/>
    <n v="3888"/>
    <n v="3888"/>
    <s v="Closed"/>
    <s v="04-07-2025"/>
    <x v="16"/>
  </r>
  <r>
    <s v="PO-013417"/>
    <x v="406"/>
    <x v="380"/>
    <s v="Square tray 1L (KIT)"/>
    <n v="48150"/>
    <n v="28800"/>
    <s v="Approved"/>
    <s v="04-07-2025"/>
    <x v="27"/>
  </r>
  <r>
    <s v="PO-013417"/>
    <x v="407"/>
    <x v="381"/>
    <s v="Rectangular tray 2L (32 x 20 x 5 cm) (KIT)"/>
    <n v="53088"/>
    <n v="38976"/>
    <s v="Approved"/>
    <s v="04-07-2025"/>
    <x v="27"/>
  </r>
  <r>
    <s v="PO-013417"/>
    <x v="408"/>
    <x v="382"/>
    <s v="Rectangular tray 3,6L (39 x 24 x 6 cm) (KIT)"/>
    <n v="22356"/>
    <n v="20520"/>
    <s v="Approved"/>
    <s v="04-07-2025"/>
    <x v="27"/>
  </r>
  <r>
    <s v="PO-013421"/>
    <x v="405"/>
    <x v="120"/>
    <s v="Utility knife"/>
    <n v="11106"/>
    <n v="11106"/>
    <s v="Closed"/>
    <s v="04-07-2025"/>
    <x v="16"/>
  </r>
  <r>
    <s v="PO-016393"/>
    <x v="409"/>
    <x v="383"/>
    <s v="Monopoly Deal Refresh"/>
    <n v="10000"/>
    <n v="10000"/>
    <s v="Closed"/>
    <s v="07-07-2025"/>
    <x v="70"/>
  </r>
  <r>
    <s v="PO-016401"/>
    <x v="410"/>
    <x v="384"/>
    <s v="Sports bottle 700ml"/>
    <n v="64200"/>
    <n v="64200"/>
    <s v="Closed"/>
    <s v="07-07-2025"/>
    <x v="28"/>
  </r>
  <r>
    <s v="PO-016402"/>
    <x v="411"/>
    <x v="385"/>
    <s v="Cotton sport towel"/>
    <n v="79200"/>
    <n v="79200"/>
    <s v="Closed"/>
    <s v="07-07-2025"/>
    <x v="69"/>
  </r>
  <r>
    <s v="PO-016403"/>
    <x v="412"/>
    <x v="386"/>
    <s v="Backpack"/>
    <n v="103572"/>
    <n v="103572"/>
    <s v="Closed"/>
    <s v="07-07-2025"/>
    <x v="71"/>
  </r>
  <r>
    <s v="PO-016403"/>
    <x v="413"/>
    <x v="387"/>
    <s v="Vanity Bag"/>
    <n v="85320"/>
    <n v="85320"/>
    <s v="Closed"/>
    <s v="07-07-2025"/>
    <x v="71"/>
  </r>
  <r>
    <s v="PO-016403"/>
    <x v="414"/>
    <x v="388"/>
    <s v="Duffel"/>
    <n v="73152"/>
    <n v="73152"/>
    <s v="Closed"/>
    <s v="07-07-2025"/>
    <x v="71"/>
  </r>
  <r>
    <s v="PO-016403"/>
    <x v="415"/>
    <x v="389"/>
    <s v="Waist bag"/>
    <n v="61824"/>
    <n v="61824"/>
    <s v="Closed"/>
    <s v="07-07-2025"/>
    <x v="71"/>
  </r>
  <r>
    <s v="PO-016404"/>
    <x v="416"/>
    <x v="390"/>
    <s v="Microfiber sport towel"/>
    <n v="84270"/>
    <n v="84270"/>
    <s v="Closed"/>
    <s v="07-07-2025"/>
    <x v="2"/>
  </r>
  <r>
    <s v="PO-016405"/>
    <x v="417"/>
    <x v="391"/>
    <s v="Cap"/>
    <n v="64008"/>
    <n v="64002"/>
    <s v="Closed"/>
    <s v="07-07-2025"/>
    <x v="72"/>
  </r>
  <r>
    <s v="PO-016413"/>
    <x v="410"/>
    <x v="384"/>
    <s v="Sports bottle 700ml"/>
    <n v="36000"/>
    <n v="36000"/>
    <s v="Closed"/>
    <s v="07-07-2025"/>
    <x v="28"/>
  </r>
  <r>
    <s v="PO-016414"/>
    <x v="411"/>
    <x v="385"/>
    <s v="Cotton sport towel"/>
    <n v="44160"/>
    <n v="44160"/>
    <s v="Closed"/>
    <s v="07-07-2025"/>
    <x v="69"/>
  </r>
  <r>
    <s v="PO-016416"/>
    <x v="412"/>
    <x v="386"/>
    <s v="Backpack"/>
    <n v="57564"/>
    <n v="57564"/>
    <s v="Closed"/>
    <s v="07-07-2025"/>
    <x v="71"/>
  </r>
  <r>
    <s v="PO-016416"/>
    <x v="413"/>
    <x v="387"/>
    <s v="Vanity Bag"/>
    <n v="47520"/>
    <n v="47520"/>
    <s v="Closed"/>
    <s v="07-07-2025"/>
    <x v="71"/>
  </r>
  <r>
    <s v="PO-016416"/>
    <x v="414"/>
    <x v="388"/>
    <s v="Duffel"/>
    <n v="40608"/>
    <n v="40608"/>
    <s v="Closed"/>
    <s v="07-07-2025"/>
    <x v="71"/>
  </r>
  <r>
    <s v="PO-016416"/>
    <x v="415"/>
    <x v="389"/>
    <s v="Waist bag"/>
    <n v="34944"/>
    <n v="34944"/>
    <s v="Closed"/>
    <s v="07-07-2025"/>
    <x v="71"/>
  </r>
  <r>
    <s v="PO-016417"/>
    <x v="416"/>
    <x v="390"/>
    <s v="Microfiber sport towel"/>
    <n v="42630"/>
    <n v="42630"/>
    <s v="Closed"/>
    <s v="07-07-2025"/>
    <x v="2"/>
  </r>
  <r>
    <s v="PO-016418"/>
    <x v="417"/>
    <x v="391"/>
    <s v="Cap"/>
    <n v="35784"/>
    <n v="35994"/>
    <s v="Closed"/>
    <s v="07-07-2025"/>
    <x v="72"/>
  </r>
  <r>
    <s v="PO-016456"/>
    <x v="418"/>
    <x v="392"/>
    <s v="Cutting board - FSC Rubberwood"/>
    <n v="2000"/>
    <n v="2000"/>
    <s v="Closed"/>
    <s v="08-07-2025"/>
    <x v="31"/>
  </r>
  <r>
    <s v="PO-016457"/>
    <x v="197"/>
    <x v="184"/>
    <s v="Tier 2 Thermal Tumblers in a mixed carton with filler"/>
    <n v="8724"/>
    <n v="8724"/>
    <s v="Closed"/>
    <s v="08-07-2025"/>
    <x v="49"/>
  </r>
  <r>
    <s v="PO-016464"/>
    <x v="419"/>
    <x v="393"/>
    <s v="Rigid Trolley"/>
    <n v="12453"/>
    <n v="9991"/>
    <s v="Closed"/>
    <s v="29-07-2025"/>
    <x v="73"/>
  </r>
  <r>
    <s v="PO-016464"/>
    <x v="420"/>
    <x v="394"/>
    <s v="Travel Bag"/>
    <n v="1"/>
    <n v="0"/>
    <s v="Closed"/>
    <s v="29-07-2025"/>
    <x v="73"/>
  </r>
  <r>
    <s v="PO-016465"/>
    <x v="421"/>
    <x v="395"/>
    <s v="Kitchen shear"/>
    <n v="40002"/>
    <n v="40002"/>
    <s v="Closed"/>
    <s v="09-07-2025"/>
    <x v="16"/>
  </r>
  <r>
    <s v="PO-016465"/>
    <x v="422"/>
    <x v="122"/>
    <s v="Slicing knife"/>
    <n v="14004"/>
    <n v="14004"/>
    <s v="Closed"/>
    <s v="09-07-2025"/>
    <x v="16"/>
  </r>
  <r>
    <s v="PO-016492"/>
    <x v="17"/>
    <x v="17"/>
    <s v="Bacheca/pannello fondo sughero"/>
    <n v="2"/>
    <n v="2"/>
    <s v="Closed"/>
    <s v="10-07-2025"/>
    <x v="5"/>
  </r>
  <r>
    <s v="PO-016492"/>
    <x v="16"/>
    <x v="16"/>
    <s v="Set 6 ghiaccio spray"/>
    <n v="2"/>
    <n v="2"/>
    <s v="Closed"/>
    <s v="10-07-2025"/>
    <x v="5"/>
  </r>
  <r>
    <s v="PO-016506"/>
    <x v="117"/>
    <x v="116"/>
    <s v="Tritan Bottle - 500ML"/>
    <n v="1"/>
    <n v="0"/>
    <s v="Closed"/>
    <s v="11-07-2025"/>
    <x v="38"/>
  </r>
  <r>
    <s v="PO-016507"/>
    <x v="126"/>
    <x v="123"/>
    <s v="Thermal Food Flask"/>
    <n v="31416"/>
    <n v="31416"/>
    <s v="Closed"/>
    <s v="11-07-2025"/>
    <x v="31"/>
  </r>
  <r>
    <s v="PO-016508"/>
    <x v="129"/>
    <x v="106"/>
    <s v="Lunch Box"/>
    <n v="1"/>
    <n v="0"/>
    <s v="Closed"/>
    <s v="11-07-2025"/>
    <x v="74"/>
  </r>
  <r>
    <s v="PO-016509"/>
    <x v="130"/>
    <x v="126"/>
    <s v="Foldable Mat"/>
    <n v="1"/>
    <n v="0"/>
    <s v="Closed"/>
    <s v="11-07-2025"/>
    <x v="2"/>
  </r>
  <r>
    <s v="PO-016510"/>
    <x v="118"/>
    <x v="117"/>
    <s v="Eco Bag with Pouch-Anpanman"/>
    <n v="1002"/>
    <n v="1002"/>
    <s v="Closed"/>
    <s v="11-07-2025"/>
    <x v="29"/>
  </r>
  <r>
    <s v="PO-016511"/>
    <x v="130"/>
    <x v="126"/>
    <s v="Foldable Mat"/>
    <n v="7308"/>
    <n v="7308"/>
    <s v="Closed"/>
    <s v="11-07-2025"/>
    <x v="2"/>
  </r>
  <r>
    <s v="PO-016512"/>
    <x v="117"/>
    <x v="116"/>
    <s v="Tritan Bottle - 500ML"/>
    <n v="2004"/>
    <n v="2004"/>
    <s v="Closed"/>
    <s v="11-07-2025"/>
    <x v="28"/>
  </r>
  <r>
    <s v="PO-016514"/>
    <x v="54"/>
    <x v="54"/>
    <s v="Cono"/>
    <n v="6"/>
    <n v="6"/>
    <s v="Closed"/>
    <s v="11-07-2025"/>
    <x v="13"/>
  </r>
  <r>
    <s v="PO-016514"/>
    <x v="55"/>
    <x v="55"/>
    <s v="Set di 48 delimitatori"/>
    <n v="3"/>
    <n v="3"/>
    <s v="Closed"/>
    <s v="11-07-2025"/>
    <x v="13"/>
  </r>
  <r>
    <s v="PO-016514"/>
    <x v="58"/>
    <x v="58"/>
    <s v="Set 10 stuoie"/>
    <n v="1"/>
    <n v="1"/>
    <s v="Closed"/>
    <s v="11-07-2025"/>
    <x v="13"/>
  </r>
  <r>
    <s v="PO-016514"/>
    <x v="59"/>
    <x v="59"/>
    <s v="Set 6 borracce"/>
    <n v="2"/>
    <n v="2"/>
    <s v="Closed"/>
    <s v="11-07-2025"/>
    <x v="13"/>
  </r>
  <r>
    <s v="PO-016514"/>
    <x v="51"/>
    <x v="51"/>
    <s v="Sbarra danza in legno 2 metri"/>
    <n v="1"/>
    <n v="1"/>
    <s v="Closed"/>
    <s v="11-07-2025"/>
    <x v="13"/>
  </r>
  <r>
    <s v="PO-016514"/>
    <x v="250"/>
    <x v="237"/>
    <s v="Set 2 supporti terra per sbarra danza"/>
    <n v="1"/>
    <n v="1"/>
    <s v="Closed"/>
    <s v="11-07-2025"/>
    <x v="13"/>
  </r>
  <r>
    <s v="PO-016531"/>
    <x v="423"/>
    <x v="396"/>
    <s v="Springform 24x7cm"/>
    <n v="38700"/>
    <n v="38700"/>
    <s v="Closed"/>
    <s v="11-07-2025"/>
    <x v="75"/>
  </r>
  <r>
    <s v="PO-016532"/>
    <x v="423"/>
    <x v="396"/>
    <s v="Springform 24x7cm"/>
    <n v="18864"/>
    <n v="18864"/>
    <s v="Closed"/>
    <s v="11-07-2025"/>
    <x v="75"/>
  </r>
  <r>
    <s v="PO-016532"/>
    <x v="424"/>
    <x v="397"/>
    <s v="Cake Form 24x13x6cm"/>
    <n v="19266"/>
    <n v="19266"/>
    <s v="Closed"/>
    <s v="11-07-2025"/>
    <x v="75"/>
  </r>
  <r>
    <s v="PO-016533"/>
    <x v="425"/>
    <x v="398"/>
    <s v="Cast iron casserole 24cm"/>
    <n v="4560"/>
    <n v="4560"/>
    <s v="Closed"/>
    <s v="11-07-2025"/>
    <x v="62"/>
  </r>
  <r>
    <s v="PO-016534"/>
    <x v="425"/>
    <x v="398"/>
    <s v="Cast iron casserole 24cm"/>
    <n v="6368"/>
    <n v="6368"/>
    <s v="Closed"/>
    <s v="11-07-2025"/>
    <x v="62"/>
  </r>
  <r>
    <s v="PO-016538"/>
    <x v="287"/>
    <x v="271"/>
    <s v="Santoku knife 12,5 cm - Acacia"/>
    <n v="3960"/>
    <n v="3960"/>
    <s v="Closed"/>
    <s v="11-07-2025"/>
    <x v="16"/>
  </r>
  <r>
    <s v="PO-016538"/>
    <x v="288"/>
    <x v="272"/>
    <s v="Cutting board - Acacia wood"/>
    <n v="1280"/>
    <n v="1280"/>
    <s v="Closed"/>
    <s v="11-07-2025"/>
    <x v="16"/>
  </r>
  <r>
    <s v="PO-016538"/>
    <x v="289"/>
    <x v="273"/>
    <s v="Carving knife 20 cm - Acacia"/>
    <n v="2880"/>
    <n v="2880"/>
    <s v="Closed"/>
    <s v="11-07-2025"/>
    <x v="16"/>
  </r>
  <r>
    <s v="PO-016538"/>
    <x v="292"/>
    <x v="276"/>
    <s v="Utility knife 12 cm - Acacia"/>
    <n v="15840"/>
    <n v="15840"/>
    <s v="Closed"/>
    <s v="11-07-2025"/>
    <x v="16"/>
  </r>
  <r>
    <s v="PO-016541"/>
    <x v="421"/>
    <x v="395"/>
    <s v="Kitchen shear"/>
    <n v="40002"/>
    <n v="40002"/>
    <s v="Closed"/>
    <s v="14-07-2025"/>
    <x v="16"/>
  </r>
  <r>
    <s v="PO-016541"/>
    <x v="422"/>
    <x v="122"/>
    <s v="Slicing knife"/>
    <n v="14004"/>
    <n v="14004"/>
    <s v="Closed"/>
    <s v="14-07-2025"/>
    <x v="16"/>
  </r>
  <r>
    <s v="PO-016545"/>
    <x v="44"/>
    <x v="44"/>
    <s v="Set di 2 balance board con maniglie"/>
    <n v="2"/>
    <n v="2"/>
    <s v="Closed"/>
    <s v="14-07-2025"/>
    <x v="12"/>
  </r>
  <r>
    <s v="PO-016545"/>
    <x v="39"/>
    <x v="39"/>
    <s v="Set da 4 gym ball"/>
    <n v="1"/>
    <n v="1"/>
    <s v="Closed"/>
    <s v="14-07-2025"/>
    <x v="12"/>
  </r>
  <r>
    <s v="PO-016545"/>
    <x v="43"/>
    <x v="43"/>
    <s v="Set di 10 stretch band"/>
    <n v="3"/>
    <n v="3"/>
    <s v="Closed"/>
    <s v="14-07-2025"/>
    <x v="12"/>
  </r>
  <r>
    <s v="PO-016546"/>
    <x v="35"/>
    <x v="35"/>
    <s v="Set 2 zaini Europa fondo imbottito"/>
    <n v="1"/>
    <n v="1"/>
    <s v="Closed"/>
    <s v="14-07-2025"/>
    <x v="9"/>
  </r>
  <r>
    <s v="PO-016546"/>
    <x v="243"/>
    <x v="230"/>
    <s v="Set 5 palloni gara match king"/>
    <n v="4"/>
    <n v="4"/>
    <s v="Closed"/>
    <s v="14-07-2025"/>
    <x v="9"/>
  </r>
  <r>
    <s v="PO-016546"/>
    <x v="29"/>
    <x v="29"/>
    <s v="Set 2 borse porta palloni"/>
    <n v="1"/>
    <n v="1"/>
    <s v="Closed"/>
    <s v="14-07-2025"/>
    <x v="9"/>
  </r>
  <r>
    <s v="PO-016546"/>
    <x v="32"/>
    <x v="32"/>
    <s v="Set 10 casacche Pro allenamento"/>
    <n v="1"/>
    <n v="1"/>
    <s v="Closed"/>
    <s v="14-07-2025"/>
    <x v="9"/>
  </r>
  <r>
    <s v="PO-016547"/>
    <x v="188"/>
    <x v="21"/>
    <s v="VALIGETTA PRONTO SOCCORSO"/>
    <n v="2"/>
    <n v="2"/>
    <s v="Closed"/>
    <s v="14-07-2025"/>
    <x v="6"/>
  </r>
  <r>
    <s v="PO-016550"/>
    <x v="375"/>
    <x v="350"/>
    <s v="Servingpan 28cm"/>
    <n v="14592"/>
    <n v="14592"/>
    <s v="Closed"/>
    <s v="14-07-2025"/>
    <x v="19"/>
  </r>
  <r>
    <s v="PO-016550"/>
    <x v="376"/>
    <x v="351"/>
    <s v="Stewpot 20cm w/lid"/>
    <n v="14784"/>
    <n v="14784"/>
    <s v="Closed"/>
    <s v="14-07-2025"/>
    <x v="19"/>
  </r>
  <r>
    <s v="PO-016550"/>
    <x v="377"/>
    <x v="352"/>
    <s v="Stockpot 16cm w/lid"/>
    <n v="22140"/>
    <n v="22140"/>
    <s v="Closed"/>
    <s v="14-07-2025"/>
    <x v="19"/>
  </r>
  <r>
    <s v="PO-016550"/>
    <x v="378"/>
    <x v="353"/>
    <s v="Saucepan 16cm w/o lid"/>
    <n v="17280"/>
    <n v="17280"/>
    <s v="Closed"/>
    <s v="14-07-2025"/>
    <x v="19"/>
  </r>
  <r>
    <s v="PO-016550"/>
    <x v="379"/>
    <x v="354"/>
    <s v="Stockpot 24cm w/lid"/>
    <n v="15520"/>
    <n v="15520"/>
    <s v="Closed"/>
    <s v="14-07-2025"/>
    <x v="19"/>
  </r>
  <r>
    <s v="PO-016550"/>
    <x v="380"/>
    <x v="355"/>
    <s v="Frypan 16cm ceramic coated"/>
    <n v="17600"/>
    <n v="17600"/>
    <s v="Closed"/>
    <s v="14-07-2025"/>
    <x v="19"/>
  </r>
  <r>
    <s v="PO-016550"/>
    <x v="381"/>
    <x v="356"/>
    <s v="Frying pan, 20cm, ceramic coated"/>
    <n v="25600"/>
    <n v="25600"/>
    <s v="Closed"/>
    <s v="14-07-2025"/>
    <x v="19"/>
  </r>
  <r>
    <s v="PO-016550"/>
    <x v="382"/>
    <x v="357"/>
    <s v="Frying pan, 24cm, ceramic coated"/>
    <n v="29700"/>
    <n v="29700"/>
    <s v="Closed"/>
    <s v="14-07-2025"/>
    <x v="19"/>
  </r>
  <r>
    <s v="PO-016550"/>
    <x v="383"/>
    <x v="358"/>
    <s v="Frying pan, 28cm, ceramic coated"/>
    <n v="24192"/>
    <n v="24192"/>
    <s v="Closed"/>
    <s v="14-07-2025"/>
    <x v="19"/>
  </r>
  <r>
    <s v="PO-016551"/>
    <x v="375"/>
    <x v="350"/>
    <s v="Servingpan 28cm"/>
    <n v="7296"/>
    <n v="7296"/>
    <s v="Closed"/>
    <s v="14-07-2025"/>
    <x v="19"/>
  </r>
  <r>
    <s v="PO-016551"/>
    <x v="376"/>
    <x v="351"/>
    <s v="Stewpot 20cm w/lid"/>
    <n v="9856"/>
    <n v="9856"/>
    <s v="Closed"/>
    <s v="14-07-2025"/>
    <x v="19"/>
  </r>
  <r>
    <s v="PO-016551"/>
    <x v="379"/>
    <x v="354"/>
    <s v="Stockpot 24cm w/lid"/>
    <n v="3104"/>
    <n v="3104"/>
    <s v="Closed"/>
    <s v="14-07-2025"/>
    <x v="19"/>
  </r>
  <r>
    <s v="PO-016551"/>
    <x v="380"/>
    <x v="355"/>
    <s v="Frypan 16cm ceramic coated"/>
    <n v="17600"/>
    <n v="17600"/>
    <s v="Closed"/>
    <s v="14-07-2025"/>
    <x v="19"/>
  </r>
  <r>
    <s v="PO-016551"/>
    <x v="381"/>
    <x v="356"/>
    <s v="Frying pan, 20cm, ceramic coated"/>
    <n v="12800"/>
    <n v="12800"/>
    <s v="Closed"/>
    <s v="14-07-2025"/>
    <x v="19"/>
  </r>
  <r>
    <s v="PO-016551"/>
    <x v="382"/>
    <x v="357"/>
    <s v="Frying pan, 24cm, ceramic coated"/>
    <n v="9900"/>
    <n v="9900"/>
    <s v="Closed"/>
    <s v="14-07-2025"/>
    <x v="19"/>
  </r>
  <r>
    <s v="PO-016551"/>
    <x v="383"/>
    <x v="358"/>
    <s v="Frying pan, 28cm, ceramic coated"/>
    <n v="12096"/>
    <n v="12096"/>
    <s v="Closed"/>
    <s v="14-07-2025"/>
    <x v="19"/>
  </r>
  <r>
    <s v="PO-016552"/>
    <x v="375"/>
    <x v="350"/>
    <s v="Servingpan 28cm"/>
    <n v="7296"/>
    <n v="7296"/>
    <s v="Approved"/>
    <s v="14-07-2025"/>
    <x v="19"/>
  </r>
  <r>
    <s v="PO-016552"/>
    <x v="376"/>
    <x v="351"/>
    <s v="Stewpot 20cm w/lid"/>
    <n v="4928"/>
    <n v="4928"/>
    <s v="Approved"/>
    <s v="14-07-2025"/>
    <x v="19"/>
  </r>
  <r>
    <s v="PO-016552"/>
    <x v="377"/>
    <x v="352"/>
    <s v="Stockpot 16cm w/lid"/>
    <n v="7380"/>
    <n v="7380"/>
    <s v="Approved"/>
    <s v="14-07-2025"/>
    <x v="19"/>
  </r>
  <r>
    <s v="PO-016552"/>
    <x v="378"/>
    <x v="353"/>
    <s v="Saucepan 16cm w/o lid"/>
    <n v="11520"/>
    <n v="17280"/>
    <s v="Approved"/>
    <s v="14-07-2025"/>
    <x v="19"/>
  </r>
  <r>
    <s v="PO-016552"/>
    <x v="379"/>
    <x v="354"/>
    <s v="Stockpot 24cm w/lid"/>
    <n v="6208"/>
    <n v="6208"/>
    <s v="Approved"/>
    <s v="14-07-2025"/>
    <x v="19"/>
  </r>
  <r>
    <s v="PO-016552"/>
    <x v="380"/>
    <x v="355"/>
    <s v="Frypan 16cm ceramic coated"/>
    <n v="4800"/>
    <n v="4800"/>
    <s v="Approved"/>
    <s v="14-07-2025"/>
    <x v="19"/>
  </r>
  <r>
    <s v="PO-016552"/>
    <x v="381"/>
    <x v="356"/>
    <s v="Frying pan, 20cm, ceramic coated"/>
    <n v="12800"/>
    <n v="12800"/>
    <s v="Approved"/>
    <s v="14-07-2025"/>
    <x v="19"/>
  </r>
  <r>
    <s v="PO-016552"/>
    <x v="382"/>
    <x v="357"/>
    <s v="Frying pan, 24cm, ceramic coated"/>
    <n v="19800"/>
    <n v="19800"/>
    <s v="Approved"/>
    <s v="14-07-2025"/>
    <x v="19"/>
  </r>
  <r>
    <s v="PO-016552"/>
    <x v="383"/>
    <x v="358"/>
    <s v="Frying pan, 28cm, ceramic coated"/>
    <n v="12096"/>
    <n v="12096"/>
    <s v="Approved"/>
    <s v="14-07-2025"/>
    <x v="19"/>
  </r>
  <r>
    <s v="PO-016553"/>
    <x v="375"/>
    <x v="350"/>
    <s v="Servingpan 28cm"/>
    <n v="7296"/>
    <n v="7296"/>
    <s v="Closed"/>
    <s v="14-07-2025"/>
    <x v="19"/>
  </r>
  <r>
    <s v="PO-016553"/>
    <x v="376"/>
    <x v="351"/>
    <s v="Stewpot 20cm w/lid"/>
    <n v="9856"/>
    <n v="9856"/>
    <s v="Closed"/>
    <s v="14-07-2025"/>
    <x v="19"/>
  </r>
  <r>
    <s v="PO-016553"/>
    <x v="377"/>
    <x v="352"/>
    <s v="Stockpot 16cm w/lid"/>
    <n v="7380"/>
    <n v="7880"/>
    <s v="Closed"/>
    <s v="14-07-2025"/>
    <x v="19"/>
  </r>
  <r>
    <s v="PO-016553"/>
    <x v="378"/>
    <x v="353"/>
    <s v="Saucepan 16cm w/o lid"/>
    <n v="5760"/>
    <n v="10080"/>
    <s v="Closed"/>
    <s v="14-07-2025"/>
    <x v="19"/>
  </r>
  <r>
    <s v="PO-016553"/>
    <x v="379"/>
    <x v="354"/>
    <s v="Stockpot 24cm w/lid"/>
    <n v="6208"/>
    <n v="6208"/>
    <s v="Closed"/>
    <s v="14-07-2025"/>
    <x v="19"/>
  </r>
  <r>
    <s v="PO-016553"/>
    <x v="381"/>
    <x v="356"/>
    <s v="Frying pan, 20cm, ceramic coated"/>
    <n v="11776"/>
    <n v="11776"/>
    <s v="Closed"/>
    <s v="14-07-2025"/>
    <x v="19"/>
  </r>
  <r>
    <s v="PO-016553"/>
    <x v="382"/>
    <x v="357"/>
    <s v="Frying pan, 24cm, ceramic coated"/>
    <n v="9900"/>
    <n v="9900"/>
    <s v="Closed"/>
    <s v="14-07-2025"/>
    <x v="19"/>
  </r>
  <r>
    <s v="PO-016553"/>
    <x v="383"/>
    <x v="358"/>
    <s v="Frying pan, 28cm, ceramic coated"/>
    <n v="12096"/>
    <n v="12096"/>
    <s v="Closed"/>
    <s v="14-07-2025"/>
    <x v="19"/>
  </r>
  <r>
    <s v="PO-016554"/>
    <x v="375"/>
    <x v="350"/>
    <s v="Servingpan 28cm"/>
    <n v="10512"/>
    <n v="10512"/>
    <s v="Approved"/>
    <s v="14-07-2025"/>
    <x v="19"/>
  </r>
  <r>
    <s v="PO-016554"/>
    <x v="376"/>
    <x v="351"/>
    <s v="Stewpot 20cm w/lid"/>
    <n v="7316"/>
    <n v="7316"/>
    <s v="Approved"/>
    <s v="14-07-2025"/>
    <x v="19"/>
  </r>
  <r>
    <s v="PO-016554"/>
    <x v="377"/>
    <x v="352"/>
    <s v="Stockpot 16cm w/lid"/>
    <n v="16764"/>
    <n v="16264"/>
    <s v="Approved"/>
    <s v="14-07-2025"/>
    <x v="19"/>
  </r>
  <r>
    <s v="PO-016554"/>
    <x v="378"/>
    <x v="353"/>
    <s v="Saucepan 16cm w/o lid"/>
    <n v="10320"/>
    <n v="240"/>
    <s v="Approved"/>
    <s v="14-07-2025"/>
    <x v="19"/>
  </r>
  <r>
    <s v="PO-016554"/>
    <x v="379"/>
    <x v="354"/>
    <s v="Stockpot 24cm w/lid"/>
    <n v="7168"/>
    <n v="7168"/>
    <s v="Approved"/>
    <s v="14-07-2025"/>
    <x v="19"/>
  </r>
  <r>
    <s v="PO-016554"/>
    <x v="382"/>
    <x v="357"/>
    <s v="Frying pan, 24cm, ceramic coated"/>
    <n v="11468"/>
    <n v="11468"/>
    <s v="Approved"/>
    <s v="14-07-2025"/>
    <x v="19"/>
  </r>
  <r>
    <s v="PO-016554"/>
    <x v="383"/>
    <x v="358"/>
    <s v="Frying pan, 28cm, ceramic coated"/>
    <n v="15120"/>
    <n v="15120"/>
    <s v="Approved"/>
    <s v="14-07-2025"/>
    <x v="19"/>
  </r>
  <r>
    <s v="PO-016567"/>
    <x v="308"/>
    <x v="291"/>
    <s v="Casserole with lid 16cm"/>
    <n v="2888"/>
    <n v="2888"/>
    <s v="Closed"/>
    <s v="16-07-2025"/>
    <x v="17"/>
  </r>
  <r>
    <s v="PO-016567"/>
    <x v="373"/>
    <x v="76"/>
    <s v="Casserole with lid 20cm"/>
    <n v="2888"/>
    <n v="2888"/>
    <s v="Closed"/>
    <s v="16-07-2025"/>
    <x v="17"/>
  </r>
  <r>
    <s v="PO-016568"/>
    <x v="426"/>
    <x v="399"/>
    <s v="Zester"/>
    <n v="3900"/>
    <n v="3900"/>
    <s v="Closed"/>
    <s v="16-07-2025"/>
    <x v="61"/>
  </r>
  <r>
    <s v="PO-016574"/>
    <x v="215"/>
    <x v="202"/>
    <s v="Utility Knife 130mm"/>
    <n v="7020"/>
    <n v="7020"/>
    <s v="Closed"/>
    <s v="17-07-2025"/>
    <x v="19"/>
  </r>
  <r>
    <s v="PO-016574"/>
    <x v="427"/>
    <x v="400"/>
    <s v="Santoku Knife 180mm"/>
    <n v="10000"/>
    <n v="10000"/>
    <s v="Closed"/>
    <s v="17-07-2025"/>
    <x v="19"/>
  </r>
  <r>
    <s v="PO-016574"/>
    <x v="428"/>
    <x v="401"/>
    <s v="Chef´s Knife 200mm"/>
    <n v="10000"/>
    <n v="10000"/>
    <s v="Closed"/>
    <s v="17-07-2025"/>
    <x v="19"/>
  </r>
  <r>
    <s v="PO-016585"/>
    <x v="228"/>
    <x v="215"/>
    <s v="Lid of glass storage vacuum rec. 800ml"/>
    <n v="27000"/>
    <n v="27000"/>
    <s v="Closed"/>
    <s v="17-07-2025"/>
    <x v="14"/>
  </r>
  <r>
    <s v="PO-016585"/>
    <x v="229"/>
    <x v="216"/>
    <s v="Lid of glass storage vacuum rec. 1500ml"/>
    <n v="30000"/>
    <n v="30000"/>
    <s v="Closed"/>
    <s v="17-07-2025"/>
    <x v="14"/>
  </r>
  <r>
    <s v="PO-016585"/>
    <x v="429"/>
    <x v="402"/>
    <s v="Lid of glass storage vacuum rnd 1100ml"/>
    <n v="9000"/>
    <n v="9000"/>
    <s v="Closed"/>
    <s v="17-07-2025"/>
    <x v="14"/>
  </r>
  <r>
    <s v="PO-016585"/>
    <x v="430"/>
    <x v="249"/>
    <s v="Vacuum pump - Manual"/>
    <n v="24000"/>
    <n v="24000"/>
    <s v="Closed"/>
    <s v="17-07-2025"/>
    <x v="14"/>
  </r>
  <r>
    <s v="PO-016589"/>
    <x v="228"/>
    <x v="215"/>
    <s v="Lid of glass storage vacuum rec. 800ml"/>
    <n v="27000"/>
    <n v="27000"/>
    <s v="Closed"/>
    <s v="18-07-2025"/>
    <x v="14"/>
  </r>
  <r>
    <s v="PO-016589"/>
    <x v="229"/>
    <x v="216"/>
    <s v="Lid of glass storage vacuum rec. 1500ml"/>
    <n v="30000"/>
    <n v="30000"/>
    <s v="Closed"/>
    <s v="18-07-2025"/>
    <x v="14"/>
  </r>
  <r>
    <s v="PO-016589"/>
    <x v="429"/>
    <x v="402"/>
    <s v="Lid of glass storage vacuum rnd 1100ml"/>
    <n v="9000"/>
    <n v="9000"/>
    <s v="Closed"/>
    <s v="18-07-2025"/>
    <x v="14"/>
  </r>
  <r>
    <s v="PO-016589"/>
    <x v="430"/>
    <x v="249"/>
    <s v="Vacuum pump - Manual"/>
    <n v="24000"/>
    <n v="24000"/>
    <s v="Closed"/>
    <s v="18-07-2025"/>
    <x v="14"/>
  </r>
  <r>
    <s v="PO-016591"/>
    <x v="431"/>
    <x v="403"/>
    <s v="Round Baker"/>
    <n v="76196"/>
    <n v="80340"/>
    <s v="Approved"/>
    <s v="18-07-2025"/>
    <x v="68"/>
  </r>
  <r>
    <s v="PO-016591"/>
    <x v="432"/>
    <x v="404"/>
    <s v="Rectangular Baker M"/>
    <n v="65000"/>
    <n v="65000"/>
    <s v="Approved"/>
    <s v="18-07-2025"/>
    <x v="68"/>
  </r>
  <r>
    <s v="PO-016594"/>
    <x v="432"/>
    <x v="404"/>
    <s v="Rectangular Baker M"/>
    <n v="73532"/>
    <n v="55756"/>
    <s v="Approved"/>
    <s v="18-07-2025"/>
    <x v="20"/>
  </r>
  <r>
    <s v="PO-016594"/>
    <x v="433"/>
    <x v="405"/>
    <s v="Round Casserole with lid"/>
    <n v="39036"/>
    <n v="36380"/>
    <s v="Approved"/>
    <s v="18-07-2025"/>
    <x v="20"/>
  </r>
  <r>
    <s v="PO-016594"/>
    <x v="434"/>
    <x v="406"/>
    <s v="Bowl 12cm 2 pcs"/>
    <n v="56112"/>
    <n v="50204"/>
    <s v="Approved"/>
    <s v="18-07-2025"/>
    <x v="20"/>
  </r>
  <r>
    <s v="PO-016594"/>
    <x v="435"/>
    <x v="407"/>
    <s v="Dessert plate 18cm 2 pcs"/>
    <n v="17432"/>
    <n v="17432"/>
    <s v="Approved"/>
    <s v="18-07-2025"/>
    <x v="20"/>
  </r>
  <r>
    <s v="PO-016594"/>
    <x v="436"/>
    <x v="408"/>
    <s v="Pasta/Soup plate 2 pcs"/>
    <n v="43912"/>
    <n v="35356"/>
    <s v="Approved"/>
    <s v="18-07-2025"/>
    <x v="20"/>
  </r>
  <r>
    <s v="PO-016594"/>
    <x v="437"/>
    <x v="409"/>
    <s v="Dinner plate 26cm 2 pcs"/>
    <n v="10800"/>
    <n v="10800"/>
    <s v="Approved"/>
    <s v="18-07-2025"/>
    <x v="20"/>
  </r>
  <r>
    <s v="PO-016598"/>
    <x v="438"/>
    <x v="410"/>
    <s v="SET FORBICI"/>
    <n v="1238"/>
    <n v="1238"/>
    <s v="Approved"/>
    <s v="21-07-2025"/>
    <x v="5"/>
  </r>
  <r>
    <s v="PO-016598"/>
    <x v="439"/>
    <x v="411"/>
    <s v="SET SCRIVI E CANCELLA"/>
    <n v="62"/>
    <n v="62"/>
    <s v="Approved"/>
    <s v="21-07-2025"/>
    <x v="5"/>
  </r>
  <r>
    <s v="PO-016598"/>
    <x v="440"/>
    <x v="412"/>
    <s v="VALIGETTA POSCA 10PZ COLORI ASSORTITI"/>
    <n v="1309"/>
    <n v="1296"/>
    <s v="Approved"/>
    <s v="21-07-2025"/>
    <x v="5"/>
  </r>
  <r>
    <s v="PO-016598"/>
    <x v="441"/>
    <x v="413"/>
    <s v="SCHOOL BOX 112 PEZZI"/>
    <n v="343"/>
    <n v="336"/>
    <s v="Approved"/>
    <s v="21-07-2025"/>
    <x v="5"/>
  </r>
  <r>
    <s v="PO-016598"/>
    <x v="442"/>
    <x v="310"/>
    <s v="SET 20 COLLE STICK"/>
    <n v="4041"/>
    <n v="4041"/>
    <s v="Approved"/>
    <s v="21-07-2025"/>
    <x v="5"/>
  </r>
  <r>
    <s v="PO-016598"/>
    <x v="443"/>
    <x v="414"/>
    <s v="SET 12 BOTTIGLIE TEMPERE COLORI PRIMARI 1"/>
    <n v="1620"/>
    <n v="1620"/>
    <s v="Approved"/>
    <s v="21-07-2025"/>
    <x v="5"/>
  </r>
  <r>
    <s v="PO-016598"/>
    <x v="444"/>
    <x v="415"/>
    <s v="SET 12 BOTTIGLIE TEMPERE COLORI ADDIZIONALI 1"/>
    <n v="1080"/>
    <n v="1080"/>
    <s v="Approved"/>
    <s v="21-07-2025"/>
    <x v="5"/>
  </r>
  <r>
    <s v="PO-016598"/>
    <x v="445"/>
    <x v="416"/>
    <s v="SET 12 PANETTI DI PASTA BIANCA 500 GR"/>
    <n v="886"/>
    <n v="886"/>
    <s v="Approved"/>
    <s v="21-07-2025"/>
    <x v="5"/>
  </r>
  <r>
    <s v="PO-016598"/>
    <x v="446"/>
    <x v="417"/>
    <s v="SET 12 PANETTI DI PASTA TERRACOTTA  500 G"/>
    <n v="417"/>
    <n v="417"/>
    <s v="Approved"/>
    <s v="21-07-2025"/>
    <x v="5"/>
  </r>
  <r>
    <s v="PO-016598"/>
    <x v="447"/>
    <x v="418"/>
    <s v="SET 10 PZ  BLISTER 22 PASTIGLIE ACQUERELLO"/>
    <n v="515"/>
    <n v="515"/>
    <s v="Approved"/>
    <s v="21-07-2025"/>
    <x v="5"/>
  </r>
  <r>
    <s v="PO-016598"/>
    <x v="448"/>
    <x v="419"/>
    <s v="SET 6 BOTTIGLIE DI COLLA VINILICA DA 1000 G"/>
    <n v="1847"/>
    <n v="1847"/>
    <s v="Approved"/>
    <s v="21-07-2025"/>
    <x v="5"/>
  </r>
  <r>
    <s v="PO-016598"/>
    <x v="449"/>
    <x v="420"/>
    <s v="SET TELE PITTURA DECO STUDIO 28 PZ"/>
    <n v="249"/>
    <n v="249"/>
    <s v="Approved"/>
    <s v="21-07-2025"/>
    <x v="5"/>
  </r>
  <r>
    <s v="PO-016598"/>
    <x v="450"/>
    <x v="421"/>
    <s v="BAULETTO MAMBO 180"/>
    <n v="1665"/>
    <n v="1665"/>
    <s v="Approved"/>
    <s v="21-07-2025"/>
    <x v="5"/>
  </r>
  <r>
    <s v="PO-016598"/>
    <x v="451"/>
    <x v="422"/>
    <s v="BAULETTO RUMBA"/>
    <n v="404"/>
    <n v="404"/>
    <s v="Approved"/>
    <s v="21-07-2025"/>
    <x v="5"/>
  </r>
  <r>
    <s v="PO-016598"/>
    <x v="452"/>
    <x v="423"/>
    <s v="SET 4 RISME DA 100 CARTONCINI PRISMA"/>
    <n v="2237"/>
    <n v="2237"/>
    <s v="Approved"/>
    <s v="21-07-2025"/>
    <x v="5"/>
  </r>
  <r>
    <s v="PO-016598"/>
    <x v="453"/>
    <x v="424"/>
    <s v="SET 4 RISME DA 100 FOGLI DI CARTONCINI BRISTOL"/>
    <n v="1643"/>
    <n v="1643"/>
    <s v="Approved"/>
    <s v="21-07-2025"/>
    <x v="5"/>
  </r>
  <r>
    <s v="PO-016598"/>
    <x v="454"/>
    <x v="425"/>
    <s v="SET 3 VALIGETTE APPRENDIMENTO BASE"/>
    <n v="99"/>
    <n v="99"/>
    <s v="Approved"/>
    <s v="21-07-2025"/>
    <x v="5"/>
  </r>
  <r>
    <s v="PO-016598"/>
    <x v="455"/>
    <x v="426"/>
    <s v="SET 5 PALLONI VOLLEY"/>
    <n v="164"/>
    <n v="163"/>
    <s v="Approved"/>
    <s v="21-07-2025"/>
    <x v="5"/>
  </r>
  <r>
    <s v="PO-016598"/>
    <x v="456"/>
    <x v="427"/>
    <s v="SET 6 PALLONI CALCIO PIXEL"/>
    <n v="224"/>
    <n v="224"/>
    <s v="Approved"/>
    <s v="21-07-2025"/>
    <x v="5"/>
  </r>
  <r>
    <s v="PO-016598"/>
    <x v="457"/>
    <x v="428"/>
    <s v="SET PORTA CALCIO 2 IN 1"/>
    <n v="293"/>
    <n v="293"/>
    <s v="Approved"/>
    <s v="21-07-2025"/>
    <x v="5"/>
  </r>
  <r>
    <s v="PO-016598"/>
    <x v="458"/>
    <x v="429"/>
    <s v="SET 6 PALLONI VOLLEY PIXEL"/>
    <n v="632"/>
    <n v="620"/>
    <s v="Approved"/>
    <s v="21-07-2025"/>
    <x v="5"/>
  </r>
  <r>
    <s v="PO-016598"/>
    <x v="459"/>
    <x v="430"/>
    <s v="SET 10 CORDE SALTO"/>
    <n v="278"/>
    <n v="278"/>
    <s v="Approved"/>
    <s v="21-07-2025"/>
    <x v="5"/>
  </r>
  <r>
    <s v="PO-016598"/>
    <x v="460"/>
    <x v="314"/>
    <s v="TENNIS TAVOLO"/>
    <n v="32"/>
    <n v="32"/>
    <s v="Approved"/>
    <s v="21-07-2025"/>
    <x v="5"/>
  </r>
  <r>
    <s v="PO-016598"/>
    <x v="461"/>
    <x v="431"/>
    <s v="TERMOMETRO A INFRAROSSI MULTIFUNZIONE"/>
    <n v="211"/>
    <n v="211"/>
    <s v="Approved"/>
    <s v="21-07-2025"/>
    <x v="5"/>
  </r>
  <r>
    <s v="PO-016598"/>
    <x v="462"/>
    <x v="432"/>
    <s v="MISURATORE DI PRESSIONE DA BRACCIO DIGITALE"/>
    <n v="167"/>
    <n v="167"/>
    <s v="Approved"/>
    <s v="21-07-2025"/>
    <x v="5"/>
  </r>
  <r>
    <s v="PO-016598"/>
    <x v="463"/>
    <x v="433"/>
    <s v="PULSOSSIMETRO"/>
    <n v="44"/>
    <n v="44"/>
    <s v="Approved"/>
    <s v="21-07-2025"/>
    <x v="5"/>
  </r>
  <r>
    <s v="PO-016598"/>
    <x v="464"/>
    <x v="434"/>
    <s v="SET 6 PALLONI IN SPUGNA"/>
    <n v="1274"/>
    <n v="1274"/>
    <s v="Approved"/>
    <s v="21-07-2025"/>
    <x v="5"/>
  </r>
  <r>
    <s v="PO-016599"/>
    <x v="465"/>
    <x v="435"/>
    <s v="IRIS PEN READER 8"/>
    <n v="144"/>
    <n v="144"/>
    <s v="Closed"/>
    <s v="21-07-2025"/>
    <x v="65"/>
  </r>
  <r>
    <s v="PO-016600"/>
    <x v="466"/>
    <x v="436"/>
    <s v="SET 3 COLLA A CALDO"/>
    <n v="486"/>
    <n v="486"/>
    <s v="Closed"/>
    <s v="21-07-2025"/>
    <x v="64"/>
  </r>
  <r>
    <s v="PO-016600"/>
    <x v="467"/>
    <x v="437"/>
    <s v="TRONCO UMANO SCOMPONIBILE CM 85"/>
    <n v="92"/>
    <n v="92"/>
    <s v="Closed"/>
    <s v="21-07-2025"/>
    <x v="64"/>
  </r>
  <r>
    <s v="PO-016600"/>
    <x v="468"/>
    <x v="438"/>
    <s v="SCHELETRO UMANO ALTEZZA 180CM"/>
    <n v="79"/>
    <n v="79"/>
    <s v="Closed"/>
    <s v="21-07-2025"/>
    <x v="64"/>
  </r>
  <r>
    <s v="PO-016600"/>
    <x v="469"/>
    <x v="439"/>
    <s v="SISTEMA SOLARE LUMINOSO"/>
    <n v="245"/>
    <n v="245"/>
    <s v="Closed"/>
    <s v="21-07-2025"/>
    <x v="64"/>
  </r>
  <r>
    <s v="PO-016600"/>
    <x v="470"/>
    <x v="440"/>
    <s v="TELESCOPIO CANNOCCHIALE"/>
    <n v="37"/>
    <n v="37"/>
    <s v="Closed"/>
    <s v="21-07-2025"/>
    <x v="64"/>
  </r>
  <r>
    <s v="PO-016600"/>
    <x v="471"/>
    <x v="441"/>
    <s v="PALLINO CODING - 2 PEZZI"/>
    <n v="233"/>
    <n v="237"/>
    <s v="Closed"/>
    <s v="21-07-2025"/>
    <x v="64"/>
  </r>
  <r>
    <s v="PO-016600"/>
    <x v="472"/>
    <x v="442"/>
    <s v="MULTIBASE MAGNETICO"/>
    <n v="321"/>
    <n v="321"/>
    <s v="Closed"/>
    <s v="21-07-2025"/>
    <x v="64"/>
  </r>
  <r>
    <s v="PO-016600"/>
    <x v="473"/>
    <x v="443"/>
    <s v="MINI BLOCKS 500PZ"/>
    <n v="356"/>
    <n v="356"/>
    <s v="Closed"/>
    <s v="21-07-2025"/>
    <x v="64"/>
  </r>
  <r>
    <s v="PO-016600"/>
    <x v="474"/>
    <x v="444"/>
    <s v="GEOMETRIA ECO"/>
    <n v="181"/>
    <n v="181"/>
    <s v="Closed"/>
    <s v="21-07-2025"/>
    <x v="64"/>
  </r>
  <r>
    <s v="PO-016600"/>
    <x v="475"/>
    <x v="445"/>
    <s v="LEZIONI DI GEOMETRIA"/>
    <n v="145"/>
    <n v="145"/>
    <s v="Closed"/>
    <s v="21-07-2025"/>
    <x v="64"/>
  </r>
  <r>
    <s v="PO-016600"/>
    <x v="476"/>
    <x v="446"/>
    <s v="IMPARIAMO A CONTARE - VERSIONE ECO"/>
    <n v="41"/>
    <n v="41"/>
    <s v="Closed"/>
    <s v="21-07-2025"/>
    <x v="64"/>
  </r>
  <r>
    <s v="PO-016600"/>
    <x v="477"/>
    <x v="447"/>
    <s v="IMPARARE I NUMERI"/>
    <n v="143"/>
    <n v="143"/>
    <s v="Closed"/>
    <s v="21-07-2025"/>
    <x v="64"/>
  </r>
  <r>
    <s v="PO-016600"/>
    <x v="478"/>
    <x v="448"/>
    <s v="SET MUSICALE"/>
    <n v="304"/>
    <n v="304"/>
    <s v="Closed"/>
    <s v="21-07-2025"/>
    <x v="64"/>
  </r>
  <r>
    <s v="PO-016600"/>
    <x v="479"/>
    <x v="449"/>
    <s v="MEMO TONDO DELLE EMOZIONI"/>
    <n v="115"/>
    <n v="115"/>
    <s v="Closed"/>
    <s v="21-07-2025"/>
    <x v="64"/>
  </r>
  <r>
    <s v="PO-016600"/>
    <x v="480"/>
    <x v="450"/>
    <s v="SET BASE MULTISPORT"/>
    <n v="126"/>
    <n v="126"/>
    <s v="Closed"/>
    <s v="21-07-2025"/>
    <x v="64"/>
  </r>
  <r>
    <s v="PO-016601"/>
    <x v="481"/>
    <x v="451"/>
    <s v="MONITOR 65 TOUCH"/>
    <n v="62"/>
    <n v="62"/>
    <s v="Closed"/>
    <s v="21-07-2025"/>
    <x v="6"/>
  </r>
  <r>
    <s v="PO-016601"/>
    <x v="482"/>
    <x v="452"/>
    <s v="INSTALLAZIONE MONITOR TOUCH"/>
    <n v="11"/>
    <n v="11"/>
    <s v="Closed"/>
    <s v="21-07-2025"/>
    <x v="6"/>
  </r>
  <r>
    <s v="PO-016601"/>
    <x v="483"/>
    <x v="453"/>
    <s v="CARRELLO VIEWSONIC PORTA MONITOR"/>
    <n v="31"/>
    <n v="31"/>
    <s v="Closed"/>
    <s v="21-07-2025"/>
    <x v="6"/>
  </r>
  <r>
    <s v="PO-016601"/>
    <x v="484"/>
    <x v="454"/>
    <s v="VIDEOPROIETTORE FOCALE ULTRA CORTA CON STAFFA (VID"/>
    <n v="24"/>
    <n v="24"/>
    <s v="Closed"/>
    <s v="21-07-2025"/>
    <x v="6"/>
  </r>
  <r>
    <s v="PO-016601"/>
    <x v="485"/>
    <x v="455"/>
    <s v="CHROMEBOOK 14 FULL HD CON LICENZA"/>
    <n v="73"/>
    <n v="73"/>
    <s v="Closed"/>
    <s v="21-07-2025"/>
    <x v="6"/>
  </r>
  <r>
    <s v="PO-016601"/>
    <x v="486"/>
    <x v="456"/>
    <s v="NOTEBOOK 15.6 CELERON"/>
    <n v="109"/>
    <n v="109"/>
    <s v="Closed"/>
    <s v="21-07-2025"/>
    <x v="6"/>
  </r>
  <r>
    <s v="PO-016601"/>
    <x v="487"/>
    <x v="457"/>
    <s v="NOTEBOOK I3"/>
    <n v="205"/>
    <n v="205"/>
    <s v="Closed"/>
    <s v="21-07-2025"/>
    <x v="6"/>
  </r>
  <r>
    <s v="PO-016601"/>
    <x v="488"/>
    <x v="458"/>
    <s v="NOTEBOOK ACER 15.6 FULL HD"/>
    <n v="123"/>
    <n v="123"/>
    <s v="Closed"/>
    <s v="21-07-2025"/>
    <x v="6"/>
  </r>
  <r>
    <s v="PO-016601"/>
    <x v="489"/>
    <x v="459"/>
    <s v="TABLET 10,1"/>
    <n v="255"/>
    <n v="255"/>
    <s v="Closed"/>
    <s v="21-07-2025"/>
    <x v="6"/>
  </r>
  <r>
    <s v="PO-016601"/>
    <x v="490"/>
    <x v="460"/>
    <s v="MONITOR PER PC 24 FULL HD"/>
    <n v="36"/>
    <n v="36"/>
    <s v="Closed"/>
    <s v="21-07-2025"/>
    <x v="6"/>
  </r>
  <r>
    <s v="PO-016601"/>
    <x v="491"/>
    <x v="461"/>
    <s v="SET 5 LICENZE MICROSOFT OFFICE STANDARD PERPETUE"/>
    <n v="47"/>
    <n v="47"/>
    <s v="Closed"/>
    <s v="21-07-2025"/>
    <x v="6"/>
  </r>
  <r>
    <s v="PO-016601"/>
    <x v="492"/>
    <x v="329"/>
    <s v="MASTERIZZATORE E LETTORE DVD PORTATILE HP"/>
    <n v="137"/>
    <n v="137"/>
    <s v="Closed"/>
    <s v="21-07-2025"/>
    <x v="6"/>
  </r>
  <r>
    <s v="PO-016601"/>
    <x v="493"/>
    <x v="462"/>
    <s v="HARD DISK PORTATILE USB"/>
    <n v="90"/>
    <n v="90"/>
    <s v="Closed"/>
    <s v="21-07-2025"/>
    <x v="6"/>
  </r>
  <r>
    <s v="PO-016601"/>
    <x v="494"/>
    <x v="463"/>
    <s v="SET DI 5 CAVI HDMI DA 5 MT"/>
    <n v="362"/>
    <n v="362"/>
    <s v="Closed"/>
    <s v="21-07-2025"/>
    <x v="6"/>
  </r>
  <r>
    <s v="PO-016601"/>
    <x v="495"/>
    <x v="464"/>
    <s v="ADATTATORE USB TYPE-C HDMI"/>
    <n v="107"/>
    <n v="107"/>
    <s v="Closed"/>
    <s v="21-07-2025"/>
    <x v="6"/>
  </r>
  <r>
    <s v="PO-016601"/>
    <x v="496"/>
    <x v="465"/>
    <s v="SCHERMO PER PROIETTORI"/>
    <n v="58"/>
    <n v="58"/>
    <s v="Closed"/>
    <s v="21-07-2025"/>
    <x v="6"/>
  </r>
  <r>
    <s v="PO-016601"/>
    <x v="497"/>
    <x v="466"/>
    <s v="DOCUMENT CAMERA, VISUALIZER, WEBCAM"/>
    <n v="107"/>
    <n v="107"/>
    <s v="Closed"/>
    <s v="21-07-2025"/>
    <x v="6"/>
  </r>
  <r>
    <s v="PO-016601"/>
    <x v="498"/>
    <x v="467"/>
    <s v="SOUNDBAR PREAMPLIFICATA 90W"/>
    <n v="27"/>
    <n v="27"/>
    <s v="Closed"/>
    <s v="21-07-2025"/>
    <x v="6"/>
  </r>
  <r>
    <s v="PO-016601"/>
    <x v="499"/>
    <x v="468"/>
    <s v="COPPIA DI CASSE IN LEGNO PREAMPLIFICATE DA 100W"/>
    <n v="128"/>
    <n v="128"/>
    <s v="Closed"/>
    <s v="21-07-2025"/>
    <x v="6"/>
  </r>
  <r>
    <s v="PO-016601"/>
    <x v="500"/>
    <x v="323"/>
    <s v="SPEAKER PORTATILE USB"/>
    <n v="405"/>
    <n v="405"/>
    <s v="Closed"/>
    <s v="21-07-2025"/>
    <x v="6"/>
  </r>
  <r>
    <s v="PO-016601"/>
    <x v="501"/>
    <x v="325"/>
    <s v="AMPLIFICATORE DA CINTURA KARMA"/>
    <n v="319"/>
    <n v="319"/>
    <s v="Closed"/>
    <s v="21-07-2025"/>
    <x v="6"/>
  </r>
  <r>
    <s v="PO-016601"/>
    <x v="502"/>
    <x v="469"/>
    <s v="MICROFONO WIRELESS CON RICEVITORE"/>
    <n v="557"/>
    <n v="557"/>
    <s v="Closed"/>
    <s v="21-07-2025"/>
    <x v="6"/>
  </r>
  <r>
    <s v="PO-016601"/>
    <x v="503"/>
    <x v="470"/>
    <s v="CASSA TRASPORTABILE AMPLIFICATA A BATTERIA"/>
    <n v="704"/>
    <n v="704"/>
    <s v="Closed"/>
    <s v="21-07-2025"/>
    <x v="6"/>
  </r>
  <r>
    <s v="PO-016601"/>
    <x v="504"/>
    <x v="471"/>
    <s v="STAMPANTE INKJET BIANCO E NERO EPSON ECOTANK"/>
    <n v="85"/>
    <n v="85"/>
    <s v="Closed"/>
    <s v="21-07-2025"/>
    <x v="6"/>
  </r>
  <r>
    <s v="PO-016601"/>
    <x v="505"/>
    <x v="472"/>
    <s v="STAMPANTE MULTIFUNZIONE INKJET A4"/>
    <n v="183"/>
    <n v="183"/>
    <s v="Closed"/>
    <s v="21-07-2025"/>
    <x v="6"/>
  </r>
  <r>
    <s v="PO-016601"/>
    <x v="506"/>
    <x v="473"/>
    <s v="STAMPANTE MULTIFUNZIONE LASER BIANCO E NERO A4"/>
    <n v="70"/>
    <n v="70"/>
    <s v="Closed"/>
    <s v="21-07-2025"/>
    <x v="6"/>
  </r>
  <r>
    <s v="PO-016601"/>
    <x v="507"/>
    <x v="474"/>
    <s v="FUJITSU SCANNER"/>
    <n v="36"/>
    <n v="36"/>
    <s v="Closed"/>
    <s v="21-07-2025"/>
    <x v="6"/>
  </r>
  <r>
    <s v="PO-016601"/>
    <x v="508"/>
    <x v="475"/>
    <s v="SET DI 3 MOUSE WIRELESS AMBI DESTRI"/>
    <n v="500"/>
    <n v="500"/>
    <s v="Closed"/>
    <s v="21-07-2025"/>
    <x v="6"/>
  </r>
  <r>
    <s v="PO-016601"/>
    <x v="509"/>
    <x v="476"/>
    <s v="PRESENTER"/>
    <n v="59"/>
    <n v="59"/>
    <s v="Closed"/>
    <s v="21-07-2025"/>
    <x v="6"/>
  </r>
  <r>
    <s v="PO-016601"/>
    <x v="510"/>
    <x v="477"/>
    <s v="12 LICENZE MINECRAFT"/>
    <n v="37"/>
    <n v="37"/>
    <s v="Closed"/>
    <s v="21-07-2025"/>
    <x v="6"/>
  </r>
  <r>
    <s v="PO-016601"/>
    <x v="511"/>
    <x v="478"/>
    <s v="CUCITRICE AD ALTI SPESSORI"/>
    <n v="178"/>
    <n v="178"/>
    <s v="Closed"/>
    <s v="21-07-2025"/>
    <x v="6"/>
  </r>
  <r>
    <s v="PO-016601"/>
    <x v="512"/>
    <x v="479"/>
    <s v="TAGLIERINA ROTANTE A3"/>
    <n v="185"/>
    <n v="185"/>
    <s v="Closed"/>
    <s v="21-07-2025"/>
    <x v="6"/>
  </r>
  <r>
    <s v="PO-016601"/>
    <x v="513"/>
    <x v="480"/>
    <s v="DISTRUGGI DOCUMENTI"/>
    <n v="183"/>
    <n v="183"/>
    <s v="Closed"/>
    <s v="21-07-2025"/>
    <x v="6"/>
  </r>
  <r>
    <s v="PO-016601"/>
    <x v="514"/>
    <x v="481"/>
    <s v="PLASTIFICATRICE INSPIRE A3"/>
    <n v="701"/>
    <n v="701"/>
    <s v="Closed"/>
    <s v="21-07-2025"/>
    <x v="6"/>
  </r>
  <r>
    <s v="PO-016601"/>
    <x v="515"/>
    <x v="482"/>
    <s v="1000 POUCHE A4"/>
    <n v="549"/>
    <n v="549"/>
    <s v="Closed"/>
    <s v="21-07-2025"/>
    <x v="6"/>
  </r>
  <r>
    <s v="PO-016601"/>
    <x v="516"/>
    <x v="483"/>
    <s v="500 POUCHE A3"/>
    <n v="90"/>
    <n v="90"/>
    <s v="Closed"/>
    <s v="21-07-2025"/>
    <x v="6"/>
  </r>
  <r>
    <s v="PO-016601"/>
    <x v="517"/>
    <x v="484"/>
    <s v="RILEGATRICE A DORSI PLASTICI"/>
    <n v="81"/>
    <n v="81"/>
    <s v="Closed"/>
    <s v="21-07-2025"/>
    <x v="6"/>
  </r>
  <r>
    <s v="PO-016601"/>
    <x v="518"/>
    <x v="485"/>
    <s v="MICROSCOPIO 2 MEGA PIXEL CON SCHERMO 4,3"/>
    <n v="162"/>
    <n v="162"/>
    <s v="Closed"/>
    <s v="21-07-2025"/>
    <x v="6"/>
  </r>
  <r>
    <s v="PO-016601"/>
    <x v="519"/>
    <x v="486"/>
    <s v="LEGO EDUCATION BRICQ MOTION PRIME"/>
    <n v="80"/>
    <n v="80"/>
    <s v="Closed"/>
    <s v="21-07-2025"/>
    <x v="6"/>
  </r>
  <r>
    <s v="PO-016601"/>
    <x v="520"/>
    <x v="487"/>
    <s v="LEGO EDUCATION SPIKE ESSENTIAL"/>
    <n v="128"/>
    <n v="128"/>
    <s v="Closed"/>
    <s v="21-07-2025"/>
    <x v="6"/>
  </r>
  <r>
    <s v="PO-016601"/>
    <x v="521"/>
    <x v="488"/>
    <s v="BANCO DA LAVORO"/>
    <n v="9"/>
    <n v="9"/>
    <s v="Closed"/>
    <s v="21-07-2025"/>
    <x v="6"/>
  </r>
  <r>
    <s v="PO-016601"/>
    <x v="522"/>
    <x v="489"/>
    <s v="SET AMBIENTI MINECRAFT MONDI DA SCOPRIRE"/>
    <n v="34"/>
    <n v="34"/>
    <s v="Closed"/>
    <s v="21-07-2025"/>
    <x v="6"/>
  </r>
  <r>
    <s v="PO-016601"/>
    <x v="523"/>
    <x v="490"/>
    <s v="GIOCO DA TAVOLO MINECRAFT"/>
    <n v="38"/>
    <n v="38"/>
    <s v="Closed"/>
    <s v="21-07-2025"/>
    <x v="6"/>
  </r>
  <r>
    <s v="PO-016601"/>
    <x v="524"/>
    <x v="60"/>
    <s v="CARRELLO PORTA PALLONI"/>
    <n v="86"/>
    <n v="86"/>
    <s v="Closed"/>
    <s v="21-07-2025"/>
    <x v="6"/>
  </r>
  <r>
    <s v="PO-016601"/>
    <x v="525"/>
    <x v="491"/>
    <s v="MEGAFONO USB KARMA"/>
    <n v="77"/>
    <n v="77"/>
    <s v="Closed"/>
    <s v="21-07-2025"/>
    <x v="6"/>
  </r>
  <r>
    <s v="PO-016601"/>
    <x v="526"/>
    <x v="21"/>
    <s v="VALIGETTA PRONTO SOCCORSO"/>
    <n v="150"/>
    <n v="150"/>
    <s v="Closed"/>
    <s v="21-07-2025"/>
    <x v="6"/>
  </r>
  <r>
    <s v="PO-016602"/>
    <x v="527"/>
    <x v="492"/>
    <s v="FLAUTO DOLCE"/>
    <n v="246"/>
    <n v="246"/>
    <s v="Closed"/>
    <s v="21-07-2025"/>
    <x v="76"/>
  </r>
  <r>
    <s v="PO-016602"/>
    <x v="528"/>
    <x v="493"/>
    <s v="BATTERIA ARROTOLABILE IN SILICONE"/>
    <n v="105"/>
    <n v="105"/>
    <s v="Closed"/>
    <s v="21-07-2025"/>
    <x v="76"/>
  </r>
  <r>
    <s v="PO-016607"/>
    <x v="197"/>
    <x v="184"/>
    <s v="Tier 2 Thermal Tumblers in a mixed carton with filler"/>
    <n v="786"/>
    <n v="786"/>
    <s v="Closed"/>
    <s v="22-07-2025"/>
    <x v="49"/>
  </r>
  <r>
    <s v="PO-016626"/>
    <x v="529"/>
    <x v="494"/>
    <s v="VENTILATORE SMART A TORRE"/>
    <n v="320"/>
    <n v="320"/>
    <s v="Closed"/>
    <s v="23-07-2025"/>
    <x v="77"/>
  </r>
  <r>
    <s v="PO-016627"/>
    <x v="530"/>
    <x v="495"/>
    <s v="SET 24 CARTINE GEOGRAFICHE"/>
    <n v="297"/>
    <n v="297"/>
    <s v="Closed"/>
    <s v="23-07-2025"/>
    <x v="78"/>
  </r>
  <r>
    <s v="PO-016628"/>
    <x v="531"/>
    <x v="496"/>
    <s v="4 MAPPAMONDI ORION"/>
    <n v="125"/>
    <n v="125"/>
    <s v="Closed"/>
    <s v="23-07-2025"/>
    <x v="79"/>
  </r>
  <r>
    <s v="PO-016628"/>
    <x v="532"/>
    <x v="497"/>
    <s v="4 MAPPAMONDI CARBON CLASSIC"/>
    <n v="74"/>
    <n v="74"/>
    <s v="Closed"/>
    <s v="23-07-2025"/>
    <x v="79"/>
  </r>
  <r>
    <s v="PO-016633"/>
    <x v="215"/>
    <x v="202"/>
    <s v="Utility Knife 130mm"/>
    <n v="13020"/>
    <n v="13020"/>
    <s v="Closed"/>
    <s v="24-07-2025"/>
    <x v="19"/>
  </r>
  <r>
    <s v="PO-016633"/>
    <x v="193"/>
    <x v="180"/>
    <s v="Bread Knife 200mm"/>
    <n v="4840"/>
    <n v="4840"/>
    <s v="Closed"/>
    <s v="24-07-2025"/>
    <x v="19"/>
  </r>
  <r>
    <s v="PO-016633"/>
    <x v="428"/>
    <x v="401"/>
    <s v="Chef´s Knife 200mm"/>
    <n v="10000"/>
    <n v="10000"/>
    <s v="Closed"/>
    <s v="24-07-2025"/>
    <x v="19"/>
  </r>
  <r>
    <s v="PO-016633"/>
    <x v="192"/>
    <x v="179"/>
    <s v="Paring Knife 100mm"/>
    <n v="12000"/>
    <n v="12000"/>
    <s v="Closed"/>
    <s v="24-07-2025"/>
    <x v="19"/>
  </r>
  <r>
    <s v="PO-016633"/>
    <x v="214"/>
    <x v="201"/>
    <s v="Slicing knife 160mm"/>
    <n v="10000"/>
    <n v="10000"/>
    <s v="Closed"/>
    <s v="24-07-2025"/>
    <x v="19"/>
  </r>
  <r>
    <s v="PO-016635"/>
    <x v="533"/>
    <x v="498"/>
    <s v="Set of Kitchen Utensils"/>
    <n v="19536"/>
    <n v="19536"/>
    <s v="Closed"/>
    <s v="25-07-2025"/>
    <x v="80"/>
  </r>
  <r>
    <s v="PO-016638"/>
    <x v="120"/>
    <x v="119"/>
    <s v="Paring knife"/>
    <n v="15000"/>
    <n v="15000"/>
    <s v="Closed"/>
    <s v="25-07-2025"/>
    <x v="16"/>
  </r>
  <r>
    <s v="PO-016638"/>
    <x v="124"/>
    <x v="98"/>
    <s v="Santoku knife"/>
    <n v="34998"/>
    <n v="34998"/>
    <s v="Closed"/>
    <s v="25-07-2025"/>
    <x v="16"/>
  </r>
  <r>
    <s v="PO-016640"/>
    <x v="534"/>
    <x v="499"/>
    <s v="Glass storage vacuum md 1100m"/>
    <n v="19000"/>
    <n v="11280"/>
    <s v="Approved"/>
    <s v="25-07-2025"/>
    <x v="27"/>
  </r>
  <r>
    <s v="PO-016640"/>
    <x v="535"/>
    <x v="211"/>
    <s v="Glass storage Vacuum rec. 800ml"/>
    <n v="53856"/>
    <n v="36888"/>
    <s v="Approved"/>
    <s v="25-07-2025"/>
    <x v="27"/>
  </r>
  <r>
    <s v="PO-016640"/>
    <x v="536"/>
    <x v="212"/>
    <s v="Glass storage Vacuum rec. 1500ml"/>
    <n v="59625"/>
    <n v="45280"/>
    <s v="Approved"/>
    <s v="25-07-2025"/>
    <x v="27"/>
  </r>
  <r>
    <s v="PO-016650"/>
    <x v="537"/>
    <x v="500"/>
    <s v="One touch fresh sq. 370ml"/>
    <n v="50898"/>
    <n v="0"/>
    <s v="Closed"/>
    <s v="28-07-2025"/>
    <x v="81"/>
  </r>
  <r>
    <s v="PO-016650"/>
    <x v="538"/>
    <x v="501"/>
    <s v="One touch fresh sq. 810ml"/>
    <n v="78660"/>
    <n v="0"/>
    <s v="Closed"/>
    <s v="28-07-2025"/>
    <x v="81"/>
  </r>
  <r>
    <s v="PO-016650"/>
    <x v="539"/>
    <x v="502"/>
    <s v="One touch fresh sq. 1250ml"/>
    <n v="76818"/>
    <n v="0"/>
    <s v="Closed"/>
    <s v="28-07-2025"/>
    <x v="81"/>
  </r>
  <r>
    <s v="PO-016650"/>
    <x v="540"/>
    <x v="503"/>
    <s v="Snack Box Oblong"/>
    <n v="101796"/>
    <n v="0"/>
    <s v="Closed"/>
    <s v="28-07-2025"/>
    <x v="81"/>
  </r>
  <r>
    <s v="PO-016650"/>
    <x v="541"/>
    <x v="504"/>
    <s v="Wonderlier bowl 2500ml"/>
    <n v="60162"/>
    <n v="0"/>
    <s v="Closed"/>
    <s v="28-07-2025"/>
    <x v="81"/>
  </r>
  <r>
    <s v="PO-016650"/>
    <x v="542"/>
    <x v="505"/>
    <s v="Speedy Mando"/>
    <n v="46272"/>
    <n v="0"/>
    <s v="Closed"/>
    <s v="28-07-2025"/>
    <x v="81"/>
  </r>
  <r>
    <s v="PO-016650"/>
    <x v="543"/>
    <x v="506"/>
    <s v="Freezer mates Gen II 1L 2pc set"/>
    <n v="55528"/>
    <n v="0"/>
    <s v="Closed"/>
    <s v="28-07-2025"/>
    <x v="81"/>
  </r>
  <r>
    <s v="PO-016650"/>
    <x v="544"/>
    <x v="507"/>
    <s v="Wonderlier bowl 775ml 3pc set"/>
    <n v="120304"/>
    <n v="0"/>
    <s v="Closed"/>
    <s v="28-07-2025"/>
    <x v="81"/>
  </r>
  <r>
    <s v="PO-016650"/>
    <x v="545"/>
    <x v="508"/>
    <s v="Snack Box Small"/>
    <n v="98094"/>
    <n v="0"/>
    <s v="Closed"/>
    <s v="28-07-2025"/>
    <x v="81"/>
  </r>
  <r>
    <s v="PO-016650"/>
    <x v="546"/>
    <x v="509"/>
    <s v="Eco Sports bottle EDD 750ml"/>
    <n v="53700"/>
    <n v="0"/>
    <s v="Closed"/>
    <s v="28-07-2025"/>
    <x v="81"/>
  </r>
  <r>
    <s v="PO-016650"/>
    <x v="547"/>
    <x v="510"/>
    <s v="Cereal bowls 500ml various (3pc set)"/>
    <n v="129548"/>
    <n v="0"/>
    <s v="Closed"/>
    <s v="28-07-2025"/>
    <x v="81"/>
  </r>
  <r>
    <s v="PO-016659"/>
    <x v="537"/>
    <x v="500"/>
    <s v="One touch fresh sq. 370ml"/>
    <n v="76398"/>
    <n v="76398"/>
    <s v="Closed"/>
    <s v="29-07-2025"/>
    <x v="82"/>
  </r>
  <r>
    <s v="PO-016659"/>
    <x v="538"/>
    <x v="501"/>
    <s v="One touch fresh sq. 810ml"/>
    <n v="117912"/>
    <n v="117912"/>
    <s v="Closed"/>
    <s v="29-07-2025"/>
    <x v="82"/>
  </r>
  <r>
    <s v="PO-016659"/>
    <x v="539"/>
    <x v="502"/>
    <s v="One touch fresh sq. 1250ml"/>
    <n v="114852"/>
    <n v="114852"/>
    <s v="Closed"/>
    <s v="29-07-2025"/>
    <x v="82"/>
  </r>
  <r>
    <s v="PO-016659"/>
    <x v="540"/>
    <x v="503"/>
    <s v="Snack Box Oblong"/>
    <n v="144000"/>
    <n v="144000"/>
    <s v="Closed"/>
    <s v="29-07-2025"/>
    <x v="82"/>
  </r>
  <r>
    <s v="PO-016659"/>
    <x v="541"/>
    <x v="504"/>
    <s v="Wonderlier bowl 2500ml"/>
    <n v="104220"/>
    <n v="104220"/>
    <s v="Closed"/>
    <s v="29-07-2025"/>
    <x v="82"/>
  </r>
  <r>
    <s v="PO-016659"/>
    <x v="543"/>
    <x v="506"/>
    <s v="Freezer mates Gen II 1L 2pc set"/>
    <n v="83160"/>
    <n v="83160"/>
    <s v="Closed"/>
    <s v="29-07-2025"/>
    <x v="82"/>
  </r>
  <r>
    <s v="PO-016659"/>
    <x v="544"/>
    <x v="507"/>
    <s v="Wonderlier bowl 775ml 3pc set"/>
    <n v="180432"/>
    <n v="180432"/>
    <s v="Closed"/>
    <s v="29-07-2025"/>
    <x v="82"/>
  </r>
  <r>
    <s v="PO-016659"/>
    <x v="545"/>
    <x v="508"/>
    <s v="Snack Box Small"/>
    <n v="148656"/>
    <n v="148656"/>
    <s v="Closed"/>
    <s v="29-07-2025"/>
    <x v="82"/>
  </r>
  <r>
    <s v="PO-016659"/>
    <x v="547"/>
    <x v="510"/>
    <s v="Cereal bowls 500ml various (3pc set)"/>
    <n v="187200"/>
    <n v="187200"/>
    <s v="Closed"/>
    <s v="29-07-2025"/>
    <x v="82"/>
  </r>
  <r>
    <s v="PO-016661"/>
    <x v="546"/>
    <x v="509"/>
    <s v="Eco Sports bottle EDD 750ml"/>
    <n v="83880"/>
    <n v="83736"/>
    <s v="Closed"/>
    <s v="29-07-2025"/>
    <x v="83"/>
  </r>
  <r>
    <s v="PO-016662"/>
    <x v="548"/>
    <x v="511"/>
    <s v="MICROFONO PROFESSIONALE A CONDENSATORE"/>
    <n v="387"/>
    <n v="385"/>
    <s v="Approved"/>
    <s v="29-07-2025"/>
    <x v="67"/>
  </r>
  <r>
    <s v="PO-016662"/>
    <x v="549"/>
    <x v="512"/>
    <s v="CUFFIA WIRELESS CON RIDUZIONE RUMORE"/>
    <n v="302"/>
    <n v="302"/>
    <s v="Approved"/>
    <s v="29-07-2025"/>
    <x v="67"/>
  </r>
  <r>
    <s v="PO-016662"/>
    <x v="550"/>
    <x v="513"/>
    <s v="SET 1020 COLORI"/>
    <n v="618"/>
    <n v="618"/>
    <s v="Approved"/>
    <s v="29-07-2025"/>
    <x v="67"/>
  </r>
  <r>
    <s v="PO-016662"/>
    <x v="551"/>
    <x v="514"/>
    <s v="CARRELLO PORTA FOGLI E COLORI CON PANNELLO ECOLOGICO"/>
    <n v="81"/>
    <n v="81"/>
    <s v="Approved"/>
    <s v="29-07-2025"/>
    <x v="67"/>
  </r>
  <r>
    <s v="PO-016662"/>
    <x v="552"/>
    <x v="515"/>
    <s v="CARRELLO PORTA COLORI FANTASIA CON PANNELLO ECOLOG"/>
    <n v="67"/>
    <n v="67"/>
    <s v="Approved"/>
    <s v="29-07-2025"/>
    <x v="67"/>
  </r>
  <r>
    <s v="PO-016662"/>
    <x v="553"/>
    <x v="516"/>
    <s v="ARMADIO 2 ANTE CON RIPIANI CON PANNELLO ECOLOGICO"/>
    <n v="158"/>
    <n v="158"/>
    <s v="Approved"/>
    <s v="29-07-2025"/>
    <x v="67"/>
  </r>
  <r>
    <s v="PO-016662"/>
    <x v="554"/>
    <x v="517"/>
    <s v="ARMADIO 9 VANI - PANNELLO ECOLOGICO"/>
    <n v="202"/>
    <n v="202"/>
    <s v="Approved"/>
    <s v="29-07-2025"/>
    <x v="67"/>
  </r>
  <r>
    <s v="PO-016662"/>
    <x v="555"/>
    <x v="518"/>
    <s v="LIBRERIA COMPATTA CON TRE RIPIANI REGOLABILI"/>
    <n v="1661"/>
    <n v="1661"/>
    <s v="Approved"/>
    <s v="29-07-2025"/>
    <x v="67"/>
  </r>
  <r>
    <s v="PO-016662"/>
    <x v="556"/>
    <x v="519"/>
    <s v="SET SGABELLO FACTOTUM CON TAPPETINO STEP STOOL"/>
    <n v="382"/>
    <n v="382"/>
    <s v="Approved"/>
    <s v="29-07-2025"/>
    <x v="67"/>
  </r>
  <r>
    <s v="PO-016662"/>
    <x v="557"/>
    <x v="520"/>
    <s v="RADIATORE AD OLIO ELLETTRICO 11 ELEMENTI"/>
    <n v="28"/>
    <n v="28"/>
    <s v="Approved"/>
    <s v="29-07-2025"/>
    <x v="67"/>
  </r>
  <r>
    <s v="PO-016662"/>
    <x v="558"/>
    <x v="521"/>
    <s v="BLOCCHI ARCHITETTURA"/>
    <n v="242"/>
    <n v="242"/>
    <s v="Approved"/>
    <s v="29-07-2025"/>
    <x v="67"/>
  </r>
  <r>
    <s v="PO-016662"/>
    <x v="559"/>
    <x v="338"/>
    <s v="TASTIERA DIGITALE 49 TASTI"/>
    <n v="112"/>
    <n v="112"/>
    <s v="Approved"/>
    <s v="29-07-2025"/>
    <x v="67"/>
  </r>
  <r>
    <s v="PO-016662"/>
    <x v="560"/>
    <x v="522"/>
    <s v="GIOCHI ABILITA"/>
    <n v="119"/>
    <n v="119"/>
    <s v="Approved"/>
    <s v="29-07-2025"/>
    <x v="67"/>
  </r>
  <r>
    <s v="PO-016662"/>
    <x v="561"/>
    <x v="523"/>
    <s v="GIOCHI CLASSICI"/>
    <n v="144"/>
    <n v="144"/>
    <s v="Approved"/>
    <s v="29-07-2025"/>
    <x v="67"/>
  </r>
  <r>
    <s v="PO-016662"/>
    <x v="562"/>
    <x v="524"/>
    <s v="SET GIOCHI DA TAVOLO ABILMENTE"/>
    <n v="331"/>
    <n v="331"/>
    <s v="Approved"/>
    <s v="29-07-2025"/>
    <x v="67"/>
  </r>
  <r>
    <s v="PO-016662"/>
    <x v="563"/>
    <x v="525"/>
    <s v="SET PSICOMOTORIO 72 PZ"/>
    <n v="112"/>
    <n v="112"/>
    <s v="Approved"/>
    <s v="29-07-2025"/>
    <x v="67"/>
  </r>
  <r>
    <s v="PO-016662"/>
    <x v="564"/>
    <x v="40"/>
    <s v="SET DA 8 MATERASSINI PIEGHEVOLI"/>
    <n v="264"/>
    <n v="264"/>
    <s v="Approved"/>
    <s v="29-07-2025"/>
    <x v="67"/>
  </r>
  <r>
    <s v="PO-016662"/>
    <x v="565"/>
    <x v="526"/>
    <s v="FORME SENSORIALI ARCOBALENO"/>
    <n v="445"/>
    <n v="441"/>
    <s v="Approved"/>
    <s v="29-07-2025"/>
    <x v="67"/>
  </r>
  <r>
    <s v="PO-016668"/>
    <x v="124"/>
    <x v="98"/>
    <s v="Santoku knife"/>
    <n v="91998"/>
    <n v="91998"/>
    <s v="Approved"/>
    <s v="29-07-2025"/>
    <x v="16"/>
  </r>
  <r>
    <s v="PO-016670"/>
    <x v="179"/>
    <x v="75"/>
    <s v="Saucepan 16cm"/>
    <n v="1904"/>
    <n v="1904"/>
    <s v="Closed"/>
    <s v="30-07-2025"/>
    <x v="45"/>
  </r>
  <r>
    <s v="PO-016670"/>
    <x v="180"/>
    <x v="170"/>
    <s v="Casserole 20cm with silicone straining lid"/>
    <n v="6456"/>
    <n v="6456"/>
    <s v="Closed"/>
    <s v="30-07-2025"/>
    <x v="45"/>
  </r>
  <r>
    <s v="PO-016670"/>
    <x v="181"/>
    <x v="171"/>
    <s v="Casserole 24cm with silicone straining lid"/>
    <n v="2388"/>
    <n v="2388"/>
    <s v="Closed"/>
    <s v="30-07-2025"/>
    <x v="45"/>
  </r>
  <r>
    <s v="PO-016670"/>
    <x v="182"/>
    <x v="172"/>
    <s v="Open wok 28cm"/>
    <n v="5980"/>
    <n v="5980"/>
    <s v="Closed"/>
    <s v="30-07-2025"/>
    <x v="45"/>
  </r>
  <r>
    <s v="PO-016670"/>
    <x v="183"/>
    <x v="79"/>
    <s v="Frypan 20cm"/>
    <n v="3108"/>
    <n v="3108"/>
    <s v="Closed"/>
    <s v="30-07-2025"/>
    <x v="45"/>
  </r>
  <r>
    <s v="PO-016670"/>
    <x v="184"/>
    <x v="80"/>
    <s v="Frypan 24cm"/>
    <n v="4064"/>
    <n v="4064"/>
    <s v="Closed"/>
    <s v="30-07-2025"/>
    <x v="45"/>
  </r>
  <r>
    <s v="PO-016671"/>
    <x v="120"/>
    <x v="119"/>
    <s v="Paring knife"/>
    <n v="70002"/>
    <n v="70002"/>
    <s v="Closed"/>
    <s v="30-07-2025"/>
    <x v="16"/>
  </r>
  <r>
    <s v="PO-016672"/>
    <x v="120"/>
    <x v="119"/>
    <s v="Paring knife"/>
    <n v="22002"/>
    <n v="22002"/>
    <s v="Closed"/>
    <s v="30-07-2025"/>
    <x v="16"/>
  </r>
  <r>
    <s v="PO-016672"/>
    <x v="124"/>
    <x v="98"/>
    <s v="Santoku knife"/>
    <n v="78000"/>
    <n v="78000"/>
    <s v="Closed"/>
    <s v="30-07-2025"/>
    <x v="16"/>
  </r>
  <r>
    <s v="PO-013330"/>
    <x v="222"/>
    <x v="209"/>
    <s v="Glass storage Vacuum rnd 1100ml"/>
    <n v="13568"/>
    <n v="13568"/>
    <s v="Closed"/>
    <s v="27-06-2025"/>
    <x v="27"/>
  </r>
  <r>
    <s v="PO-013330"/>
    <x v="223"/>
    <x v="210"/>
    <s v="Glass storage Vacuum rnd 1600ml"/>
    <n v="98808"/>
    <n v="98808"/>
    <s v="Closed"/>
    <s v="27-06-2025"/>
    <x v="27"/>
  </r>
  <r>
    <s v="PO-016683"/>
    <x v="278"/>
    <x v="265"/>
    <s v="Oven dish large"/>
    <n v="3000"/>
    <n v="3000"/>
    <s v="Closed"/>
    <s v="31-07-2025"/>
    <x v="68"/>
  </r>
  <r>
    <s v="PO-016684"/>
    <x v="278"/>
    <x v="265"/>
    <s v="Oven dish large"/>
    <n v="7500"/>
    <n v="7500"/>
    <s v="Closed"/>
    <s v="31-07-2025"/>
    <x v="68"/>
  </r>
  <r>
    <s v="PO-016685"/>
    <x v="278"/>
    <x v="265"/>
    <s v="Oven dish large"/>
    <n v="1500"/>
    <n v="1500"/>
    <s v="Closed"/>
    <s v="31-07-2025"/>
    <x v="68"/>
  </r>
  <r>
    <s v="PO-016686"/>
    <x v="278"/>
    <x v="265"/>
    <s v="Oven dish large"/>
    <n v="8000"/>
    <n v="8000"/>
    <s v="Closed"/>
    <s v="31-07-2025"/>
    <x v="68"/>
  </r>
  <r>
    <s v="PO-016687"/>
    <x v="301"/>
    <x v="284"/>
    <s v="Small Santoku Knife"/>
    <n v="10056"/>
    <n v="10056"/>
    <s v="Closed"/>
    <s v="01-08-2025"/>
    <x v="16"/>
  </r>
  <r>
    <s v="PO-016687"/>
    <x v="566"/>
    <x v="527"/>
    <s v="Scissors"/>
    <n v="21924"/>
    <n v="21924"/>
    <s v="Closed"/>
    <s v="01-08-2025"/>
    <x v="16"/>
  </r>
  <r>
    <s v="PO-016687"/>
    <x v="311"/>
    <x v="73"/>
    <s v="Sharpener"/>
    <n v="15276"/>
    <n v="15276"/>
    <s v="Closed"/>
    <s v="01-08-2025"/>
    <x v="16"/>
  </r>
  <r>
    <s v="PO-016693"/>
    <x v="315"/>
    <x v="295"/>
    <s v="PP CUTTING BOARD"/>
    <n v="13896"/>
    <n v="13896"/>
    <s v="Closed"/>
    <s v="01-08-2025"/>
    <x v="24"/>
  </r>
  <r>
    <s v="PO-016694"/>
    <x v="567"/>
    <x v="528"/>
    <s v="Set 5 palloni calcio mis 4"/>
    <n v="2"/>
    <n v="0"/>
    <s v="Closed"/>
    <s v="01-08-2025"/>
    <x v="4"/>
  </r>
  <r>
    <s v="PO-016695"/>
    <x v="295"/>
    <x v="279"/>
    <s v="Lavagna magnetica cancellabile"/>
    <n v="5"/>
    <n v="5"/>
    <s v="Closed"/>
    <s v="01-08-2025"/>
    <x v="5"/>
  </r>
  <r>
    <s v="PO-016695"/>
    <x v="568"/>
    <x v="529"/>
    <s v="Cavalletto flip chart magnetico"/>
    <n v="1"/>
    <n v="1"/>
    <s v="Closed"/>
    <s v="01-08-2025"/>
    <x v="5"/>
  </r>
  <r>
    <s v="PO-016695"/>
    <x v="16"/>
    <x v="16"/>
    <s v="Set 6 ghiaccio spray"/>
    <n v="3"/>
    <n v="3"/>
    <s v="Closed"/>
    <s v="01-08-2025"/>
    <x v="5"/>
  </r>
  <r>
    <s v="PO-016695"/>
    <x v="232"/>
    <x v="219"/>
    <s v="Tondo galleggiante per piscina 24 pezzi"/>
    <n v="2"/>
    <n v="2"/>
    <s v="Closed"/>
    <s v="01-08-2025"/>
    <x v="5"/>
  </r>
  <r>
    <s v="PO-016695"/>
    <x v="15"/>
    <x v="15"/>
    <s v="Set 4 ruote per esercizi"/>
    <n v="1"/>
    <n v="1"/>
    <s v="Closed"/>
    <s v="01-08-2025"/>
    <x v="5"/>
  </r>
  <r>
    <s v="PO-016696"/>
    <x v="369"/>
    <x v="348"/>
    <s v="Sistema audio portatile"/>
    <n v="4"/>
    <n v="4"/>
    <s v="Closed"/>
    <s v="01-08-2025"/>
    <x v="6"/>
  </r>
  <r>
    <s v="PO-016696"/>
    <x v="569"/>
    <x v="530"/>
    <s v="Notebook Acer 15,6&quot; intel i3"/>
    <n v="1"/>
    <n v="1"/>
    <s v="Closed"/>
    <s v="01-08-2025"/>
    <x v="6"/>
  </r>
  <r>
    <s v="PO-016696"/>
    <x v="188"/>
    <x v="21"/>
    <s v="VALIGETTA PRONTO SOCCORSO"/>
    <n v="7"/>
    <n v="7"/>
    <s v="Closed"/>
    <s v="01-08-2025"/>
    <x v="6"/>
  </r>
  <r>
    <s v="PO-016696"/>
    <x v="18"/>
    <x v="18"/>
    <s v="Set 5 cuffie poliestere - junior"/>
    <n v="1"/>
    <n v="1"/>
    <s v="Closed"/>
    <s v="01-08-2025"/>
    <x v="6"/>
  </r>
  <r>
    <s v="PO-016712"/>
    <x v="570"/>
    <x v="531"/>
    <s v="Re-useable Atomizer Bottle with Figurine Lid"/>
    <n v="99984"/>
    <n v="99984"/>
    <s v="Closed"/>
    <s v="05-08-2025"/>
    <x v="84"/>
  </r>
  <r>
    <s v="PO-016713"/>
    <x v="570"/>
    <x v="531"/>
    <s v="Re-useable Atomizer Bottle with Figurine Lid"/>
    <n v="99984"/>
    <n v="0"/>
    <s v="Closed"/>
    <s v="05-08-2025"/>
    <x v="84"/>
  </r>
  <r>
    <s v="PO-016714"/>
    <x v="570"/>
    <x v="531"/>
    <s v="Re-useable Atomizer Bottle with Figurine Lid"/>
    <n v="99984"/>
    <n v="0"/>
    <s v="Closed"/>
    <s v="05-08-2025"/>
    <x v="84"/>
  </r>
  <r>
    <s v="PO-016715"/>
    <x v="570"/>
    <x v="531"/>
    <s v="Re-useable Atomizer Bottle with Figurine Lid"/>
    <n v="70008"/>
    <n v="70008"/>
    <s v="Closed"/>
    <s v="05-08-2025"/>
    <x v="84"/>
  </r>
  <r>
    <s v="PO-016716"/>
    <x v="570"/>
    <x v="531"/>
    <s v="Re-useable Atomizer Bottle with Figurine Lid"/>
    <n v="70008"/>
    <n v="70008"/>
    <s v="Closed"/>
    <s v="05-08-2025"/>
    <x v="84"/>
  </r>
  <r>
    <s v="PO-016717"/>
    <x v="420"/>
    <x v="394"/>
    <s v="Travel Bag"/>
    <n v="6159"/>
    <n v="3244"/>
    <s v="Closed"/>
    <s v="05-08-2025"/>
    <x v="73"/>
  </r>
  <r>
    <s v="PO-016720"/>
    <x v="73"/>
    <x v="73"/>
    <s v="Sharpener"/>
    <n v="41202"/>
    <n v="41202"/>
    <s v="Closed"/>
    <s v="11-08-2025"/>
    <x v="16"/>
  </r>
  <r>
    <s v="PO-016720"/>
    <x v="74"/>
    <x v="74"/>
    <s v="Kitchen Shears FSC"/>
    <n v="16200"/>
    <n v="16200"/>
    <s v="Closed"/>
    <s v="11-08-2025"/>
    <x v="16"/>
  </r>
  <r>
    <s v="PO-016722"/>
    <x v="143"/>
    <x v="139"/>
    <s v="Serving Tray"/>
    <n v="4050"/>
    <n v="4050"/>
    <s v="Closed"/>
    <s v="12-08-2025"/>
    <x v="36"/>
  </r>
  <r>
    <s v="PO-016724"/>
    <x v="571"/>
    <x v="532"/>
    <s v="Double Walled Glasses with Facet cut styling"/>
    <n v="28000"/>
    <n v="28000"/>
    <s v="Closed"/>
    <s v="14-08-2025"/>
    <x v="85"/>
  </r>
  <r>
    <s v="PO-016725"/>
    <x v="572"/>
    <x v="533"/>
    <s v="1L glass storage / lunch box"/>
    <n v="30000"/>
    <n v="30000"/>
    <s v="Closed"/>
    <s v="14-08-2025"/>
    <x v="86"/>
  </r>
  <r>
    <s v="PO-016727"/>
    <x v="573"/>
    <x v="534"/>
    <s v="Disney Conad IT Book rigid cover"/>
    <n v="550310"/>
    <n v="0"/>
    <s v="Approved"/>
    <s v="14-08-2025"/>
    <x v="57"/>
  </r>
  <r>
    <s v="PO-016728"/>
    <x v="386"/>
    <x v="361"/>
    <s v="KN0446-ISB"/>
    <n v="1200"/>
    <n v="2400"/>
    <s v="Approved"/>
    <s v="14-08-2025"/>
    <x v="19"/>
  </r>
  <r>
    <s v="PO-016728"/>
    <x v="387"/>
    <x v="362"/>
    <s v="KN0446-KI"/>
    <n v="1200"/>
    <n v="2400"/>
    <s v="Approved"/>
    <s v="14-08-2025"/>
    <x v="19"/>
  </r>
  <r>
    <s v="PO-016728"/>
    <x v="388"/>
    <x v="363"/>
    <s v="KN0447-KI"/>
    <n v="2000"/>
    <n v="0"/>
    <s v="Approved"/>
    <s v="14-08-2025"/>
    <x v="19"/>
  </r>
  <r>
    <s v="PO-016728"/>
    <x v="574"/>
    <x v="535"/>
    <s v="KN0449-ISB"/>
    <n v="1000"/>
    <n v="1000"/>
    <s v="Approved"/>
    <s v="14-08-2025"/>
    <x v="19"/>
  </r>
  <r>
    <s v="PO-016728"/>
    <x v="389"/>
    <x v="364"/>
    <s v="KN0448-ISB"/>
    <n v="480"/>
    <n v="480"/>
    <s v="Approved"/>
    <s v="14-08-2025"/>
    <x v="19"/>
  </r>
  <r>
    <s v="PO-016728"/>
    <x v="390"/>
    <x v="365"/>
    <s v="KN0448-KI"/>
    <n v="480"/>
    <n v="960"/>
    <s v="Approved"/>
    <s v="14-08-2025"/>
    <x v="19"/>
  </r>
  <r>
    <s v="PO-016728"/>
    <x v="391"/>
    <x v="366"/>
    <s v="KN0475-ISB"/>
    <n v="1000"/>
    <n v="1000"/>
    <s v="Approved"/>
    <s v="14-08-2025"/>
    <x v="19"/>
  </r>
  <r>
    <s v="PO-016728"/>
    <x v="392"/>
    <x v="367"/>
    <s v="KN0475-KI"/>
    <n v="1000"/>
    <n v="1000"/>
    <s v="Approved"/>
    <s v="14-08-2025"/>
    <x v="19"/>
  </r>
  <r>
    <s v="PO-016728"/>
    <x v="575"/>
    <x v="536"/>
    <s v="KN0449-KI"/>
    <n v="1000"/>
    <n v="2000"/>
    <s v="Approved"/>
    <s v="14-08-2025"/>
    <x v="19"/>
  </r>
  <r>
    <s v="PO-011681"/>
    <x v="576"/>
    <x v="537"/>
    <s v="ClassicTraveller Square Emblem 0,6L"/>
    <n v="1"/>
    <n v="0"/>
    <s v="Closed"/>
    <s v="06-06-2025"/>
    <x v="19"/>
  </r>
  <r>
    <s v="PO-016728"/>
    <x v="577"/>
    <x v="538"/>
    <s v="KN0450-ISB"/>
    <n v="2000"/>
    <n v="2000"/>
    <s v="Approved"/>
    <s v="14-08-2025"/>
    <x v="19"/>
  </r>
  <r>
    <s v="PO-016728"/>
    <x v="578"/>
    <x v="539"/>
    <s v="KN0450-KI"/>
    <n v="2000"/>
    <n v="2000"/>
    <s v="Approved"/>
    <s v="14-08-2025"/>
    <x v="19"/>
  </r>
  <r>
    <s v="PO-016730"/>
    <x v="306"/>
    <x v="289"/>
    <s v="Cast Iron Grill Pan"/>
    <n v="6384"/>
    <n v="6384"/>
    <s v="Closed"/>
    <s v="21-08-2025"/>
    <x v="62"/>
  </r>
  <r>
    <s v="PO-016730"/>
    <x v="307"/>
    <x v="290"/>
    <s v="Cast Iron Casserole (24cm)"/>
    <n v="7680"/>
    <n v="7680"/>
    <s v="Closed"/>
    <s v="21-08-2025"/>
    <x v="62"/>
  </r>
  <r>
    <s v="PO-016731"/>
    <x v="306"/>
    <x v="289"/>
    <s v="Cast Iron Grill Pan"/>
    <n v="11760"/>
    <n v="11760"/>
    <s v="Closed"/>
    <s v="21-08-2025"/>
    <x v="62"/>
  </r>
  <r>
    <s v="PO-016731"/>
    <x v="307"/>
    <x v="290"/>
    <s v="Cast Iron Casserole (24cm)"/>
    <n v="11520"/>
    <n v="11520"/>
    <s v="Closed"/>
    <s v="21-08-2025"/>
    <x v="62"/>
  </r>
  <r>
    <s v="PO-016732"/>
    <x v="306"/>
    <x v="289"/>
    <s v="Cast Iron Grill Pan"/>
    <n v="20160"/>
    <n v="20160"/>
    <s v="Closed"/>
    <s v="21-08-2025"/>
    <x v="62"/>
  </r>
  <r>
    <s v="PO-016732"/>
    <x v="307"/>
    <x v="290"/>
    <s v="Cast Iron Casserole (24cm)"/>
    <n v="26880"/>
    <n v="26880"/>
    <s v="Closed"/>
    <s v="21-08-2025"/>
    <x v="62"/>
  </r>
  <r>
    <s v="PO-016733"/>
    <x v="306"/>
    <x v="289"/>
    <s v="Cast Iron Grill Pan"/>
    <n v="20160"/>
    <n v="20160"/>
    <s v="Closed"/>
    <s v="21-08-2025"/>
    <x v="62"/>
  </r>
  <r>
    <s v="PO-016733"/>
    <x v="307"/>
    <x v="290"/>
    <s v="Cast Iron Casserole (24cm)"/>
    <n v="26880"/>
    <n v="26880"/>
    <s v="Closed"/>
    <s v="21-08-2025"/>
    <x v="62"/>
  </r>
  <r>
    <s v="PO-016734"/>
    <x v="306"/>
    <x v="289"/>
    <s v="Cast Iron Grill Pan"/>
    <n v="20160"/>
    <n v="20160"/>
    <s v="Closed"/>
    <s v="21-08-2025"/>
    <x v="62"/>
  </r>
  <r>
    <s v="PO-016734"/>
    <x v="307"/>
    <x v="290"/>
    <s v="Cast Iron Casserole (24cm)"/>
    <n v="26880"/>
    <n v="26880"/>
    <s v="Closed"/>
    <s v="21-08-2025"/>
    <x v="62"/>
  </r>
  <r>
    <s v="PO-016735"/>
    <x v="305"/>
    <x v="288"/>
    <s v="Mixing Bowl"/>
    <n v="33120"/>
    <n v="33120"/>
    <s v="Closed"/>
    <s v="21-08-2025"/>
    <x v="61"/>
  </r>
  <r>
    <s v="PO-016736"/>
    <x v="305"/>
    <x v="288"/>
    <s v="Mixing Bowl"/>
    <n v="33120"/>
    <n v="33120"/>
    <s v="Closed"/>
    <s v="21-08-2025"/>
    <x v="61"/>
  </r>
  <r>
    <s v="PO-016737"/>
    <x v="305"/>
    <x v="288"/>
    <s v="Mixing Bowl"/>
    <n v="16560"/>
    <n v="16764"/>
    <s v="Closed"/>
    <s v="21-08-2025"/>
    <x v="61"/>
  </r>
  <r>
    <s v="PO-016738"/>
    <x v="368"/>
    <x v="347"/>
    <s v="Vegetable Knife"/>
    <n v="6528"/>
    <n v="6528"/>
    <s v="Closed"/>
    <s v="21-08-2025"/>
    <x v="16"/>
  </r>
  <r>
    <s v="PO-016738"/>
    <x v="283"/>
    <x v="99"/>
    <s v="Chef's Knife"/>
    <n v="21174"/>
    <n v="21174"/>
    <s v="Closed"/>
    <s v="21-08-2025"/>
    <x v="16"/>
  </r>
  <r>
    <s v="PO-016738"/>
    <x v="280"/>
    <x v="98"/>
    <s v="Santoku Knife"/>
    <n v="3840"/>
    <n v="3840"/>
    <s v="Closed"/>
    <s v="21-08-2025"/>
    <x v="16"/>
  </r>
  <r>
    <s v="PO-016738"/>
    <x v="579"/>
    <x v="540"/>
    <s v="Meat/Slicer Knife"/>
    <n v="2532"/>
    <n v="2532"/>
    <s v="Closed"/>
    <s v="21-08-2025"/>
    <x v="16"/>
  </r>
  <r>
    <s v="PO-016740"/>
    <x v="306"/>
    <x v="289"/>
    <s v="Cast Iron Grill Pan"/>
    <n v="22512"/>
    <n v="22512"/>
    <s v="Closed"/>
    <s v="22-08-2025"/>
    <x v="62"/>
  </r>
  <r>
    <s v="PO-016740"/>
    <x v="307"/>
    <x v="290"/>
    <s v="Cast Iron Casserole (24cm)"/>
    <n v="19200"/>
    <n v="19200"/>
    <s v="Closed"/>
    <s v="22-08-2025"/>
    <x v="62"/>
  </r>
  <r>
    <s v="PO-016745"/>
    <x v="384"/>
    <x v="359"/>
    <s v="Dinner plate 27cm 2 pc set"/>
    <n v="456"/>
    <n v="456"/>
    <s v="Closed"/>
    <s v="27-08-2025"/>
    <x v="68"/>
  </r>
  <r>
    <s v="PO-016757"/>
    <x v="580"/>
    <x v="541"/>
    <s v="Wasserglas groß, 4er Set"/>
    <n v="22640"/>
    <n v="22640"/>
    <s v="Closed"/>
    <s v="29-08-2025"/>
    <x v="26"/>
  </r>
  <r>
    <s v="PO-016762"/>
    <x v="581"/>
    <x v="542"/>
    <s v="Set 5 pullbuoy nuoto"/>
    <n v="3"/>
    <n v="3"/>
    <s v="Closed"/>
    <s v="01-09-2025"/>
    <x v="7"/>
  </r>
  <r>
    <s v="PO-016763"/>
    <x v="239"/>
    <x v="226"/>
    <s v="Set 12 borracce Givova in acciaio"/>
    <n v="2"/>
    <n v="2"/>
    <s v="Closed"/>
    <s v="01-09-2025"/>
    <x v="9"/>
  </r>
  <r>
    <s v="PO-016763"/>
    <x v="34"/>
    <x v="34"/>
    <s v="Set 2 borse Brera"/>
    <n v="1"/>
    <n v="1"/>
    <s v="Closed"/>
    <s v="01-09-2025"/>
    <x v="9"/>
  </r>
  <r>
    <s v="PO-016763"/>
    <x v="35"/>
    <x v="35"/>
    <s v="Set 2 zaini Europa fondo imbottito"/>
    <n v="3"/>
    <n v="3"/>
    <s v="Closed"/>
    <s v="01-09-2025"/>
    <x v="9"/>
  </r>
  <r>
    <s v="PO-016763"/>
    <x v="31"/>
    <x v="31"/>
    <s v="Calze basket 10 paia"/>
    <n v="1"/>
    <n v="1"/>
    <s v="Closed"/>
    <s v="01-09-2025"/>
    <x v="9"/>
  </r>
  <r>
    <s v="PO-016763"/>
    <x v="32"/>
    <x v="32"/>
    <s v="Set 10 casacche Pro allenamento"/>
    <n v="2"/>
    <n v="2"/>
    <s v="Closed"/>
    <s v="01-09-2025"/>
    <x v="9"/>
  </r>
  <r>
    <s v="PO-016763"/>
    <x v="582"/>
    <x v="543"/>
    <s v="Set 6 felpe + 6 pantaloni allenamento Polarfleece"/>
    <n v="2"/>
    <n v="2"/>
    <s v="Closed"/>
    <s v="01-09-2025"/>
    <x v="9"/>
  </r>
  <r>
    <s v="PO-016763"/>
    <x v="243"/>
    <x v="230"/>
    <s v="Set 5 palloni gara match king"/>
    <n v="2"/>
    <n v="2"/>
    <s v="Closed"/>
    <s v="01-09-2025"/>
    <x v="9"/>
  </r>
  <r>
    <s v="PO-016763"/>
    <x v="28"/>
    <x v="28"/>
    <s v="Set 5 palloni Academy School, mis. 5 da allenamento"/>
    <n v="3"/>
    <n v="3"/>
    <s v="Closed"/>
    <s v="01-09-2025"/>
    <x v="9"/>
  </r>
  <r>
    <s v="PO-016763"/>
    <x v="30"/>
    <x v="30"/>
    <s v="Racchetta Padel Capo"/>
    <n v="2"/>
    <n v="2"/>
    <s v="Closed"/>
    <s v="01-09-2025"/>
    <x v="9"/>
  </r>
  <r>
    <s v="PO-016764"/>
    <x v="246"/>
    <x v="233"/>
    <s v="Set 3 pantaloncini adulto s-m-l"/>
    <n v="1"/>
    <n v="1"/>
    <s v="Closed"/>
    <s v="01-09-2025"/>
    <x v="11"/>
  </r>
  <r>
    <s v="PO-016764"/>
    <x v="583"/>
    <x v="544"/>
    <s v="Set 3 canotte bambino taglia 4xs-3xs-xxs"/>
    <n v="1"/>
    <n v="1"/>
    <s v="Closed"/>
    <s v="01-09-2025"/>
    <x v="11"/>
  </r>
  <r>
    <s v="PO-016765"/>
    <x v="248"/>
    <x v="235"/>
    <s v="Panca pesistica e per addominali"/>
    <n v="1"/>
    <n v="1"/>
    <s v="Closed"/>
    <s v="01-09-2025"/>
    <x v="12"/>
  </r>
  <r>
    <s v="PO-016765"/>
    <x v="41"/>
    <x v="41"/>
    <s v="Set 20 elastici fitness con maniglie e cavigliere"/>
    <n v="1"/>
    <n v="1"/>
    <s v="Closed"/>
    <s v="01-09-2025"/>
    <x v="12"/>
  </r>
  <r>
    <s v="PO-016765"/>
    <x v="249"/>
    <x v="236"/>
    <s v="Set pesi 20 kg"/>
    <n v="3"/>
    <n v="3"/>
    <s v="Closed"/>
    <s v="01-09-2025"/>
    <x v="12"/>
  </r>
  <r>
    <s v="PO-016765"/>
    <x v="39"/>
    <x v="39"/>
    <s v="Set da 4 gym ball"/>
    <n v="5"/>
    <n v="5"/>
    <s v="Closed"/>
    <s v="01-09-2025"/>
    <x v="12"/>
  </r>
  <r>
    <s v="PO-016765"/>
    <x v="40"/>
    <x v="40"/>
    <s v="Set da 8 materassini pieghevoli"/>
    <n v="2"/>
    <n v="2"/>
    <s v="Closed"/>
    <s v="01-09-2025"/>
    <x v="12"/>
  </r>
  <r>
    <s v="PO-016765"/>
    <x v="44"/>
    <x v="44"/>
    <s v="Set di 2 balance board con maniglie"/>
    <n v="2"/>
    <n v="2"/>
    <s v="Closed"/>
    <s v="01-09-2025"/>
    <x v="12"/>
  </r>
  <r>
    <s v="PO-016766"/>
    <x v="50"/>
    <x v="50"/>
    <s v="Materasso in gomma espansa"/>
    <n v="1"/>
    <n v="1"/>
    <s v="Closed"/>
    <s v="01-09-2025"/>
    <x v="13"/>
  </r>
  <r>
    <s v="PO-016766"/>
    <x v="584"/>
    <x v="545"/>
    <s v="Pedana elastica"/>
    <n v="1"/>
    <n v="1"/>
    <s v="Closed"/>
    <s v="01-09-2025"/>
    <x v="13"/>
  </r>
  <r>
    <s v="PO-016766"/>
    <x v="585"/>
    <x v="546"/>
    <s v="Set 10 ostacoli over"/>
    <n v="1"/>
    <n v="1"/>
    <s v="Closed"/>
    <s v="01-09-2025"/>
    <x v="13"/>
  </r>
  <r>
    <s v="PO-016766"/>
    <x v="254"/>
    <x v="241"/>
    <s v="Set 4 pali angolo snodati"/>
    <n v="1"/>
    <n v="1"/>
    <s v="Closed"/>
    <s v="01-09-2025"/>
    <x v="13"/>
  </r>
  <r>
    <s v="PO-016766"/>
    <x v="59"/>
    <x v="59"/>
    <s v="Set 6 borracce"/>
    <n v="3"/>
    <n v="3"/>
    <s v="Closed"/>
    <s v="01-09-2025"/>
    <x v="13"/>
  </r>
  <r>
    <s v="PO-016766"/>
    <x v="55"/>
    <x v="55"/>
    <s v="Set di 48 delimitatori"/>
    <n v="7"/>
    <n v="7"/>
    <s v="Closed"/>
    <s v="01-09-2025"/>
    <x v="13"/>
  </r>
  <r>
    <s v="PO-016766"/>
    <x v="255"/>
    <x v="242"/>
    <s v="Coppia reti calcetto"/>
    <n v="1"/>
    <n v="1"/>
    <s v="Closed"/>
    <s v="01-09-2025"/>
    <x v="13"/>
  </r>
  <r>
    <s v="PO-016766"/>
    <x v="586"/>
    <x v="547"/>
    <s v="Rete in nylon pesante con cavo d'acciaio"/>
    <n v="2"/>
    <n v="2"/>
    <s v="Closed"/>
    <s v="01-09-2025"/>
    <x v="13"/>
  </r>
  <r>
    <s v="PO-016766"/>
    <x v="587"/>
    <x v="548"/>
    <s v="Tennis tavolo per interno"/>
    <n v="2"/>
    <n v="2"/>
    <s v="Closed"/>
    <s v="01-09-2025"/>
    <x v="13"/>
  </r>
  <r>
    <s v="PO-016766"/>
    <x v="256"/>
    <x v="243"/>
    <s v="Set 100 palline da tennis tavolo"/>
    <n v="1"/>
    <n v="1"/>
    <s v="Closed"/>
    <s v="01-09-2025"/>
    <x v="13"/>
  </r>
  <r>
    <s v="PO-016766"/>
    <x v="61"/>
    <x v="61"/>
    <s v="Panca mt. 2 senza schienale"/>
    <n v="2"/>
    <n v="2"/>
    <s v="Closed"/>
    <s v="01-09-2025"/>
    <x v="13"/>
  </r>
  <r>
    <s v="PO-016766"/>
    <x v="297"/>
    <x v="281"/>
    <s v="Set 10 cerchi in pvc"/>
    <n v="1"/>
    <n v="1"/>
    <s v="Closed"/>
    <s v="01-09-2025"/>
    <x v="13"/>
  </r>
  <r>
    <s v="PO-016766"/>
    <x v="588"/>
    <x v="549"/>
    <s v="Set 2 canestri basket senza tabellone"/>
    <n v="1"/>
    <n v="1"/>
    <s v="Closed"/>
    <s v="01-09-2025"/>
    <x v="13"/>
  </r>
  <r>
    <s v="PO-016766"/>
    <x v="57"/>
    <x v="57"/>
    <s v="Set 10 pali slalom"/>
    <n v="1"/>
    <n v="1"/>
    <s v="Closed"/>
    <s v="01-09-2025"/>
    <x v="13"/>
  </r>
  <r>
    <s v="PO-016768"/>
    <x v="319"/>
    <x v="299"/>
    <s v="Frypan 20 cm - light blue"/>
    <n v="5004"/>
    <n v="4980"/>
    <s v="Approved"/>
    <s v="02-09-2025"/>
    <x v="47"/>
  </r>
  <r>
    <s v="PO-016768"/>
    <x v="321"/>
    <x v="301"/>
    <s v="Wok 28 cm - dove grey"/>
    <n v="5004"/>
    <n v="4902"/>
    <s v="Approved"/>
    <s v="02-09-2025"/>
    <x v="47"/>
  </r>
  <r>
    <s v="PO-016769"/>
    <x v="319"/>
    <x v="299"/>
    <s v="Frypan 20 cm - light blue"/>
    <n v="7500"/>
    <n v="7500"/>
    <s v="Closed"/>
    <s v="02-09-2025"/>
    <x v="47"/>
  </r>
  <r>
    <s v="PO-016769"/>
    <x v="321"/>
    <x v="301"/>
    <s v="Wok 28 cm - dove grey"/>
    <n v="2802"/>
    <n v="2802"/>
    <s v="Closed"/>
    <s v="02-09-2025"/>
    <x v="47"/>
  </r>
  <r>
    <s v="PO-016770"/>
    <x v="589"/>
    <x v="106"/>
    <s v="Lunch Box"/>
    <n v="65004"/>
    <n v="65004"/>
    <s v="Closed"/>
    <s v="02-09-2025"/>
    <x v="87"/>
  </r>
  <r>
    <s v="PO-016771"/>
    <x v="589"/>
    <x v="106"/>
    <s v="Lunch Box"/>
    <n v="94998"/>
    <n v="94998"/>
    <s v="Closed"/>
    <s v="02-09-2025"/>
    <x v="87"/>
  </r>
  <r>
    <s v="PO-016772"/>
    <x v="589"/>
    <x v="106"/>
    <s v="Lunch Box"/>
    <n v="40176"/>
    <n v="40176"/>
    <s v="Closed"/>
    <s v="02-09-2025"/>
    <x v="87"/>
  </r>
  <r>
    <s v="PO-016776"/>
    <x v="417"/>
    <x v="391"/>
    <s v="Cap"/>
    <n v="72102"/>
    <n v="72102"/>
    <s v="Closed"/>
    <s v="04-09-2025"/>
    <x v="72"/>
  </r>
  <r>
    <s v="PO-016777"/>
    <x v="416"/>
    <x v="390"/>
    <s v="Microfiber sport towel"/>
    <n v="85716"/>
    <n v="85716"/>
    <s v="Closed"/>
    <s v="04-09-2025"/>
    <x v="2"/>
  </r>
  <r>
    <s v="PO-016778"/>
    <x v="411"/>
    <x v="385"/>
    <s v="Cotton sport towel"/>
    <n v="89256"/>
    <n v="89256"/>
    <s v="Closed"/>
    <s v="04-09-2025"/>
    <x v="69"/>
  </r>
  <r>
    <s v="PO-016779"/>
    <x v="410"/>
    <x v="384"/>
    <s v="Sports bottle 700ml"/>
    <n v="71526"/>
    <n v="71526"/>
    <s v="Closed"/>
    <s v="04-09-2025"/>
    <x v="28"/>
  </r>
  <r>
    <s v="PO-016780"/>
    <x v="412"/>
    <x v="386"/>
    <s v="Backpack"/>
    <n v="116898"/>
    <n v="116898"/>
    <s v="Closed"/>
    <s v="04-09-2025"/>
    <x v="71"/>
  </r>
  <r>
    <s v="PO-016780"/>
    <x v="413"/>
    <x v="387"/>
    <s v="Vanity Bag"/>
    <n v="96132"/>
    <n v="96132"/>
    <s v="Closed"/>
    <s v="04-09-2025"/>
    <x v="71"/>
  </r>
  <r>
    <s v="PO-016780"/>
    <x v="414"/>
    <x v="388"/>
    <s v="Duffel"/>
    <n v="82500"/>
    <n v="82480"/>
    <s v="Closed"/>
    <s v="04-09-2025"/>
    <x v="71"/>
  </r>
  <r>
    <s v="PO-016780"/>
    <x v="415"/>
    <x v="389"/>
    <s v="Waist bag"/>
    <n v="66780"/>
    <n v="66780"/>
    <s v="Closed"/>
    <s v="04-09-2025"/>
    <x v="71"/>
  </r>
  <r>
    <s v="PO-016784"/>
    <x v="590"/>
    <x v="550"/>
    <s v="Kitchen towel set of 3 pieces"/>
    <n v="85002"/>
    <n v="85002"/>
    <s v="Closed"/>
    <s v="08-09-2025"/>
    <x v="2"/>
  </r>
  <r>
    <s v="PO-016786"/>
    <x v="590"/>
    <x v="550"/>
    <s v="Kitchen towel set of 3 pieces"/>
    <n v="85002"/>
    <n v="85002"/>
    <s v="Closed"/>
    <s v="08-09-2025"/>
    <x v="2"/>
  </r>
  <r>
    <s v="PO-016787"/>
    <x v="591"/>
    <x v="551"/>
    <s v="Caterpillar plush"/>
    <n v="90000"/>
    <n v="90000"/>
    <s v="Closed"/>
    <s v="08-09-2025"/>
    <x v="88"/>
  </r>
  <r>
    <s v="PO-016788"/>
    <x v="591"/>
    <x v="551"/>
    <s v="Caterpillar plush"/>
    <n v="90000"/>
    <n v="90000"/>
    <s v="Closed"/>
    <s v="08-09-2025"/>
    <x v="88"/>
  </r>
  <r>
    <s v="PO-016789"/>
    <x v="592"/>
    <x v="552"/>
    <s v="Alarm Clock"/>
    <n v="70002"/>
    <n v="70002"/>
    <s v="Closed"/>
    <s v="08-09-2025"/>
    <x v="43"/>
  </r>
  <r>
    <s v="PO-016790"/>
    <x v="592"/>
    <x v="552"/>
    <s v="Alarm Clock"/>
    <n v="70002"/>
    <n v="70002"/>
    <s v="Closed"/>
    <s v="08-09-2025"/>
    <x v="43"/>
  </r>
  <r>
    <s v="PO-016791"/>
    <x v="592"/>
    <x v="552"/>
    <s v="Alarm Clock"/>
    <n v="60000"/>
    <n v="60000"/>
    <s v="Closed"/>
    <s v="08-09-2025"/>
    <x v="43"/>
  </r>
  <r>
    <s v="PO-016802"/>
    <x v="542"/>
    <x v="505"/>
    <s v="Speedy Mando"/>
    <n v="104400"/>
    <n v="0"/>
    <s v="Approved"/>
    <s v="10-09-2025"/>
    <x v="89"/>
  </r>
  <r>
    <s v="PO-016807"/>
    <x v="371"/>
    <x v="73"/>
    <s v="Sharpener"/>
    <n v="1938"/>
    <n v="1938"/>
    <s v="Closed"/>
    <s v="11-09-2025"/>
    <x v="16"/>
  </r>
  <r>
    <s v="PO-016808"/>
    <x v="418"/>
    <x v="392"/>
    <s v="Cutting board - FSC Rubberwood"/>
    <n v="2000"/>
    <n v="2000"/>
    <s v="Closed"/>
    <s v="12-09-2025"/>
    <x v="31"/>
  </r>
  <r>
    <s v="PO-016813"/>
    <x v="179"/>
    <x v="75"/>
    <s v="Saucepan 16cm"/>
    <n v="7480"/>
    <n v="7480"/>
    <s v="Closed"/>
    <s v="12-09-2025"/>
    <x v="45"/>
  </r>
  <r>
    <s v="PO-016813"/>
    <x v="181"/>
    <x v="171"/>
    <s v="Casserole 24cm with silicone straining lid"/>
    <n v="2012"/>
    <n v="2012"/>
    <s v="Closed"/>
    <s v="12-09-2025"/>
    <x v="45"/>
  </r>
  <r>
    <s v="PO-016813"/>
    <x v="183"/>
    <x v="79"/>
    <s v="Frypan 20cm"/>
    <n v="5036"/>
    <n v="5036"/>
    <s v="Closed"/>
    <s v="12-09-2025"/>
    <x v="45"/>
  </r>
  <r>
    <s v="PO-016813"/>
    <x v="184"/>
    <x v="80"/>
    <s v="Frypan 24cm"/>
    <n v="1008"/>
    <n v="1008"/>
    <s v="Closed"/>
    <s v="12-09-2025"/>
    <x v="45"/>
  </r>
  <r>
    <s v="PO-016814"/>
    <x v="195"/>
    <x v="182"/>
    <s v="Multi-purpose kitchen shears"/>
    <n v="12000"/>
    <n v="12000"/>
    <s v="Closed"/>
    <s v="12-09-2025"/>
    <x v="19"/>
  </r>
  <r>
    <s v="PO-016815"/>
    <x v="192"/>
    <x v="179"/>
    <s v="Paring Knife 100mm"/>
    <n v="2460"/>
    <n v="2460"/>
    <s v="Closed"/>
    <s v="12-09-2025"/>
    <x v="19"/>
  </r>
  <r>
    <s v="PO-016815"/>
    <x v="215"/>
    <x v="202"/>
    <s v="Utility Knife 130mm"/>
    <n v="3780"/>
    <n v="3780"/>
    <s v="Closed"/>
    <s v="12-09-2025"/>
    <x v="19"/>
  </r>
  <r>
    <s v="PO-016815"/>
    <x v="427"/>
    <x v="400"/>
    <s v="Santoku Knife 180mm"/>
    <n v="2000"/>
    <n v="2000"/>
    <s v="Closed"/>
    <s v="12-09-2025"/>
    <x v="19"/>
  </r>
  <r>
    <s v="PO-016815"/>
    <x v="428"/>
    <x v="401"/>
    <s v="Chef´s Knife 200mm"/>
    <n v="3720"/>
    <n v="3720"/>
    <s v="Closed"/>
    <s v="12-09-2025"/>
    <x v="19"/>
  </r>
  <r>
    <s v="PO-016815"/>
    <x v="214"/>
    <x v="201"/>
    <s v="Slicing knife 160mm"/>
    <n v="6600"/>
    <n v="6600"/>
    <s v="Closed"/>
    <s v="12-09-2025"/>
    <x v="19"/>
  </r>
  <r>
    <s v="PO-016815"/>
    <x v="593"/>
    <x v="182"/>
    <s v="Multi-purpose kitchen shears"/>
    <n v="3300"/>
    <n v="3300"/>
    <s v="Closed"/>
    <s v="12-09-2025"/>
    <x v="19"/>
  </r>
  <r>
    <s v="PO-016816"/>
    <x v="192"/>
    <x v="179"/>
    <s v="Paring Knife 100mm"/>
    <n v="2460"/>
    <n v="2460"/>
    <s v="Approved"/>
    <s v="12-09-2025"/>
    <x v="19"/>
  </r>
  <r>
    <s v="PO-016816"/>
    <x v="215"/>
    <x v="202"/>
    <s v="Utility Knife 130mm"/>
    <n v="3720"/>
    <n v="3720"/>
    <s v="Approved"/>
    <s v="12-09-2025"/>
    <x v="19"/>
  </r>
  <r>
    <s v="PO-016816"/>
    <x v="427"/>
    <x v="400"/>
    <s v="Santoku Knife 180mm"/>
    <n v="10000"/>
    <n v="10000"/>
    <s v="Approved"/>
    <s v="12-09-2025"/>
    <x v="19"/>
  </r>
  <r>
    <s v="PO-016817"/>
    <x v="282"/>
    <x v="73"/>
    <s v="Sharpener"/>
    <n v="2292"/>
    <n v="2292"/>
    <s v="Closed"/>
    <s v="12-09-2025"/>
    <x v="16"/>
  </r>
  <r>
    <s v="PO-016817"/>
    <x v="283"/>
    <x v="99"/>
    <s v="Chef's Knife"/>
    <n v="16998"/>
    <n v="16998"/>
    <s v="Closed"/>
    <s v="12-09-2025"/>
    <x v="16"/>
  </r>
  <r>
    <s v="PO-016817"/>
    <x v="280"/>
    <x v="98"/>
    <s v="Santoku Knife"/>
    <n v="2310"/>
    <n v="2310"/>
    <s v="Closed"/>
    <s v="12-09-2025"/>
    <x v="16"/>
  </r>
  <r>
    <s v="PO-016817"/>
    <x v="579"/>
    <x v="540"/>
    <s v="Meat/Slicer Knife"/>
    <n v="1074"/>
    <n v="1074"/>
    <s v="Closed"/>
    <s v="12-09-2025"/>
    <x v="16"/>
  </r>
  <r>
    <s v="PO-016818"/>
    <x v="318"/>
    <x v="298"/>
    <s v="Monopoly cardpack_Version for Proxy stores"/>
    <n v="5000400"/>
    <n v="5000400"/>
    <s v="Closed"/>
    <s v="15-09-2025"/>
    <x v="40"/>
  </r>
  <r>
    <s v="PO-016819"/>
    <x v="121"/>
    <x v="120"/>
    <s v="Utility knife"/>
    <n v="40698"/>
    <n v="40698"/>
    <s v="Closed"/>
    <s v="15-09-2025"/>
    <x v="16"/>
  </r>
  <r>
    <s v="PO-016821"/>
    <x v="594"/>
    <x v="553"/>
    <s v="Serving bowl / plate 30cm"/>
    <n v="4712"/>
    <n v="4712"/>
    <s v="Approved"/>
    <s v="16-09-2025"/>
    <x v="1"/>
  </r>
  <r>
    <s v="PO-016821"/>
    <x v="595"/>
    <x v="554"/>
    <s v="Large Bowl 17cm - 2pcs"/>
    <n v="3918"/>
    <n v="0"/>
    <s v="Approved"/>
    <s v="16-09-2025"/>
    <x v="1"/>
  </r>
  <r>
    <s v="PO-016839"/>
    <x v="596"/>
    <x v="555"/>
    <s v="Dry storage sq. AS 3pc set"/>
    <n v="67500"/>
    <n v="67500"/>
    <s v="Closed"/>
    <s v="19-09-2025"/>
    <x v="24"/>
  </r>
  <r>
    <s v="PO-016840"/>
    <x v="596"/>
    <x v="555"/>
    <s v="Dry storage sq. AS 3pc set"/>
    <n v="67500"/>
    <n v="67500"/>
    <s v="Closed"/>
    <s v="19-09-2025"/>
    <x v="24"/>
  </r>
  <r>
    <s v="PO-016841"/>
    <x v="596"/>
    <x v="555"/>
    <s v="Dry storage sq. AS 3pc set"/>
    <n v="40002"/>
    <n v="40002"/>
    <s v="Closed"/>
    <s v="19-09-2025"/>
    <x v="24"/>
  </r>
  <r>
    <s v="PO-016842"/>
    <x v="596"/>
    <x v="555"/>
    <s v="Dry storage sq. AS 3pc set"/>
    <n v="45000"/>
    <n v="45000"/>
    <s v="Closed"/>
    <s v="19-09-2025"/>
    <x v="24"/>
  </r>
  <r>
    <s v="PO-016846"/>
    <x v="423"/>
    <x v="396"/>
    <s v="Springform 24x7cm"/>
    <n v="14544"/>
    <n v="14544"/>
    <s v="Closed"/>
    <s v="22-09-2025"/>
    <x v="75"/>
  </r>
  <r>
    <s v="PO-016846"/>
    <x v="424"/>
    <x v="397"/>
    <s v="Cake Form 24x13x6cm"/>
    <n v="15504"/>
    <n v="15504"/>
    <s v="Closed"/>
    <s v="22-09-2025"/>
    <x v="75"/>
  </r>
  <r>
    <s v="PO-016848"/>
    <x v="597"/>
    <x v="556"/>
    <s v="Hermione on the Hogwarts Express (locomotive)"/>
    <n v="546900"/>
    <n v="546900"/>
    <s v="Approved"/>
    <s v="22-09-2025"/>
    <x v="54"/>
  </r>
  <r>
    <s v="PO-016848"/>
    <x v="598"/>
    <x v="557"/>
    <s v="Ron on the Hogwarts Express (train carriage)"/>
    <n v="563640"/>
    <n v="1350"/>
    <s v="Approved"/>
    <s v="22-09-2025"/>
    <x v="54"/>
  </r>
  <r>
    <s v="PO-016848"/>
    <x v="599"/>
    <x v="558"/>
    <s v="Dumbledore"/>
    <n v="569220"/>
    <n v="569220"/>
    <s v="Approved"/>
    <s v="22-09-2025"/>
    <x v="54"/>
  </r>
  <r>
    <s v="PO-016848"/>
    <x v="600"/>
    <x v="559"/>
    <s v="Voldemort"/>
    <n v="546900"/>
    <n v="546900"/>
    <s v="Approved"/>
    <s v="22-09-2025"/>
    <x v="54"/>
  </r>
  <r>
    <s v="PO-016848"/>
    <x v="601"/>
    <x v="560"/>
    <s v="Harry on a broomstick"/>
    <n v="597150"/>
    <n v="1350"/>
    <s v="Approved"/>
    <s v="22-09-2025"/>
    <x v="54"/>
  </r>
  <r>
    <s v="PO-016848"/>
    <x v="602"/>
    <x v="561"/>
    <s v="Hagrid on a motorcycle"/>
    <n v="580410"/>
    <n v="1350"/>
    <s v="Approved"/>
    <s v="22-09-2025"/>
    <x v="54"/>
  </r>
  <r>
    <s v="PO-016848"/>
    <x v="603"/>
    <x v="562"/>
    <s v="Hedwig with packages - for sale"/>
    <n v="20010"/>
    <n v="20010"/>
    <s v="Approved"/>
    <s v="22-09-2025"/>
    <x v="54"/>
  </r>
  <r>
    <s v="PO-016848"/>
    <x v="604"/>
    <x v="563"/>
    <s v="Ginny - for sale"/>
    <n v="20010"/>
    <n v="20010"/>
    <s v="Approved"/>
    <s v="22-09-2025"/>
    <x v="54"/>
  </r>
  <r>
    <s v="PO-016848"/>
    <x v="605"/>
    <x v="564"/>
    <s v="Bellatrix - for sale"/>
    <n v="20010"/>
    <n v="20010"/>
    <s v="Approved"/>
    <s v="22-09-2025"/>
    <x v="54"/>
  </r>
  <r>
    <s v="PO-016848"/>
    <x v="606"/>
    <x v="565"/>
    <s v="Ford Anglia - for sale"/>
    <n v="20010"/>
    <n v="20010"/>
    <s v="Approved"/>
    <s v="22-09-2025"/>
    <x v="54"/>
  </r>
  <r>
    <s v="PO-016848"/>
    <x v="607"/>
    <x v="566"/>
    <s v="The Knight Bus - for sale"/>
    <n v="20010"/>
    <n v="20010"/>
    <s v="Approved"/>
    <s v="22-09-2025"/>
    <x v="54"/>
  </r>
  <r>
    <s v="PO-016848"/>
    <x v="608"/>
    <x v="567"/>
    <s v="Draco on a broomstick - for sale"/>
    <n v="20010"/>
    <n v="20010"/>
    <s v="Approved"/>
    <s v="22-09-2025"/>
    <x v="54"/>
  </r>
  <r>
    <s v="PO-016849"/>
    <x v="335"/>
    <x v="315"/>
    <s v="Plastificatrice Peach A3/A4"/>
    <n v="13"/>
    <n v="13"/>
    <s v="Closed"/>
    <s v="23-09-2025"/>
    <x v="6"/>
  </r>
  <r>
    <s v="PO-016849"/>
    <x v="338"/>
    <x v="318"/>
    <s v="100 pouches A4"/>
    <n v="1"/>
    <n v="1"/>
    <s v="Closed"/>
    <s v="23-09-2025"/>
    <x v="6"/>
  </r>
  <r>
    <s v="PO-016849"/>
    <x v="337"/>
    <x v="317"/>
    <s v="Cavo Hdmi Da 5 Mt"/>
    <n v="6"/>
    <n v="6"/>
    <s v="Closed"/>
    <s v="23-09-2025"/>
    <x v="6"/>
  </r>
  <r>
    <s v="PO-016849"/>
    <x v="336"/>
    <x v="316"/>
    <s v="Cuffia con microfono usb"/>
    <n v="4"/>
    <n v="4"/>
    <s v="Closed"/>
    <s v="23-09-2025"/>
    <x v="6"/>
  </r>
  <r>
    <s v="PO-016850"/>
    <x v="315"/>
    <x v="295"/>
    <s v="PP CUTTING BOARD"/>
    <n v="22194"/>
    <n v="22176"/>
    <s v="Closed"/>
    <s v="23-09-2025"/>
    <x v="24"/>
  </r>
  <r>
    <s v="PO-016851"/>
    <x v="301"/>
    <x v="284"/>
    <s v="Small Santoku Knife"/>
    <n v="15930"/>
    <n v="15930"/>
    <s v="Closed"/>
    <s v="23-09-2025"/>
    <x v="16"/>
  </r>
  <r>
    <s v="PO-016851"/>
    <x v="566"/>
    <x v="527"/>
    <s v="Scissors"/>
    <n v="6186"/>
    <n v="6186"/>
    <s v="Closed"/>
    <s v="23-09-2025"/>
    <x v="16"/>
  </r>
  <r>
    <s v="PO-016851"/>
    <x v="311"/>
    <x v="73"/>
    <s v="Sharpener"/>
    <n v="4128"/>
    <n v="4128"/>
    <s v="Closed"/>
    <s v="23-09-2025"/>
    <x v="16"/>
  </r>
  <r>
    <s v="PO-016864"/>
    <x v="114"/>
    <x v="114"/>
    <s v="Ovendish large 38 x 26 x 7,5cm"/>
    <n v="7128"/>
    <n v="7128"/>
    <s v="Approved"/>
    <s v="26-09-2025"/>
    <x v="20"/>
  </r>
  <r>
    <s v="PO-016865"/>
    <x v="192"/>
    <x v="179"/>
    <s v="Paring Knife 100mm"/>
    <n v="6180"/>
    <n v="6180"/>
    <s v="Closed"/>
    <s v="26-09-2025"/>
    <x v="19"/>
  </r>
  <r>
    <s v="PO-016865"/>
    <x v="593"/>
    <x v="182"/>
    <s v="Multi-purpose kitchen shears"/>
    <n v="3500"/>
    <n v="3500"/>
    <s v="Closed"/>
    <s v="26-09-2025"/>
    <x v="19"/>
  </r>
  <r>
    <s v="PO-016851"/>
    <x v="298"/>
    <x v="282"/>
    <s v="Fresh Paring Knife"/>
    <n v="3000"/>
    <n v="3000"/>
    <s v="Closed"/>
    <s v="23-09-2025"/>
    <x v="16"/>
  </r>
  <r>
    <s v="PO-016867"/>
    <x v="609"/>
    <x v="568"/>
    <s v="Supersonic chopper compact"/>
    <n v="12096"/>
    <n v="0"/>
    <s v="Approved"/>
    <s v="29-09-2025"/>
    <x v="89"/>
  </r>
  <r>
    <s v="PO-016868"/>
    <x v="386"/>
    <x v="361"/>
    <s v="KN0446-ISB"/>
    <n v="492"/>
    <n v="492"/>
    <s v="Approved"/>
    <s v="29-09-2025"/>
    <x v="19"/>
  </r>
  <r>
    <s v="PO-016868"/>
    <x v="387"/>
    <x v="362"/>
    <s v="KN0446-KI"/>
    <n v="492"/>
    <n v="492"/>
    <s v="Approved"/>
    <s v="29-09-2025"/>
    <x v="19"/>
  </r>
  <r>
    <s v="PO-016868"/>
    <x v="388"/>
    <x v="363"/>
    <s v="KN0447-KI"/>
    <n v="750"/>
    <n v="0"/>
    <s v="Approved"/>
    <s v="29-09-2025"/>
    <x v="19"/>
  </r>
  <r>
    <s v="PO-016868"/>
    <x v="574"/>
    <x v="535"/>
    <s v="KN0449-ISB"/>
    <n v="1200"/>
    <n v="1200"/>
    <s v="Approved"/>
    <s v="29-09-2025"/>
    <x v="19"/>
  </r>
  <r>
    <s v="PO-016868"/>
    <x v="389"/>
    <x v="364"/>
    <s v="KN0448-ISB"/>
    <n v="480"/>
    <n v="0"/>
    <s v="Approved"/>
    <s v="29-09-2025"/>
    <x v="19"/>
  </r>
  <r>
    <s v="PO-016868"/>
    <x v="390"/>
    <x v="365"/>
    <s v="KN0448-KI"/>
    <n v="480"/>
    <n v="0"/>
    <s v="Approved"/>
    <s v="29-09-2025"/>
    <x v="19"/>
  </r>
  <r>
    <s v="PO-016868"/>
    <x v="391"/>
    <x v="366"/>
    <s v="KN0475-ISB"/>
    <n v="660"/>
    <n v="500"/>
    <s v="Approved"/>
    <s v="29-09-2025"/>
    <x v="19"/>
  </r>
  <r>
    <s v="PO-016868"/>
    <x v="392"/>
    <x v="367"/>
    <s v="KN0475-KI"/>
    <n v="660"/>
    <n v="750"/>
    <s v="Approved"/>
    <s v="29-09-2025"/>
    <x v="19"/>
  </r>
  <r>
    <s v="PO-016868"/>
    <x v="575"/>
    <x v="536"/>
    <s v="KN0449-KI"/>
    <n v="1200"/>
    <n v="1200"/>
    <s v="Approved"/>
    <s v="29-09-2025"/>
    <x v="19"/>
  </r>
  <r>
    <s v="PO-016868"/>
    <x v="577"/>
    <x v="538"/>
    <s v="KN0450-ISB"/>
    <n v="372"/>
    <n v="160"/>
    <s v="Approved"/>
    <s v="29-09-2025"/>
    <x v="19"/>
  </r>
  <r>
    <s v="PO-016868"/>
    <x v="578"/>
    <x v="539"/>
    <s v="KN0450-KI"/>
    <n v="372"/>
    <n v="300"/>
    <s v="Approved"/>
    <s v="29-09-2025"/>
    <x v="19"/>
  </r>
  <r>
    <s v="PO-016876"/>
    <x v="228"/>
    <x v="215"/>
    <s v="Lid of glass storage vacuum rec. 800ml"/>
    <n v="19530"/>
    <n v="19530"/>
    <s v="Closed"/>
    <s v="30-09-2025"/>
    <x v="14"/>
  </r>
  <r>
    <s v="PO-016876"/>
    <x v="229"/>
    <x v="216"/>
    <s v="Lid of glass storage vacuum rec. 1500ml"/>
    <n v="21240"/>
    <n v="21240"/>
    <s v="Closed"/>
    <s v="30-09-2025"/>
    <x v="14"/>
  </r>
  <r>
    <s v="PO-016876"/>
    <x v="230"/>
    <x v="217"/>
    <s v="Lid of glass storage vacuum rec. 2600ml"/>
    <n v="19560"/>
    <n v="19560"/>
    <s v="Closed"/>
    <s v="30-09-2025"/>
    <x v="14"/>
  </r>
  <r>
    <s v="PO-016876"/>
    <x v="430"/>
    <x v="249"/>
    <s v="Vacuum pump - Manual"/>
    <n v="10344"/>
    <n v="10344"/>
    <s v="Closed"/>
    <s v="30-09-2025"/>
    <x v="14"/>
  </r>
  <r>
    <s v="PO-016880"/>
    <x v="431"/>
    <x v="403"/>
    <s v="Round Baker"/>
    <n v="10564"/>
    <n v="0"/>
    <s v="Approved"/>
    <s v="01-10-2025"/>
    <x v="68"/>
  </r>
  <r>
    <s v="PO-016880"/>
    <x v="432"/>
    <x v="404"/>
    <s v="Rectangular Baker M"/>
    <n v="5340"/>
    <n v="0"/>
    <s v="Approved"/>
    <s v="01-10-2025"/>
    <x v="68"/>
  </r>
  <r>
    <s v="PO-016880"/>
    <x v="435"/>
    <x v="407"/>
    <s v="Dessert plate 18cm 2 pcs"/>
    <n v="3008"/>
    <n v="0"/>
    <s v="Approved"/>
    <s v="01-10-2025"/>
    <x v="68"/>
  </r>
  <r>
    <s v="PO-016880"/>
    <x v="437"/>
    <x v="409"/>
    <s v="Dinner plate 26cm 2 pcs"/>
    <n v="2172"/>
    <n v="0"/>
    <s v="Approved"/>
    <s v="01-10-2025"/>
    <x v="68"/>
  </r>
  <r>
    <s v="PO-016882"/>
    <x v="431"/>
    <x v="403"/>
    <s v="Round Baker"/>
    <n v="4164"/>
    <n v="0"/>
    <s v="Approved"/>
    <s v="01-10-2025"/>
    <x v="20"/>
  </r>
  <r>
    <s v="PO-016882"/>
    <x v="432"/>
    <x v="404"/>
    <s v="Rectangular Baker M"/>
    <n v="5340"/>
    <n v="0"/>
    <s v="Approved"/>
    <s v="01-10-2025"/>
    <x v="20"/>
  </r>
  <r>
    <s v="PO-016882"/>
    <x v="433"/>
    <x v="405"/>
    <s v="Round Casserole with lid"/>
    <n v="2892"/>
    <n v="0"/>
    <s v="Approved"/>
    <s v="01-10-2025"/>
    <x v="20"/>
  </r>
  <r>
    <s v="PO-016882"/>
    <x v="434"/>
    <x v="406"/>
    <s v="Bowl 12cm 2 pcs"/>
    <n v="4160"/>
    <n v="0"/>
    <s v="Approved"/>
    <s v="01-10-2025"/>
    <x v="20"/>
  </r>
  <r>
    <s v="PO-016882"/>
    <x v="436"/>
    <x v="408"/>
    <s v="Pasta/Soup plate 2 pcs"/>
    <n v="3260"/>
    <n v="0"/>
    <s v="Approved"/>
    <s v="01-10-2025"/>
    <x v="20"/>
  </r>
  <r>
    <s v="PO-016884"/>
    <x v="375"/>
    <x v="350"/>
    <s v="Servingpan 28cm"/>
    <n v="5016"/>
    <n v="5016"/>
    <s v="Closed"/>
    <s v="01-10-2025"/>
    <x v="19"/>
  </r>
  <r>
    <s v="PO-016884"/>
    <x v="376"/>
    <x v="351"/>
    <s v="Stewpot 20cm w/lid"/>
    <n v="4776"/>
    <n v="4776"/>
    <s v="Closed"/>
    <s v="01-10-2025"/>
    <x v="19"/>
  </r>
  <r>
    <s v="PO-016884"/>
    <x v="379"/>
    <x v="354"/>
    <s v="Stockpot 24cm w/lid"/>
    <n v="4060"/>
    <n v="4060"/>
    <s v="Closed"/>
    <s v="01-10-2025"/>
    <x v="19"/>
  </r>
  <r>
    <s v="PO-016899"/>
    <x v="416"/>
    <x v="390"/>
    <s v="Microfiber sport towel"/>
    <n v="45000"/>
    <n v="45000"/>
    <s v="Closed"/>
    <s v="03-10-2025"/>
    <x v="2"/>
  </r>
  <r>
    <s v="PO-016900"/>
    <x v="413"/>
    <x v="387"/>
    <s v="Vanity Bag"/>
    <n v="60876"/>
    <n v="60876"/>
    <s v="Closed"/>
    <s v="03-10-2025"/>
    <x v="71"/>
  </r>
  <r>
    <s v="PO-016900"/>
    <x v="412"/>
    <x v="386"/>
    <s v="Backpack"/>
    <n v="12918"/>
    <n v="12918"/>
    <s v="Closed"/>
    <s v="03-10-2025"/>
    <x v="71"/>
  </r>
  <r>
    <s v="PO-016900"/>
    <x v="414"/>
    <x v="388"/>
    <s v="Duffel"/>
    <n v="11068"/>
    <n v="11068"/>
    <s v="Closed"/>
    <s v="03-10-2025"/>
    <x v="71"/>
  </r>
  <r>
    <s v="PO-016900"/>
    <x v="415"/>
    <x v="389"/>
    <s v="Waist bag"/>
    <n v="18450"/>
    <n v="18450"/>
    <s v="Closed"/>
    <s v="03-10-2025"/>
    <x v="71"/>
  </r>
  <r>
    <s v="PO-016901"/>
    <x v="410"/>
    <x v="384"/>
    <s v="Sports bottle 700ml"/>
    <n v="19998"/>
    <n v="19998"/>
    <s v="Closed"/>
    <s v="03-10-2025"/>
    <x v="28"/>
  </r>
  <r>
    <s v="PO-016902"/>
    <x v="410"/>
    <x v="384"/>
    <s v="Sports bottle 700ml"/>
    <n v="21818"/>
    <n v="21822"/>
    <s v="Approved"/>
    <s v="03-10-2025"/>
    <x v="28"/>
  </r>
  <r>
    <s v="PO-016903"/>
    <x v="416"/>
    <x v="390"/>
    <s v="Microfiber sport towel"/>
    <n v="21408"/>
    <n v="21408"/>
    <s v="Closed"/>
    <s v="03-10-2025"/>
    <x v="2"/>
  </r>
  <r>
    <s v="PO-016904"/>
    <x v="413"/>
    <x v="387"/>
    <s v="Vanity Bag"/>
    <n v="20292"/>
    <n v="20292"/>
    <s v="Closed"/>
    <s v="03-10-2025"/>
    <x v="71"/>
  </r>
  <r>
    <s v="PO-016904"/>
    <x v="412"/>
    <x v="386"/>
    <s v="Backpack"/>
    <n v="4308"/>
    <n v="4308"/>
    <s v="Closed"/>
    <s v="03-10-2025"/>
    <x v="71"/>
  </r>
  <r>
    <s v="PO-016904"/>
    <x v="414"/>
    <x v="388"/>
    <s v="Duffel"/>
    <n v="3692"/>
    <n v="3692"/>
    <s v="Closed"/>
    <s v="03-10-2025"/>
    <x v="71"/>
  </r>
  <r>
    <s v="PO-016904"/>
    <x v="415"/>
    <x v="389"/>
    <s v="Waist bag"/>
    <n v="6150"/>
    <n v="6150"/>
    <s v="Closed"/>
    <s v="03-10-2025"/>
    <x v="71"/>
  </r>
  <r>
    <s v="PO-016975"/>
    <x v="431"/>
    <x v="403"/>
    <s v="Round Baker"/>
    <n v="29624"/>
    <n v="29624"/>
    <s v="Closed"/>
    <s v="08-10-2025"/>
    <x v="20"/>
  </r>
  <r>
    <s v="PO-016978"/>
    <x v="432"/>
    <x v="404"/>
    <s v="Rectangular Baker M"/>
    <n v="5400"/>
    <n v="5400"/>
    <s v="Approved"/>
    <s v="08-10-2025"/>
    <x v="68"/>
  </r>
  <r>
    <s v="PO-016978"/>
    <x v="435"/>
    <x v="407"/>
    <s v="Dessert plate 18cm 2 pcs"/>
    <n v="26732"/>
    <n v="15600"/>
    <s v="Approved"/>
    <s v="08-10-2025"/>
    <x v="68"/>
  </r>
  <r>
    <s v="PO-016978"/>
    <x v="437"/>
    <x v="409"/>
    <s v="Dinner plate 26cm 2 pcs"/>
    <n v="18476"/>
    <n v="18476"/>
    <s v="Approved"/>
    <s v="08-10-2025"/>
    <x v="68"/>
  </r>
  <r>
    <s v="PO-016984"/>
    <x v="610"/>
    <x v="569"/>
    <s v="BBQ Cast Iron Teppanyaki Plate"/>
    <n v="9672"/>
    <n v="9672"/>
    <s v="Closed"/>
    <s v="08-10-2025"/>
    <x v="62"/>
  </r>
  <r>
    <s v="PO-017237"/>
    <x v="611"/>
    <x v="570"/>
    <s v="Disney mug beige 300ml"/>
    <n v="15834"/>
    <n v="15834"/>
    <s v="Closed"/>
    <s v="08-10-2025"/>
    <x v="44"/>
  </r>
  <r>
    <s v="PO-017237"/>
    <x v="612"/>
    <x v="571"/>
    <s v="Disney bowl beige 520ml"/>
    <n v="16320"/>
    <n v="16320"/>
    <s v="Closed"/>
    <s v="08-10-2025"/>
    <x v="44"/>
  </r>
  <r>
    <s v="PO-017237"/>
    <x v="613"/>
    <x v="572"/>
    <s v="Disney 21cm plate beige"/>
    <n v="12702"/>
    <n v="12702"/>
    <s v="Closed"/>
    <s v="08-10-2025"/>
    <x v="44"/>
  </r>
  <r>
    <s v="PO-017237"/>
    <x v="614"/>
    <x v="573"/>
    <s v="Disney 26cm plate beige"/>
    <n v="8514"/>
    <n v="8514"/>
    <s v="Closed"/>
    <s v="08-10-2025"/>
    <x v="44"/>
  </r>
  <r>
    <s v="PO-017237"/>
    <x v="615"/>
    <x v="574"/>
    <s v="Disney mug blue 300ml"/>
    <n v="16506"/>
    <n v="16506"/>
    <s v="Closed"/>
    <s v="08-10-2025"/>
    <x v="44"/>
  </r>
  <r>
    <s v="PO-017237"/>
    <x v="616"/>
    <x v="575"/>
    <s v="Disney bowl blue 520ml"/>
    <n v="16320"/>
    <n v="16320"/>
    <s v="Closed"/>
    <s v="08-10-2025"/>
    <x v="44"/>
  </r>
  <r>
    <s v="PO-017237"/>
    <x v="617"/>
    <x v="576"/>
    <s v="Disney 21cm plate blue"/>
    <n v="12702"/>
    <n v="12702"/>
    <s v="Closed"/>
    <s v="08-10-2025"/>
    <x v="44"/>
  </r>
  <r>
    <s v="PO-017237"/>
    <x v="618"/>
    <x v="577"/>
    <s v="Disney 26cm plate blue"/>
    <n v="8514"/>
    <n v="8514"/>
    <s v="Closed"/>
    <s v="08-10-2025"/>
    <x v="44"/>
  </r>
  <r>
    <s v="PO-017238"/>
    <x v="619"/>
    <x v="578"/>
    <s v="Cutting Board"/>
    <n v="15780"/>
    <n v="15780"/>
    <s v="Closed"/>
    <s v="08-10-2025"/>
    <x v="90"/>
  </r>
  <r>
    <s v="PO-017239"/>
    <x v="620"/>
    <x v="119"/>
    <s v="Paring Knife"/>
    <n v="63108"/>
    <n v="63108"/>
    <s v="Approved"/>
    <s v="08-10-2025"/>
    <x v="16"/>
  </r>
  <r>
    <s v="PO-017239"/>
    <x v="621"/>
    <x v="120"/>
    <s v="Utility knife"/>
    <n v="68364"/>
    <n v="68364"/>
    <s v="Approved"/>
    <s v="08-10-2025"/>
    <x v="16"/>
  </r>
  <r>
    <s v="PO-017239"/>
    <x v="622"/>
    <x v="121"/>
    <s v="Bread knife"/>
    <n v="31554"/>
    <n v="31554"/>
    <s v="Approved"/>
    <s v="08-10-2025"/>
    <x v="16"/>
  </r>
  <r>
    <s v="PO-017239"/>
    <x v="623"/>
    <x v="122"/>
    <s v="Slicing knife"/>
    <n v="63108"/>
    <n v="63108"/>
    <s v="Approved"/>
    <s v="08-10-2025"/>
    <x v="16"/>
  </r>
  <r>
    <s v="PO-017239"/>
    <x v="624"/>
    <x v="98"/>
    <s v="Santoku knife"/>
    <n v="68364"/>
    <n v="68364"/>
    <s v="Approved"/>
    <s v="08-10-2025"/>
    <x v="16"/>
  </r>
  <r>
    <s v="PO-017239"/>
    <x v="625"/>
    <x v="99"/>
    <s v="Chef's knife"/>
    <n v="131466"/>
    <n v="131466"/>
    <s v="Approved"/>
    <s v="08-10-2025"/>
    <x v="16"/>
  </r>
  <r>
    <s v="PO-017239"/>
    <x v="626"/>
    <x v="73"/>
    <s v="Sharpener"/>
    <n v="26298"/>
    <n v="26298"/>
    <s v="Approved"/>
    <s v="08-10-2025"/>
    <x v="16"/>
  </r>
  <r>
    <s v="PO-017239"/>
    <x v="627"/>
    <x v="579"/>
    <s v="Kitchen Scissors"/>
    <n v="36810"/>
    <n v="36810"/>
    <s v="Approved"/>
    <s v="08-10-2025"/>
    <x v="16"/>
  </r>
  <r>
    <s v="PO-017241"/>
    <x v="301"/>
    <x v="284"/>
    <s v="Small Santoku Knife"/>
    <n v="9840"/>
    <n v="9840"/>
    <s v="Closed"/>
    <s v="10-10-2025"/>
    <x v="16"/>
  </r>
  <r>
    <s v="PO-017241"/>
    <x v="566"/>
    <x v="527"/>
    <s v="Scissors"/>
    <n v="19920"/>
    <n v="19920"/>
    <s v="Closed"/>
    <s v="10-10-2025"/>
    <x v="16"/>
  </r>
  <r>
    <s v="PO-017241"/>
    <x v="298"/>
    <x v="282"/>
    <s v="Fresh Paring Knife"/>
    <n v="7944"/>
    <n v="7944"/>
    <s v="Closed"/>
    <s v="10-10-2025"/>
    <x v="16"/>
  </r>
  <r>
    <s v="PO-017241"/>
    <x v="311"/>
    <x v="73"/>
    <s v="Sharpener"/>
    <n v="7038"/>
    <n v="7038"/>
    <s v="Closed"/>
    <s v="10-10-2025"/>
    <x v="16"/>
  </r>
  <r>
    <s v="PO-017241"/>
    <x v="300"/>
    <x v="283"/>
    <s v="Chef Knife"/>
    <n v="4998"/>
    <n v="4998"/>
    <s v="Closed"/>
    <s v="10-10-2025"/>
    <x v="16"/>
  </r>
  <r>
    <s v="PO-017242"/>
    <x v="315"/>
    <x v="295"/>
    <s v="PP CUTTING BOARD"/>
    <n v="16776"/>
    <n v="16776"/>
    <s v="Closed"/>
    <s v="10-10-2025"/>
    <x v="24"/>
  </r>
  <r>
    <s v="PO-017244"/>
    <x v="611"/>
    <x v="570"/>
    <s v="Disney mug beige 300ml"/>
    <n v="13434"/>
    <n v="13434"/>
    <s v="Closed"/>
    <s v="10-10-2025"/>
    <x v="44"/>
  </r>
  <r>
    <s v="PO-017244"/>
    <x v="612"/>
    <x v="571"/>
    <s v="Disney bowl beige 520ml"/>
    <n v="14364"/>
    <n v="14364"/>
    <s v="Closed"/>
    <s v="10-10-2025"/>
    <x v="44"/>
  </r>
  <r>
    <s v="PO-017244"/>
    <x v="613"/>
    <x v="572"/>
    <s v="Disney 21cm plate beige"/>
    <n v="11124"/>
    <n v="11124"/>
    <s v="Closed"/>
    <s v="10-10-2025"/>
    <x v="44"/>
  </r>
  <r>
    <s v="PO-017244"/>
    <x v="614"/>
    <x v="573"/>
    <s v="Disney 26cm plate beige"/>
    <n v="7416"/>
    <n v="7416"/>
    <s v="Closed"/>
    <s v="10-10-2025"/>
    <x v="44"/>
  </r>
  <r>
    <s v="PO-017244"/>
    <x v="615"/>
    <x v="574"/>
    <s v="Disney mug blue 300ml"/>
    <n v="13434"/>
    <n v="13434"/>
    <s v="Closed"/>
    <s v="10-10-2025"/>
    <x v="44"/>
  </r>
  <r>
    <s v="PO-017244"/>
    <x v="616"/>
    <x v="575"/>
    <s v="Disney bowl blue 520ml"/>
    <n v="14364"/>
    <n v="14364"/>
    <s v="Closed"/>
    <s v="10-10-2025"/>
    <x v="44"/>
  </r>
  <r>
    <s v="PO-017244"/>
    <x v="617"/>
    <x v="576"/>
    <s v="Disney 21cm plate blue"/>
    <n v="11124"/>
    <n v="11124"/>
    <s v="Closed"/>
    <s v="10-10-2025"/>
    <x v="44"/>
  </r>
  <r>
    <s v="PO-017244"/>
    <x v="618"/>
    <x v="577"/>
    <s v="Disney 26cm plate blue"/>
    <n v="7416"/>
    <n v="7416"/>
    <s v="Closed"/>
    <s v="10-10-2025"/>
    <x v="44"/>
  </r>
  <r>
    <s v="PO-017251"/>
    <x v="478"/>
    <x v="448"/>
    <s v="SET MUSICALE"/>
    <n v="1"/>
    <n v="1"/>
    <s v="Closed"/>
    <s v="10-10-2025"/>
    <x v="64"/>
  </r>
  <r>
    <s v="PO-017251"/>
    <x v="474"/>
    <x v="444"/>
    <s v="GEOMETRIA ECO"/>
    <n v="1"/>
    <n v="1"/>
    <s v="Closed"/>
    <s v="10-10-2025"/>
    <x v="64"/>
  </r>
  <r>
    <s v="PO-017251"/>
    <x v="467"/>
    <x v="437"/>
    <s v="TRONCO UMANO SCOMPONIBILE CM 85"/>
    <n v="1"/>
    <n v="1"/>
    <s v="Closed"/>
    <s v="10-10-2025"/>
    <x v="64"/>
  </r>
  <r>
    <s v="PO-017252"/>
    <x v="520"/>
    <x v="487"/>
    <s v="LEGO EDUCATION SPIKE ESSENTIAL"/>
    <n v="5"/>
    <n v="5"/>
    <s v="Closed"/>
    <s v="10-10-2025"/>
    <x v="6"/>
  </r>
  <r>
    <s v="PO-017252"/>
    <x v="486"/>
    <x v="456"/>
    <s v="NOTEBOOK 15.6 CELERON"/>
    <n v="1"/>
    <n v="1"/>
    <s v="Closed"/>
    <s v="10-10-2025"/>
    <x v="6"/>
  </r>
  <r>
    <s v="PO-017252"/>
    <x v="521"/>
    <x v="488"/>
    <s v="BANCO DA LAVORO"/>
    <n v="3"/>
    <n v="0"/>
    <s v="Closed"/>
    <s v="10-10-2025"/>
    <x v="6"/>
  </r>
  <r>
    <s v="PO-017252"/>
    <x v="504"/>
    <x v="471"/>
    <s v="STAMPANTE INKJET BIANCO E NERO EPSON ECOTANK"/>
    <n v="1"/>
    <n v="1"/>
    <s v="Closed"/>
    <s v="10-10-2025"/>
    <x v="6"/>
  </r>
  <r>
    <s v="PO-017252"/>
    <x v="506"/>
    <x v="473"/>
    <s v="STAMPANTE MULTIFUNZIONE LASER BIANCO E NERO A4"/>
    <n v="1"/>
    <n v="1"/>
    <s v="Closed"/>
    <s v="10-10-2025"/>
    <x v="6"/>
  </r>
  <r>
    <s v="PO-017252"/>
    <x v="481"/>
    <x v="451"/>
    <s v="MONITOR 65 TOUCH"/>
    <n v="5"/>
    <n v="5"/>
    <s v="Closed"/>
    <s v="10-10-2025"/>
    <x v="6"/>
  </r>
  <r>
    <s v="PO-017252"/>
    <x v="511"/>
    <x v="478"/>
    <s v="CUCITRICE AD ALTI SPESSORI"/>
    <n v="1"/>
    <n v="1"/>
    <s v="Closed"/>
    <s v="10-10-2025"/>
    <x v="6"/>
  </r>
  <r>
    <s v="PO-017253"/>
    <x v="555"/>
    <x v="518"/>
    <s v="LIBRERIA COMPATTA CON TRE RIPIANI REGOLABILI"/>
    <n v="15"/>
    <n v="8"/>
    <s v="Approved"/>
    <s v="10-10-2025"/>
    <x v="67"/>
  </r>
  <r>
    <s v="PO-017253"/>
    <x v="552"/>
    <x v="515"/>
    <s v="CARRELLO PORTA COLORI FANTASIA CON PANNELLO ECOLOG"/>
    <n v="1"/>
    <n v="0"/>
    <s v="Approved"/>
    <s v="10-10-2025"/>
    <x v="67"/>
  </r>
  <r>
    <s v="PO-017258"/>
    <x v="16"/>
    <x v="16"/>
    <s v="Set 6 ghiaccio spray"/>
    <n v="3"/>
    <n v="0"/>
    <s v="Approved"/>
    <s v="13-10-2025"/>
    <x v="5"/>
  </r>
  <r>
    <s v="PO-017258"/>
    <x v="14"/>
    <x v="14"/>
    <s v="Set 12 corde per saltare"/>
    <n v="2"/>
    <n v="2"/>
    <s v="Approved"/>
    <s v="13-10-2025"/>
    <x v="5"/>
  </r>
  <r>
    <s v="PO-017258"/>
    <x v="234"/>
    <x v="221"/>
    <s v="Bilanciere olimpionico"/>
    <n v="2"/>
    <n v="2"/>
    <s v="Approved"/>
    <s v="13-10-2025"/>
    <x v="5"/>
  </r>
  <r>
    <s v="PO-017259"/>
    <x v="188"/>
    <x v="21"/>
    <s v="VALIGETTA PRONTO SOCCORSO"/>
    <n v="1"/>
    <n v="1"/>
    <s v="Closed"/>
    <s v="13-10-2025"/>
    <x v="6"/>
  </r>
  <r>
    <s v="PO-017259"/>
    <x v="369"/>
    <x v="348"/>
    <s v="Sistema audio portatile"/>
    <n v="1"/>
    <n v="1"/>
    <s v="Closed"/>
    <s v="13-10-2025"/>
    <x v="6"/>
  </r>
  <r>
    <s v="PO-017263"/>
    <x v="431"/>
    <x v="403"/>
    <s v="Round Baker"/>
    <n v="15004"/>
    <n v="0"/>
    <s v="Approved"/>
    <s v="13-10-2025"/>
    <x v="20"/>
  </r>
  <r>
    <s v="PO-017263"/>
    <x v="432"/>
    <x v="404"/>
    <s v="Rectangular Baker M"/>
    <n v="19276"/>
    <n v="0"/>
    <s v="Approved"/>
    <s v="13-10-2025"/>
    <x v="20"/>
  </r>
  <r>
    <s v="PO-017263"/>
    <x v="433"/>
    <x v="405"/>
    <s v="Round Casserole with lid"/>
    <n v="10384"/>
    <n v="0"/>
    <s v="Approved"/>
    <s v="13-10-2025"/>
    <x v="20"/>
  </r>
  <r>
    <s v="PO-017263"/>
    <x v="434"/>
    <x v="406"/>
    <s v="Bowl 12cm 2 pcs"/>
    <n v="14972"/>
    <n v="0"/>
    <s v="Approved"/>
    <s v="13-10-2025"/>
    <x v="20"/>
  </r>
  <r>
    <s v="PO-017263"/>
    <x v="436"/>
    <x v="408"/>
    <s v="Pasta/Soup plate 2 pcs"/>
    <n v="11696"/>
    <n v="0"/>
    <s v="Approved"/>
    <s v="13-10-2025"/>
    <x v="20"/>
  </r>
  <r>
    <s v="PO-017271"/>
    <x v="628"/>
    <x v="580"/>
    <s v="Carving board"/>
    <n v="4608"/>
    <n v="4608"/>
    <s v="Closed"/>
    <s v="14-10-2025"/>
    <x v="31"/>
  </r>
  <r>
    <s v="PO-017272"/>
    <x v="629"/>
    <x v="581"/>
    <s v="BBQ Carving Knife"/>
    <n v="13110"/>
    <n v="13110"/>
    <s v="Closed"/>
    <s v="14-10-2025"/>
    <x v="16"/>
  </r>
  <r>
    <s v="PO-017274"/>
    <x v="417"/>
    <x v="391"/>
    <s v="Cap"/>
    <n v="33964"/>
    <n v="33000"/>
    <s v="Approved"/>
    <s v="14-10-2025"/>
    <x v="72"/>
  </r>
  <r>
    <s v="PO-017275"/>
    <x v="411"/>
    <x v="385"/>
    <s v="Cotton sport towel"/>
    <n v="62148"/>
    <n v="61110"/>
    <s v="Approved"/>
    <s v="14-10-2025"/>
    <x v="69"/>
  </r>
  <r>
    <s v="PO-017276"/>
    <x v="416"/>
    <x v="390"/>
    <s v="Microfiber sport towel"/>
    <n v="101400"/>
    <n v="101400"/>
    <s v="Closed"/>
    <s v="14-10-2025"/>
    <x v="2"/>
  </r>
  <r>
    <s v="PO-017277"/>
    <x v="410"/>
    <x v="384"/>
    <s v="Sports bottle 700ml"/>
    <n v="24534"/>
    <n v="24534"/>
    <s v="Approved"/>
    <s v="14-10-2025"/>
    <x v="28"/>
  </r>
  <r>
    <s v="PO-017278"/>
    <x v="412"/>
    <x v="386"/>
    <s v="Backpack"/>
    <n v="25770"/>
    <n v="0"/>
    <s v="Approved"/>
    <s v="14-10-2025"/>
    <x v="71"/>
  </r>
  <r>
    <s v="PO-017278"/>
    <x v="413"/>
    <x v="387"/>
    <s v="Vanity Bag"/>
    <n v="6540"/>
    <n v="0"/>
    <s v="Approved"/>
    <s v="14-10-2025"/>
    <x v="71"/>
  </r>
  <r>
    <s v="PO-017278"/>
    <x v="414"/>
    <x v="388"/>
    <s v="Duffel"/>
    <n v="68688"/>
    <n v="0"/>
    <s v="Approved"/>
    <s v="14-10-2025"/>
    <x v="71"/>
  </r>
  <r>
    <s v="PO-017278"/>
    <x v="415"/>
    <x v="389"/>
    <s v="Waist bag"/>
    <n v="3276"/>
    <n v="0"/>
    <s v="Approved"/>
    <s v="14-10-2025"/>
    <x v="71"/>
  </r>
  <r>
    <s v="PO-017280"/>
    <x v="431"/>
    <x v="403"/>
    <s v="Round Baker"/>
    <n v="15008"/>
    <n v="0"/>
    <s v="Approved"/>
    <s v="14-10-2025"/>
    <x v="68"/>
  </r>
  <r>
    <s v="PO-017280"/>
    <x v="432"/>
    <x v="404"/>
    <s v="Rectangular Baker M"/>
    <n v="19280"/>
    <n v="0"/>
    <s v="Approved"/>
    <s v="14-10-2025"/>
    <x v="68"/>
  </r>
  <r>
    <s v="PO-017280"/>
    <x v="435"/>
    <x v="407"/>
    <s v="Dessert plate 18cm 2 pcs"/>
    <n v="11696"/>
    <n v="0"/>
    <s v="Approved"/>
    <s v="14-10-2025"/>
    <x v="68"/>
  </r>
  <r>
    <s v="PO-017280"/>
    <x v="437"/>
    <x v="409"/>
    <s v="Dinner plate 26cm 2 pcs"/>
    <n v="7764"/>
    <n v="0"/>
    <s v="Approved"/>
    <s v="14-10-2025"/>
    <x v="68"/>
  </r>
  <r>
    <s v="PO-017282"/>
    <x v="384"/>
    <x v="359"/>
    <s v="Dinner plate 27cm 2 pc set"/>
    <n v="3600"/>
    <n v="3600"/>
    <s v="Closed"/>
    <s v="14-10-2025"/>
    <x v="68"/>
  </r>
  <r>
    <s v="PO-017282"/>
    <x v="385"/>
    <x v="360"/>
    <s v="Side plate 21 cm 2pc set"/>
    <n v="1000"/>
    <n v="1000"/>
    <s v="Closed"/>
    <s v="14-10-2025"/>
    <x v="68"/>
  </r>
  <r>
    <s v="PO-017283"/>
    <x v="393"/>
    <x v="368"/>
    <s v="Deep plate 20cm 2pc set"/>
    <n v="588"/>
    <n v="588"/>
    <s v="Closed"/>
    <s v="14-10-2025"/>
    <x v="20"/>
  </r>
  <r>
    <s v="PO-017284"/>
    <x v="533"/>
    <x v="498"/>
    <s v="Set of Kitchen Utensils"/>
    <n v="3288"/>
    <n v="0"/>
    <s v="Approved"/>
    <s v="14-10-2025"/>
    <x v="80"/>
  </r>
  <r>
    <s v="PO-017285"/>
    <x v="630"/>
    <x v="582"/>
    <s v="Vacuum box glass 350ml"/>
    <n v="1002"/>
    <n v="1002"/>
    <s v="Closed"/>
    <s v="14-10-2025"/>
    <x v="19"/>
  </r>
  <r>
    <s v="PO-016640"/>
    <x v="631"/>
    <x v="214"/>
    <s v="Glass storage Vacuum rnd 600ml"/>
    <n v="19968"/>
    <n v="19968"/>
    <s v="Approved"/>
    <s v="25-07-2025"/>
    <x v="27"/>
  </r>
  <r>
    <s v="PO-016640"/>
    <x v="632"/>
    <x v="213"/>
    <s v="Glass storage Vacuum rec. 2600ml"/>
    <n v="55300"/>
    <n v="38400"/>
    <s v="Approved"/>
    <s v="25-07-2025"/>
    <x v="27"/>
  </r>
  <r>
    <s v="PO-017288"/>
    <x v="633"/>
    <x v="583"/>
    <s v="Knife Block"/>
    <n v="21036"/>
    <n v="21036"/>
    <s v="Closed"/>
    <s v="14-10-2025"/>
    <x v="31"/>
  </r>
  <r>
    <s v="PO-017292"/>
    <x v="154"/>
    <x v="149"/>
    <s v="Palla medica con impugnatura"/>
    <n v="1"/>
    <n v="1"/>
    <s v="Closed"/>
    <s v="15-10-2025"/>
    <x v="41"/>
  </r>
  <r>
    <s v="PO-017292"/>
    <x v="155"/>
    <x v="150"/>
    <s v="Palla medica morbida"/>
    <n v="1"/>
    <n v="1"/>
    <s v="Closed"/>
    <s v="15-10-2025"/>
    <x v="41"/>
  </r>
  <r>
    <s v="PO-017293"/>
    <x v="386"/>
    <x v="361"/>
    <s v="KN0446-ISB"/>
    <n v="618"/>
    <n v="618"/>
    <s v="Closed"/>
    <s v="15-10-2025"/>
    <x v="19"/>
  </r>
  <r>
    <s v="PO-017293"/>
    <x v="387"/>
    <x v="362"/>
    <s v="KN0446-KI"/>
    <n v="618"/>
    <n v="618"/>
    <s v="Closed"/>
    <s v="15-10-2025"/>
    <x v="19"/>
  </r>
  <r>
    <s v="PO-017252"/>
    <x v="487"/>
    <x v="457"/>
    <s v="NOTEBOOK I3"/>
    <n v="3"/>
    <n v="3"/>
    <s v="Closed"/>
    <s v="10-10-2025"/>
    <x v="6"/>
  </r>
  <r>
    <s v="PO-017297"/>
    <x v="264"/>
    <x v="251"/>
    <s v="Disney Pixar lunch bag Remy"/>
    <n v="29946"/>
    <n v="29946"/>
    <s v="Closed"/>
    <s v="15-10-2025"/>
    <x v="21"/>
  </r>
  <r>
    <s v="PO-017297"/>
    <x v="265"/>
    <x v="252"/>
    <s v="Disney Pixar beach bag Anxiety"/>
    <n v="20370"/>
    <n v="20370"/>
    <s v="Closed"/>
    <s v="15-10-2025"/>
    <x v="21"/>
  </r>
  <r>
    <s v="PO-017298"/>
    <x v="267"/>
    <x v="254"/>
    <s v="Disney Pixar beach towel Nemo"/>
    <n v="40388"/>
    <n v="40388"/>
    <s v="Closed"/>
    <s v="15-10-2025"/>
    <x v="2"/>
  </r>
  <r>
    <s v="PO-017298"/>
    <x v="268"/>
    <x v="255"/>
    <s v="Disney Pixar beach towel Dory"/>
    <n v="20000"/>
    <n v="20000"/>
    <s v="Closed"/>
    <s v="15-10-2025"/>
    <x v="2"/>
  </r>
  <r>
    <s v="PO-017299"/>
    <x v="269"/>
    <x v="256"/>
    <s v="Disney Pixar pouch Edna"/>
    <n v="51726"/>
    <n v="51726"/>
    <s v="Closed"/>
    <s v="15-10-2025"/>
    <x v="29"/>
  </r>
  <r>
    <s v="PO-017302"/>
    <x v="369"/>
    <x v="348"/>
    <s v="Sistema audio portatile"/>
    <n v="1"/>
    <n v="1"/>
    <s v="Closed"/>
    <s v="16-10-2025"/>
    <x v="6"/>
  </r>
  <r>
    <s v="PO-017303"/>
    <x v="439"/>
    <x v="411"/>
    <s v="SET SCRIVI E CANCELLA"/>
    <n v="1"/>
    <n v="1"/>
    <s v="Closed"/>
    <s v="16-10-2025"/>
    <x v="5"/>
  </r>
  <r>
    <s v="PO-017303"/>
    <x v="451"/>
    <x v="422"/>
    <s v="BAULETTO RUMBA"/>
    <n v="2"/>
    <n v="2"/>
    <s v="Closed"/>
    <s v="16-10-2025"/>
    <x v="5"/>
  </r>
  <r>
    <s v="PO-017304"/>
    <x v="465"/>
    <x v="435"/>
    <s v="IRIS PEN READER 8"/>
    <n v="3"/>
    <n v="3"/>
    <s v="Closed"/>
    <s v="16-10-2025"/>
    <x v="65"/>
  </r>
  <r>
    <s v="PO-017305"/>
    <x v="474"/>
    <x v="444"/>
    <s v="GEOMETRIA ECO"/>
    <n v="2"/>
    <n v="0"/>
    <s v="Approved"/>
    <s v="16-10-2025"/>
    <x v="64"/>
  </r>
  <r>
    <s v="PO-017305"/>
    <x v="480"/>
    <x v="450"/>
    <s v="SET BASE MULTISPORT"/>
    <n v="1"/>
    <n v="0"/>
    <s v="Approved"/>
    <s v="16-10-2025"/>
    <x v="64"/>
  </r>
  <r>
    <s v="PO-017305"/>
    <x v="478"/>
    <x v="448"/>
    <s v="SET MUSICALE"/>
    <n v="2"/>
    <n v="0"/>
    <s v="Approved"/>
    <s v="16-10-2025"/>
    <x v="64"/>
  </r>
  <r>
    <s v="PO-017305"/>
    <x v="471"/>
    <x v="441"/>
    <s v="PALLINO CODING - 2 PEZZI"/>
    <n v="2"/>
    <n v="0"/>
    <s v="Approved"/>
    <s v="16-10-2025"/>
    <x v="64"/>
  </r>
  <r>
    <s v="PO-017307"/>
    <x v="481"/>
    <x v="451"/>
    <s v="MONITOR 65 TOUCH"/>
    <n v="1"/>
    <n v="1"/>
    <s v="Closed"/>
    <s v="16-10-2025"/>
    <x v="6"/>
  </r>
  <r>
    <s v="PO-017307"/>
    <x v="483"/>
    <x v="453"/>
    <s v="CARRELLO VIEWSONIC PORTA MONITOR"/>
    <n v="1"/>
    <n v="1"/>
    <s v="Closed"/>
    <s v="16-10-2025"/>
    <x v="6"/>
  </r>
  <r>
    <s v="PO-017307"/>
    <x v="485"/>
    <x v="455"/>
    <s v="CHROMEBOOK 14 FULL HD CON LICENZA"/>
    <n v="1"/>
    <n v="1"/>
    <s v="Closed"/>
    <s v="16-10-2025"/>
    <x v="6"/>
  </r>
  <r>
    <s v="PO-017307"/>
    <x v="487"/>
    <x v="457"/>
    <s v="NOTEBOOK I3"/>
    <n v="4"/>
    <n v="4"/>
    <s v="Closed"/>
    <s v="16-10-2025"/>
    <x v="6"/>
  </r>
  <r>
    <s v="PO-017307"/>
    <x v="488"/>
    <x v="458"/>
    <s v="NOTEBOOK ACER 15.6 FULL HD"/>
    <n v="1"/>
    <n v="1"/>
    <s v="Closed"/>
    <s v="16-10-2025"/>
    <x v="6"/>
  </r>
  <r>
    <s v="PO-017307"/>
    <x v="492"/>
    <x v="329"/>
    <s v="MASTERIZZATORE E LETTORE DVD PORTATILE HP"/>
    <n v="2"/>
    <n v="2"/>
    <s v="Closed"/>
    <s v="16-10-2025"/>
    <x v="6"/>
  </r>
  <r>
    <s v="PO-017307"/>
    <x v="495"/>
    <x v="464"/>
    <s v="ADATTATORE USB TYPE-C HDMI"/>
    <n v="1"/>
    <n v="1"/>
    <s v="Closed"/>
    <s v="16-10-2025"/>
    <x v="6"/>
  </r>
  <r>
    <s v="PO-017307"/>
    <x v="503"/>
    <x v="470"/>
    <s v="CASSA TRASPORTABILE AMPLIFICATA A BATTERIA"/>
    <n v="2"/>
    <n v="2"/>
    <s v="Closed"/>
    <s v="16-10-2025"/>
    <x v="6"/>
  </r>
  <r>
    <s v="PO-017307"/>
    <x v="510"/>
    <x v="477"/>
    <s v="12 LICENZE MINECRAFT"/>
    <n v="1"/>
    <n v="1"/>
    <s v="Closed"/>
    <s v="16-10-2025"/>
    <x v="6"/>
  </r>
  <r>
    <s v="PO-017307"/>
    <x v="519"/>
    <x v="486"/>
    <s v="LEGO EDUCATION BRICQ MOTION PRIME"/>
    <n v="2"/>
    <n v="2"/>
    <s v="Closed"/>
    <s v="16-10-2025"/>
    <x v="6"/>
  </r>
  <r>
    <s v="PO-017307"/>
    <x v="520"/>
    <x v="487"/>
    <s v="LEGO EDUCATION SPIKE ESSENTIAL"/>
    <n v="2"/>
    <n v="2"/>
    <s v="Closed"/>
    <s v="16-10-2025"/>
    <x v="6"/>
  </r>
  <r>
    <s v="PO-017307"/>
    <x v="521"/>
    <x v="488"/>
    <s v="BANCO DA LAVORO"/>
    <n v="1"/>
    <n v="1"/>
    <s v="Closed"/>
    <s v="16-10-2025"/>
    <x v="6"/>
  </r>
  <r>
    <s v="PO-017307"/>
    <x v="522"/>
    <x v="489"/>
    <s v="SET AMBIENTI MINECRAFT MONDI DA SCOPRIRE"/>
    <n v="1"/>
    <n v="1"/>
    <s v="Closed"/>
    <s v="16-10-2025"/>
    <x v="6"/>
  </r>
  <r>
    <s v="PO-017307"/>
    <x v="524"/>
    <x v="60"/>
    <s v="CARRELLO PORTA PALLONI"/>
    <n v="1"/>
    <n v="1"/>
    <s v="Closed"/>
    <s v="16-10-2025"/>
    <x v="6"/>
  </r>
  <r>
    <s v="PO-017307"/>
    <x v="525"/>
    <x v="491"/>
    <s v="MEGAFONO USB KARMA"/>
    <n v="2"/>
    <n v="2"/>
    <s v="Closed"/>
    <s v="16-10-2025"/>
    <x v="6"/>
  </r>
  <r>
    <s v="PO-017307"/>
    <x v="526"/>
    <x v="21"/>
    <s v="VALIGETTA PRONTO SOCCORSO"/>
    <n v="1"/>
    <n v="1"/>
    <s v="Closed"/>
    <s v="16-10-2025"/>
    <x v="6"/>
  </r>
  <r>
    <s v="PO-017308"/>
    <x v="528"/>
    <x v="493"/>
    <s v="BATTERIA ARROTOLABILE IN SILICONE"/>
    <n v="1"/>
    <n v="1"/>
    <s v="Closed"/>
    <s v="16-10-2025"/>
    <x v="76"/>
  </r>
  <r>
    <s v="PO-017309"/>
    <x v="530"/>
    <x v="495"/>
    <s v="SET 24 CARTINE GEOGRAFICHE"/>
    <n v="2"/>
    <n v="0"/>
    <s v="Approved"/>
    <s v="16-10-2025"/>
    <x v="78"/>
  </r>
  <r>
    <s v="PO-017310"/>
    <x v="548"/>
    <x v="511"/>
    <s v="MICROFONO PROFESSIONALE A CONDENSATORE"/>
    <n v="4"/>
    <n v="4"/>
    <s v="Approved"/>
    <s v="16-10-2025"/>
    <x v="67"/>
  </r>
  <r>
    <s v="PO-017310"/>
    <x v="554"/>
    <x v="517"/>
    <s v="ARMADIO 9 VANI - PANNELLO ECOLOGICO"/>
    <n v="1"/>
    <n v="0"/>
    <s v="Approved"/>
    <s v="16-10-2025"/>
    <x v="67"/>
  </r>
  <r>
    <s v="PO-017310"/>
    <x v="560"/>
    <x v="522"/>
    <s v="GIOCHI ABILITA"/>
    <n v="2"/>
    <n v="2"/>
    <s v="Approved"/>
    <s v="16-10-2025"/>
    <x v="67"/>
  </r>
  <r>
    <s v="PO-017318"/>
    <x v="619"/>
    <x v="578"/>
    <s v="Cutting Board"/>
    <n v="7890"/>
    <n v="7890"/>
    <s v="Approved"/>
    <s v="16-10-2025"/>
    <x v="90"/>
  </r>
  <r>
    <s v="PO-017319"/>
    <x v="620"/>
    <x v="119"/>
    <s v="Paring Knife"/>
    <n v="31554"/>
    <n v="31554"/>
    <s v="Approved"/>
    <s v="16-10-2025"/>
    <x v="16"/>
  </r>
  <r>
    <s v="PO-017319"/>
    <x v="621"/>
    <x v="120"/>
    <s v="Utility knife"/>
    <n v="34182"/>
    <n v="34182"/>
    <s v="Approved"/>
    <s v="16-10-2025"/>
    <x v="16"/>
  </r>
  <r>
    <s v="PO-017319"/>
    <x v="622"/>
    <x v="121"/>
    <s v="Bread knife"/>
    <n v="15780"/>
    <n v="15780"/>
    <s v="Approved"/>
    <s v="16-10-2025"/>
    <x v="16"/>
  </r>
  <r>
    <s v="PO-017319"/>
    <x v="623"/>
    <x v="122"/>
    <s v="Slicing knife"/>
    <n v="31554"/>
    <n v="31554"/>
    <s v="Approved"/>
    <s v="16-10-2025"/>
    <x v="16"/>
  </r>
  <r>
    <s v="PO-017319"/>
    <x v="624"/>
    <x v="98"/>
    <s v="Santoku knife"/>
    <n v="34182"/>
    <n v="34182"/>
    <s v="Approved"/>
    <s v="16-10-2025"/>
    <x v="16"/>
  </r>
  <r>
    <s v="PO-017319"/>
    <x v="625"/>
    <x v="99"/>
    <s v="Chef's knife"/>
    <n v="65736"/>
    <n v="65736"/>
    <s v="Approved"/>
    <s v="16-10-2025"/>
    <x v="16"/>
  </r>
  <r>
    <s v="PO-017319"/>
    <x v="626"/>
    <x v="73"/>
    <s v="Sharpener"/>
    <n v="13152"/>
    <n v="13152"/>
    <s v="Approved"/>
    <s v="16-10-2025"/>
    <x v="16"/>
  </r>
  <r>
    <s v="PO-017319"/>
    <x v="627"/>
    <x v="579"/>
    <s v="Kitchen Scissors"/>
    <n v="18408"/>
    <n v="18408"/>
    <s v="Approved"/>
    <s v="16-10-2025"/>
    <x v="16"/>
  </r>
  <r>
    <s v="PO-017320"/>
    <x v="633"/>
    <x v="583"/>
    <s v="Knife Block"/>
    <n v="10520"/>
    <n v="10520"/>
    <s v="Approved"/>
    <s v="16-10-2025"/>
    <x v="31"/>
  </r>
  <r>
    <s v="PO-017331"/>
    <x v="634"/>
    <x v="584"/>
    <s v="Pikachu cushion"/>
    <n v="15576"/>
    <n v="15576"/>
    <s v="Closed"/>
    <s v="16-10-2025"/>
    <x v="2"/>
  </r>
  <r>
    <s v="PO-017331"/>
    <x v="635"/>
    <x v="585"/>
    <s v="Evoli (Eevee) cushion"/>
    <n v="4352"/>
    <n v="4352"/>
    <s v="Closed"/>
    <s v="16-10-2025"/>
    <x v="2"/>
  </r>
  <r>
    <s v="PO-017331"/>
    <x v="636"/>
    <x v="586"/>
    <s v="Bulbizarre (Bulbasaur) cushion"/>
    <n v="5808"/>
    <n v="5808"/>
    <s v="Closed"/>
    <s v="16-10-2025"/>
    <x v="2"/>
  </r>
  <r>
    <s v="PO-017331"/>
    <x v="637"/>
    <x v="587"/>
    <s v="Salamèche (Charmander) cushion"/>
    <n v="7712"/>
    <n v="7712"/>
    <s v="Closed"/>
    <s v="16-10-2025"/>
    <x v="2"/>
  </r>
  <r>
    <s v="PO-017357"/>
    <x v="371"/>
    <x v="73"/>
    <s v="Sharpener"/>
    <n v="2514"/>
    <n v="2514"/>
    <s v="Closed"/>
    <s v="17-10-2025"/>
    <x v="16"/>
  </r>
  <r>
    <s v="PO-017360"/>
    <x v="638"/>
    <x v="588"/>
    <s v="Pokemon Umbrella"/>
    <n v="11610"/>
    <n v="0"/>
    <s v="Approved"/>
    <s v="17-10-2025"/>
    <x v="91"/>
  </r>
  <r>
    <s v="PO-017364"/>
    <x v="631"/>
    <x v="214"/>
    <s v="Glass storage Vacuum rnd 600ml"/>
    <n v="9600"/>
    <n v="8448"/>
    <s v="Approved"/>
    <s v="17-10-2025"/>
    <x v="27"/>
  </r>
  <r>
    <s v="PO-017364"/>
    <x v="535"/>
    <x v="211"/>
    <s v="Glass storage Vacuum rec. 800ml"/>
    <n v="16632"/>
    <n v="9504"/>
    <s v="Approved"/>
    <s v="17-10-2025"/>
    <x v="27"/>
  </r>
  <r>
    <s v="PO-017364"/>
    <x v="536"/>
    <x v="212"/>
    <s v="Glass storage Vacuum rec. 1500ml"/>
    <n v="14625"/>
    <n v="4500"/>
    <s v="Approved"/>
    <s v="17-10-2025"/>
    <x v="27"/>
  </r>
  <r>
    <s v="PO-017371"/>
    <x v="639"/>
    <x v="589"/>
    <s v="Disney Sport Marbles - 33mm"/>
    <n v="463040"/>
    <n v="0"/>
    <s v="Approved"/>
    <s v="20-10-2025"/>
    <x v="92"/>
  </r>
  <r>
    <s v="PO-017379"/>
    <x v="640"/>
    <x v="590"/>
    <s v="Rectangular tray 3,6l"/>
    <n v="1080"/>
    <n v="1080"/>
    <s v="Closed"/>
    <s v="20-10-2025"/>
    <x v="60"/>
  </r>
  <r>
    <s v="PO-017382"/>
    <x v="3"/>
    <x v="3"/>
    <s v="Minecraft Plush Steve 16cm"/>
    <n v="19840"/>
    <n v="0"/>
    <s v="Approved"/>
    <s v="20-10-2025"/>
    <x v="2"/>
  </r>
  <r>
    <s v="PO-017382"/>
    <x v="4"/>
    <x v="4"/>
    <s v="Minecraft Plush Alex 16cm"/>
    <n v="10240"/>
    <n v="0"/>
    <s v="Approved"/>
    <s v="20-10-2025"/>
    <x v="2"/>
  </r>
  <r>
    <s v="PO-017382"/>
    <x v="5"/>
    <x v="5"/>
    <s v="Minecraft Plush Creeper 16cm"/>
    <n v="33920"/>
    <n v="0"/>
    <s v="Approved"/>
    <s v="20-10-2025"/>
    <x v="2"/>
  </r>
  <r>
    <s v="PO-017382"/>
    <x v="6"/>
    <x v="6"/>
    <s v="Minecraft Plush Pig 16cm"/>
    <n v="30080"/>
    <n v="0"/>
    <s v="Approved"/>
    <s v="20-10-2025"/>
    <x v="2"/>
  </r>
  <r>
    <s v="PO-017384"/>
    <x v="641"/>
    <x v="591"/>
    <s v="Minecraft patch in flowpack-Auchan PL"/>
    <n v="15000000"/>
    <n v="0"/>
    <s v="Approved"/>
    <s v="20-10-2025"/>
    <x v="92"/>
  </r>
  <r>
    <s v="PO-017389"/>
    <x v="60"/>
    <x v="60"/>
    <s v="Carrello porta palloni"/>
    <n v="1"/>
    <n v="0"/>
    <s v="Approved"/>
    <s v="21-10-2025"/>
    <x v="13"/>
  </r>
  <r>
    <s v="PO-017389"/>
    <x v="50"/>
    <x v="50"/>
    <s v="Materasso in gomma espansa"/>
    <n v="1"/>
    <n v="0"/>
    <s v="Approved"/>
    <s v="21-10-2025"/>
    <x v="13"/>
  </r>
  <r>
    <s v="PO-017389"/>
    <x v="55"/>
    <x v="55"/>
    <s v="Set di 48 delimitatori"/>
    <n v="2"/>
    <n v="0"/>
    <s v="Approved"/>
    <s v="21-10-2025"/>
    <x v="13"/>
  </r>
  <r>
    <s v="PO-017389"/>
    <x v="54"/>
    <x v="54"/>
    <s v="Cono"/>
    <n v="4"/>
    <n v="0"/>
    <s v="Approved"/>
    <s v="21-10-2025"/>
    <x v="13"/>
  </r>
  <r>
    <s v="PO-017389"/>
    <x v="642"/>
    <x v="592"/>
    <s v="SET 10 PEZZI CERCHI IN PVC A SEZIONE ROTONDA"/>
    <n v="1"/>
    <n v="0"/>
    <s v="Approved"/>
    <s v="21-10-2025"/>
    <x v="13"/>
  </r>
  <r>
    <s v="PO-017390"/>
    <x v="423"/>
    <x v="396"/>
    <s v="Springform 24x7cm"/>
    <n v="6756"/>
    <n v="6756"/>
    <s v="Closed"/>
    <s v="21-10-2025"/>
    <x v="75"/>
  </r>
  <r>
    <s v="PO-017390"/>
    <x v="424"/>
    <x v="397"/>
    <s v="Cake Form 24x13x6cm"/>
    <n v="4380"/>
    <n v="4380"/>
    <s v="Closed"/>
    <s v="21-10-2025"/>
    <x v="75"/>
  </r>
  <r>
    <s v="PO-017391"/>
    <x v="425"/>
    <x v="398"/>
    <s v="Cast iron casserole 24cm"/>
    <n v="2900"/>
    <n v="2900"/>
    <s v="Closed"/>
    <s v="21-10-2025"/>
    <x v="62"/>
  </r>
  <r>
    <s v="PO-016697"/>
    <x v="23"/>
    <x v="23"/>
    <s v="Pinne da allenamento con pala corta tg 38"/>
    <n v="1"/>
    <n v="0"/>
    <s v="Closed"/>
    <s v="01-08-2025"/>
    <x v="7"/>
  </r>
  <r>
    <s v="PO-017395"/>
    <x v="257"/>
    <x v="244"/>
    <s v="Lid of glass storage vacuum rnd 600ml"/>
    <n v="3060"/>
    <n v="3060"/>
    <s v="Closed"/>
    <s v="21-10-2025"/>
    <x v="14"/>
  </r>
  <r>
    <s v="PO-017395"/>
    <x v="228"/>
    <x v="215"/>
    <s v="Lid of glass storage vacuum rec. 800ml"/>
    <n v="47970"/>
    <n v="47970"/>
    <s v="Closed"/>
    <s v="21-10-2025"/>
    <x v="14"/>
  </r>
  <r>
    <s v="PO-017395"/>
    <x v="229"/>
    <x v="216"/>
    <s v="Lid of glass storage vacuum rec. 1500ml"/>
    <n v="33240"/>
    <n v="33240"/>
    <s v="Closed"/>
    <s v="21-10-2025"/>
    <x v="14"/>
  </r>
  <r>
    <s v="PO-017396"/>
    <x v="548"/>
    <x v="511"/>
    <s v="MICROFONO PROFESSIONALE A CONDENSATORE"/>
    <n v="2"/>
    <n v="2"/>
    <s v="Closed"/>
    <s v="22-10-2025"/>
    <x v="67"/>
  </r>
  <r>
    <s v="PO-017408"/>
    <x v="277"/>
    <x v="264"/>
    <s v="Serving dish 30cm"/>
    <n v="360"/>
    <n v="360"/>
    <s v="Closed"/>
    <s v="22-10-2025"/>
    <x v="1"/>
  </r>
  <r>
    <s v="PO-017416"/>
    <x v="29"/>
    <x v="29"/>
    <s v="Set 2 borse porta palloni"/>
    <n v="5"/>
    <n v="5"/>
    <s v="Closed"/>
    <s v="22-10-2025"/>
    <x v="9"/>
  </r>
  <r>
    <s v="PO-017416"/>
    <x v="35"/>
    <x v="35"/>
    <s v="Set 2 zaini Europa fondo imbottito"/>
    <n v="1"/>
    <n v="1"/>
    <s v="Closed"/>
    <s v="22-10-2025"/>
    <x v="9"/>
  </r>
  <r>
    <s v="PO-017416"/>
    <x v="31"/>
    <x v="31"/>
    <s v="Calze basket 10 paia"/>
    <n v="1"/>
    <n v="1"/>
    <s v="Closed"/>
    <s v="22-10-2025"/>
    <x v="9"/>
  </r>
  <r>
    <s v="PO-017416"/>
    <x v="33"/>
    <x v="33"/>
    <s v="Set 10 casacche Double"/>
    <n v="1"/>
    <n v="1"/>
    <s v="Closed"/>
    <s v="22-10-2025"/>
    <x v="9"/>
  </r>
  <r>
    <s v="PO-017416"/>
    <x v="27"/>
    <x v="27"/>
    <s v="Set 5 palloni Academy School, mis.4 da allenamento"/>
    <n v="4"/>
    <n v="4"/>
    <s v="Closed"/>
    <s v="22-10-2025"/>
    <x v="9"/>
  </r>
  <r>
    <s v="PO-017432"/>
    <x v="643"/>
    <x v="593"/>
    <s v="Rectangular dish 30cm"/>
    <n v="6800"/>
    <n v="6800"/>
    <s v="Closed"/>
    <s v="22-10-2025"/>
    <x v="20"/>
  </r>
  <r>
    <s v="PO-017435"/>
    <x v="213"/>
    <x v="200"/>
    <s v="Pie dish 30cm"/>
    <n v="2000"/>
    <n v="2000"/>
    <s v="Closed"/>
    <s v="23-10-2025"/>
    <x v="68"/>
  </r>
  <r>
    <s v="PO-017436"/>
    <x v="643"/>
    <x v="593"/>
    <s v="Rectangular dish 30cm"/>
    <n v="3200"/>
    <n v="3200"/>
    <s v="Closed"/>
    <s v="23-10-2025"/>
    <x v="20"/>
  </r>
  <r>
    <s v="PO-017437"/>
    <x v="644"/>
    <x v="594"/>
    <s v="Disney Key Chain Mixed OC Canada"/>
    <n v="251136"/>
    <n v="0"/>
    <s v="Approved"/>
    <s v="23-10-2025"/>
    <x v="93"/>
  </r>
  <r>
    <s v="PO-017438"/>
    <x v="644"/>
    <x v="594"/>
    <s v="Disney Key Chain Mixed OC Canada"/>
    <n v="251136"/>
    <n v="0"/>
    <s v="Approved"/>
    <s v="23-10-2025"/>
    <x v="93"/>
  </r>
  <r>
    <s v="PO-017441"/>
    <x v="645"/>
    <x v="119"/>
    <s v="Paring knife"/>
    <n v="5082"/>
    <n v="5082"/>
    <s v="Closed"/>
    <s v="23-10-2025"/>
    <x v="16"/>
  </r>
  <r>
    <s v="PO-017441"/>
    <x v="646"/>
    <x v="283"/>
    <s v="Chef knife"/>
    <n v="5082"/>
    <n v="5082"/>
    <s v="Closed"/>
    <s v="23-10-2025"/>
    <x v="16"/>
  </r>
  <r>
    <s v="PO-017441"/>
    <x v="647"/>
    <x v="595"/>
    <s v="2pcs Steak Knife"/>
    <n v="5082"/>
    <n v="5082"/>
    <s v="Closed"/>
    <s v="23-10-2025"/>
    <x v="16"/>
  </r>
  <r>
    <s v="PO-017443"/>
    <x v="645"/>
    <x v="119"/>
    <s v="Paring knife"/>
    <n v="8316"/>
    <n v="8316"/>
    <s v="Closed"/>
    <s v="23-10-2025"/>
    <x v="16"/>
  </r>
  <r>
    <s v="PO-017443"/>
    <x v="646"/>
    <x v="283"/>
    <s v="Chef knife"/>
    <n v="6978"/>
    <n v="6978"/>
    <s v="Closed"/>
    <s v="23-10-2025"/>
    <x v="16"/>
  </r>
  <r>
    <s v="PO-017443"/>
    <x v="647"/>
    <x v="595"/>
    <s v="2pcs Steak Knife"/>
    <n v="9660"/>
    <n v="9660"/>
    <s v="Closed"/>
    <s v="23-10-2025"/>
    <x v="16"/>
  </r>
  <r>
    <s v="PO-017439"/>
    <x v="648"/>
    <x v="596"/>
    <s v="SET 6 PEZZI FOOTBALL TRAINER"/>
    <n v="10"/>
    <n v="10"/>
    <s v="Approved"/>
    <s v="23-10-2025"/>
    <x v="5"/>
  </r>
  <r>
    <s v="PO-017439"/>
    <x v="649"/>
    <x v="597"/>
    <s v="RETE DA ALLENAMENTO CALCIO"/>
    <n v="35"/>
    <n v="35"/>
    <s v="Approved"/>
    <s v="23-10-2025"/>
    <x v="5"/>
  </r>
  <r>
    <s v="PO-017439"/>
    <x v="650"/>
    <x v="598"/>
    <s v="SET 6 PEZZI AGILITY GRID ESAGONALE"/>
    <n v="378"/>
    <n v="378"/>
    <s v="Approved"/>
    <s v="23-10-2025"/>
    <x v="5"/>
  </r>
  <r>
    <s v="PO-017439"/>
    <x v="651"/>
    <x v="599"/>
    <s v="DIVISA PORTIERE DA CALCIO JUNIOR 3PZ"/>
    <n v="15"/>
    <n v="15"/>
    <s v="Approved"/>
    <s v="23-10-2025"/>
    <x v="5"/>
  </r>
  <r>
    <s v="PO-017439"/>
    <x v="652"/>
    <x v="600"/>
    <s v="SET 20 PEZZI PALLONI FOOTBALL JUNIOR"/>
    <n v="72"/>
    <n v="72"/>
    <s v="Approved"/>
    <s v="23-10-2025"/>
    <x v="5"/>
  </r>
  <r>
    <s v="PO-017439"/>
    <x v="653"/>
    <x v="601"/>
    <s v="SET 10 PEZZI PALLONI CALCIO ROBORO CON BORSA"/>
    <n v="34"/>
    <n v="34"/>
    <s v="Approved"/>
    <s v="23-10-2025"/>
    <x v="5"/>
  </r>
  <r>
    <s v="PO-017439"/>
    <x v="654"/>
    <x v="602"/>
    <s v="SET 20 PEZZI PALLONI MINI VOLLEY"/>
    <n v="135"/>
    <n v="135"/>
    <s v="Approved"/>
    <s v="23-10-2025"/>
    <x v="5"/>
  </r>
  <r>
    <s v="PO-017439"/>
    <x v="655"/>
    <x v="603"/>
    <s v="TABELLONE DA BASKET SEATTLE"/>
    <n v="10"/>
    <n v="10"/>
    <s v="Approved"/>
    <s v="23-10-2025"/>
    <x v="5"/>
  </r>
  <r>
    <s v="PO-017439"/>
    <x v="656"/>
    <x v="604"/>
    <s v="SET 12 PEZZI OCCHIALINI DA NUOTO JUNIOR"/>
    <n v="5"/>
    <n v="5"/>
    <s v="Approved"/>
    <s v="23-10-2025"/>
    <x v="5"/>
  </r>
  <r>
    <s v="PO-017439"/>
    <x v="657"/>
    <x v="605"/>
    <s v="SET 12 PEZZI OCCHIALINI DA NUOTO ADULTO"/>
    <n v="11"/>
    <n v="11"/>
    <s v="Approved"/>
    <s v="23-10-2025"/>
    <x v="5"/>
  </r>
  <r>
    <s v="PO-017439"/>
    <x v="658"/>
    <x v="606"/>
    <s v="SET 24 PEZZI NOODLES"/>
    <n v="91"/>
    <n v="91"/>
    <s v="Approved"/>
    <s v="23-10-2025"/>
    <x v="5"/>
  </r>
  <r>
    <s v="PO-017439"/>
    <x v="659"/>
    <x v="607"/>
    <s v="SET 2 PEZZI KETTLEBELL COMFORT 4 KG"/>
    <n v="566"/>
    <n v="149"/>
    <s v="Approved"/>
    <s v="23-10-2025"/>
    <x v="5"/>
  </r>
  <r>
    <s v="PO-017439"/>
    <x v="660"/>
    <x v="608"/>
    <s v="SET PESI COMPONIBILE"/>
    <n v="319"/>
    <n v="319"/>
    <s v="Approved"/>
    <s v="23-10-2025"/>
    <x v="5"/>
  </r>
  <r>
    <s v="PO-017439"/>
    <x v="661"/>
    <x v="609"/>
    <s v="AEROBIC STEPPER"/>
    <n v="950"/>
    <n v="500"/>
    <s v="Approved"/>
    <s v="23-10-2025"/>
    <x v="5"/>
  </r>
  <r>
    <s v="PO-017439"/>
    <x v="662"/>
    <x v="610"/>
    <s v="SET 5 PEZZI FASCE ELASTICHE"/>
    <n v="3056"/>
    <n v="250"/>
    <s v="Approved"/>
    <s v="23-10-2025"/>
    <x v="5"/>
  </r>
  <r>
    <s v="PO-017439"/>
    <x v="663"/>
    <x v="611"/>
    <s v="SPALLIERA SVEDESE"/>
    <n v="33"/>
    <n v="33"/>
    <s v="Approved"/>
    <s v="23-10-2025"/>
    <x v="5"/>
  </r>
  <r>
    <s v="PO-017439"/>
    <x v="664"/>
    <x v="221"/>
    <s v="BILANCIERE OLIMPIONICO"/>
    <n v="114"/>
    <n v="114"/>
    <s v="Approved"/>
    <s v="23-10-2025"/>
    <x v="5"/>
  </r>
  <r>
    <s v="PO-017439"/>
    <x v="665"/>
    <x v="612"/>
    <s v="BILANCIA SMART CONNECT"/>
    <n v="145"/>
    <n v="145"/>
    <s v="Approved"/>
    <s v="23-10-2025"/>
    <x v="5"/>
  </r>
  <r>
    <s v="PO-017439"/>
    <x v="666"/>
    <x v="613"/>
    <s v="TABELLONE SEGNAPUNTI MULTISPORT"/>
    <n v="276"/>
    <n v="276"/>
    <s v="Approved"/>
    <s v="23-10-2025"/>
    <x v="5"/>
  </r>
  <r>
    <s v="PO-017439"/>
    <x v="667"/>
    <x v="614"/>
    <s v="SET 6 PEZZI MANUBRI PER ESERCIZI"/>
    <n v="24"/>
    <n v="24"/>
    <s v="Approved"/>
    <s v="23-10-2025"/>
    <x v="5"/>
  </r>
  <r>
    <s v="PO-017439"/>
    <x v="668"/>
    <x v="615"/>
    <s v="SET 12 PEZZI CORDE PER SALTARE"/>
    <n v="189"/>
    <n v="189"/>
    <s v="Approved"/>
    <s v="23-10-2025"/>
    <x v="5"/>
  </r>
  <r>
    <s v="PO-017439"/>
    <x v="669"/>
    <x v="616"/>
    <s v="SET 4 PEZZI RUOTE PER ADDOMINALI"/>
    <n v="121"/>
    <n v="121"/>
    <s v="Approved"/>
    <s v="23-10-2025"/>
    <x v="5"/>
  </r>
  <r>
    <s v="PO-017439"/>
    <x v="670"/>
    <x v="617"/>
    <s v="PANCA DA PESISTICA"/>
    <n v="51"/>
    <n v="51"/>
    <s v="Approved"/>
    <s v="23-10-2025"/>
    <x v="5"/>
  </r>
  <r>
    <s v="PO-017439"/>
    <x v="671"/>
    <x v="618"/>
    <s v="SPINBIKE"/>
    <n v="12"/>
    <n v="12"/>
    <s v="Approved"/>
    <s v="23-10-2025"/>
    <x v="5"/>
  </r>
  <r>
    <s v="PO-017439"/>
    <x v="672"/>
    <x v="619"/>
    <s v="SET 10 PEZZI IMPACCO CALDO E FREDDO RIUTILIZZABILI"/>
    <n v="53"/>
    <n v="53"/>
    <s v="Approved"/>
    <s v="23-10-2025"/>
    <x v="5"/>
  </r>
  <r>
    <s v="PO-017439"/>
    <x v="673"/>
    <x v="620"/>
    <s v="SET 12 PEZZI PETTORINE DA ALLENAMENTO JUNIOR"/>
    <n v="62"/>
    <n v="62"/>
    <s v="Approved"/>
    <s v="23-10-2025"/>
    <x v="5"/>
  </r>
  <r>
    <s v="PO-017439"/>
    <x v="674"/>
    <x v="621"/>
    <s v="SET 2 PEZZI GIUBBOTTO BENCH"/>
    <n v="21"/>
    <n v="21"/>
    <s v="Approved"/>
    <s v="23-10-2025"/>
    <x v="5"/>
  </r>
  <r>
    <s v="PO-017439"/>
    <x v="675"/>
    <x v="622"/>
    <s v="COPPIA DI PARURE INVERNO"/>
    <n v="26"/>
    <n v="26"/>
    <s v="Approved"/>
    <s v="23-10-2025"/>
    <x v="5"/>
  </r>
  <r>
    <s v="PO-017439"/>
    <x v="676"/>
    <x v="623"/>
    <s v="PORTANTINA PORTA FERITI"/>
    <n v="3"/>
    <n v="0"/>
    <s v="Approved"/>
    <s v="23-10-2025"/>
    <x v="5"/>
  </r>
  <r>
    <s v="PO-017439"/>
    <x v="677"/>
    <x v="624"/>
    <s v="PANCA CON SCHIENALE APPENDIABITI E PORTABORSE"/>
    <n v="7"/>
    <n v="0"/>
    <s v="Approved"/>
    <s v="23-10-2025"/>
    <x v="5"/>
  </r>
  <r>
    <s v="PO-017439"/>
    <x v="678"/>
    <x v="625"/>
    <s v="TAVOLA APPENDIABITI CON TETTUCCIO"/>
    <n v="28"/>
    <n v="0"/>
    <s v="Approved"/>
    <s v="23-10-2025"/>
    <x v="5"/>
  </r>
  <r>
    <s v="PO-017439"/>
    <x v="679"/>
    <x v="626"/>
    <s v="PANCA DA SPOGLIATOIO 1 METRO"/>
    <n v="9"/>
    <n v="0"/>
    <s v="Approved"/>
    <s v="23-10-2025"/>
    <x v="5"/>
  </r>
  <r>
    <s v="PO-017439"/>
    <x v="680"/>
    <x v="627"/>
    <s v="SPOGLIATOIO IN METALLO A 3 POSTI"/>
    <n v="12"/>
    <n v="12"/>
    <s v="Approved"/>
    <s v="23-10-2025"/>
    <x v="5"/>
  </r>
  <r>
    <s v="PO-017439"/>
    <x v="681"/>
    <x v="628"/>
    <s v="CALCIOBALILLA MASTER PRO"/>
    <n v="98"/>
    <n v="98"/>
    <s v="Approved"/>
    <s v="23-10-2025"/>
    <x v="5"/>
  </r>
  <r>
    <s v="PO-017439"/>
    <x v="682"/>
    <x v="629"/>
    <s v="COMPRESSORE ARIA DIGITALE RIC"/>
    <n v="402"/>
    <n v="404"/>
    <s v="Approved"/>
    <s v="23-10-2025"/>
    <x v="5"/>
  </r>
  <r>
    <s v="PO-017439"/>
    <x v="683"/>
    <x v="630"/>
    <s v="TATANKA TORRE CERAMICA DIGITALE"/>
    <n v="256"/>
    <n v="256"/>
    <s v="Approved"/>
    <s v="23-10-2025"/>
    <x v="5"/>
  </r>
  <r>
    <s v="PO-017439"/>
    <x v="684"/>
    <x v="631"/>
    <s v="SCALETTA A 3 GRADINI ANTISCIVOLO"/>
    <n v="374"/>
    <n v="200"/>
    <s v="Approved"/>
    <s v="23-10-2025"/>
    <x v="5"/>
  </r>
  <r>
    <s v="PO-017439"/>
    <x v="685"/>
    <x v="632"/>
    <s v="SET 2 PEZZI CASSETTA PORTAVALORI"/>
    <n v="89"/>
    <n v="89"/>
    <s v="Approved"/>
    <s v="23-10-2025"/>
    <x v="5"/>
  </r>
  <r>
    <s v="PO-017439"/>
    <x v="686"/>
    <x v="633"/>
    <s v="BACHECA IN SUGHERO PROFESSIONALE"/>
    <n v="140"/>
    <n v="140"/>
    <s v="Approved"/>
    <s v="23-10-2025"/>
    <x v="5"/>
  </r>
  <r>
    <s v="PO-017439"/>
    <x v="687"/>
    <x v="634"/>
    <s v="LAVAGNA MAGNETICA PROFESSIONALE"/>
    <n v="129"/>
    <n v="129"/>
    <s v="Approved"/>
    <s v="23-10-2025"/>
    <x v="5"/>
  </r>
  <r>
    <s v="PO-017439"/>
    <x v="688"/>
    <x v="635"/>
    <s v="SET ECOLINE CANCELLERIA"/>
    <n v="13"/>
    <n v="13"/>
    <s v="Approved"/>
    <s v="23-10-2025"/>
    <x v="5"/>
  </r>
  <r>
    <s v="PO-017439"/>
    <x v="689"/>
    <x v="636"/>
    <s v="SET 18 PALLINE TENNIS"/>
    <n v="94"/>
    <n v="94"/>
    <s v="Approved"/>
    <s v="23-10-2025"/>
    <x v="5"/>
  </r>
  <r>
    <s v="PO-017439"/>
    <x v="690"/>
    <x v="637"/>
    <s v="SET 18 PEZZI PALLINE PADEL"/>
    <n v="53"/>
    <n v="53"/>
    <s v="Approved"/>
    <s v="23-10-2025"/>
    <x v="5"/>
  </r>
  <r>
    <s v="PO-017439"/>
    <x v="691"/>
    <x v="638"/>
    <s v="TABELLONE SEGNAPUNTI ELETTRONICO MULTISPORT"/>
    <n v="20"/>
    <n v="20"/>
    <s v="Approved"/>
    <s v="23-10-2025"/>
    <x v="5"/>
  </r>
  <r>
    <s v="PO-017444"/>
    <x v="692"/>
    <x v="639"/>
    <s v="SET 6 PEZZI PALLONI PRO TOUR"/>
    <n v="27"/>
    <n v="0"/>
    <s v="Closed"/>
    <s v="23-10-2025"/>
    <x v="15"/>
  </r>
  <r>
    <s v="PO-017444"/>
    <x v="693"/>
    <x v="640"/>
    <s v="PALLONE BASKET WILSON EVOLUTION"/>
    <n v="206"/>
    <n v="0"/>
    <s v="Closed"/>
    <s v="23-10-2025"/>
    <x v="15"/>
  </r>
  <r>
    <s v="PO-017444"/>
    <x v="694"/>
    <x v="641"/>
    <s v="SET 2 PEZZI PALLONI DA MINIBASKET"/>
    <n v="89"/>
    <n v="0"/>
    <s v="Closed"/>
    <s v="23-10-2025"/>
    <x v="15"/>
  </r>
  <r>
    <s v="PO-017444"/>
    <x v="695"/>
    <x v="642"/>
    <s v="SET 6 PEZZI PALLONI DA BASKET MVP, MISURA 5"/>
    <n v="259"/>
    <n v="0"/>
    <s v="Closed"/>
    <s v="23-10-2025"/>
    <x v="15"/>
  </r>
  <r>
    <s v="PO-017444"/>
    <x v="696"/>
    <x v="643"/>
    <s v="SET 6 PEZZI PALLONI DA BASKET MVP,  MISURA 7"/>
    <n v="130"/>
    <n v="0"/>
    <s v="Closed"/>
    <s v="23-10-2025"/>
    <x v="15"/>
  </r>
  <r>
    <s v="PO-017444"/>
    <x v="697"/>
    <x v="644"/>
    <s v="BORSA TRAVEL DA BASKET"/>
    <n v="79"/>
    <n v="0"/>
    <s v="Closed"/>
    <s v="23-10-2025"/>
    <x v="15"/>
  </r>
  <r>
    <s v="PO-017444"/>
    <x v="698"/>
    <x v="645"/>
    <s v="BORSA PORTA PALLONI"/>
    <n v="400"/>
    <n v="0"/>
    <s v="Closed"/>
    <s v="23-10-2025"/>
    <x v="15"/>
  </r>
  <r>
    <s v="PO-017445"/>
    <x v="699"/>
    <x v="646"/>
    <s v="CARRELLO PORTAPALLONI IN PLASTICA"/>
    <n v="103"/>
    <n v="0"/>
    <s v="Approved"/>
    <s v="23-10-2025"/>
    <x v="64"/>
  </r>
  <r>
    <s v="PO-017445"/>
    <x v="700"/>
    <x v="647"/>
    <s v="POMPA PER PALLONI"/>
    <n v="76"/>
    <n v="0"/>
    <s v="Approved"/>
    <s v="23-10-2025"/>
    <x v="64"/>
  </r>
  <r>
    <s v="PO-017445"/>
    <x v="701"/>
    <x v="648"/>
    <s v="ARMADIETTO DEL PRONTO SOCCORSO"/>
    <n v="83"/>
    <n v="0"/>
    <s v="Approved"/>
    <s v="23-10-2025"/>
    <x v="64"/>
  </r>
  <r>
    <s v="PO-017445"/>
    <x v="702"/>
    <x v="649"/>
    <s v="KIT LAVAGNA A FOGLI MOBILI"/>
    <n v="65"/>
    <n v="0"/>
    <s v="Approved"/>
    <s v="23-10-2025"/>
    <x v="64"/>
  </r>
  <r>
    <s v="PO-017446"/>
    <x v="703"/>
    <x v="650"/>
    <s v="COPPIA DI MINI PORTE DA CALCIO FISSE IN ACCIAIO"/>
    <n v="190"/>
    <n v="190"/>
    <s v="Approved"/>
    <s v="23-10-2025"/>
    <x v="6"/>
  </r>
  <r>
    <s v="PO-017446"/>
    <x v="704"/>
    <x v="651"/>
    <s v="COPPIA DI MINI PORTE DA CALCIO PIEGHEVOLI"/>
    <n v="227"/>
    <n v="227"/>
    <s v="Approved"/>
    <s v="23-10-2025"/>
    <x v="6"/>
  </r>
  <r>
    <s v="PO-017446"/>
    <x v="705"/>
    <x v="652"/>
    <s v="TRACCIA LINEE MODULAR"/>
    <n v="47"/>
    <n v="0"/>
    <s v="Approved"/>
    <s v="23-10-2025"/>
    <x v="6"/>
  </r>
  <r>
    <s v="PO-017446"/>
    <x v="706"/>
    <x v="653"/>
    <s v="SET 10 PAIA DI CALZETTONI CALCIO BAMBINO"/>
    <n v="25"/>
    <n v="25"/>
    <s v="Approved"/>
    <s v="23-10-2025"/>
    <x v="6"/>
  </r>
  <r>
    <s v="PO-017446"/>
    <x v="707"/>
    <x v="654"/>
    <s v="SET 10 PAIA DI CALZETTONI CALCIO ADULTO"/>
    <n v="36"/>
    <n v="36"/>
    <s v="Approved"/>
    <s v="23-10-2025"/>
    <x v="6"/>
  </r>
  <r>
    <s v="PO-017446"/>
    <x v="708"/>
    <x v="655"/>
    <s v="SET 2 PAIA DI CALZE DA BASKET JUNIOR"/>
    <n v="119"/>
    <n v="119"/>
    <s v="Approved"/>
    <s v="23-10-2025"/>
    <x v="6"/>
  </r>
  <r>
    <s v="PO-017446"/>
    <x v="709"/>
    <x v="656"/>
    <s v="RETE DA BASKET"/>
    <n v="437"/>
    <n v="437"/>
    <s v="Approved"/>
    <s v="23-10-2025"/>
    <x v="6"/>
  </r>
  <r>
    <s v="PO-017446"/>
    <x v="710"/>
    <x v="657"/>
    <s v="PAO KICKBOXING MUAY THAI"/>
    <n v="123"/>
    <n v="123"/>
    <s v="Approved"/>
    <s v="23-10-2025"/>
    <x v="6"/>
  </r>
  <r>
    <s v="PO-017446"/>
    <x v="711"/>
    <x v="658"/>
    <s v="SUPPORTO AUTOPORTANTE PER SACCO DA BOXE"/>
    <n v="7"/>
    <n v="7"/>
    <s v="Approved"/>
    <s v="23-10-2025"/>
    <x v="6"/>
  </r>
  <r>
    <s v="PO-017446"/>
    <x v="712"/>
    <x v="659"/>
    <s v="TRAVE IN SCHIUMA PER PSICOMOTRICITÀ"/>
    <n v="466"/>
    <n v="466"/>
    <s v="Approved"/>
    <s v="23-10-2025"/>
    <x v="6"/>
  </r>
  <r>
    <s v="PO-017446"/>
    <x v="713"/>
    <x v="660"/>
    <s v="CINTURA DA PISCINA DA 15 A 60 KG"/>
    <n v="68"/>
    <n v="68"/>
    <s v="Approved"/>
    <s v="23-10-2025"/>
    <x v="6"/>
  </r>
  <r>
    <s v="PO-017446"/>
    <x v="714"/>
    <x v="661"/>
    <s v="SET 3 PEZZI PALETTE DA PISCINA TAGLIA M"/>
    <n v="34"/>
    <n v="0"/>
    <s v="Approved"/>
    <s v="23-10-2025"/>
    <x v="6"/>
  </r>
  <r>
    <s v="PO-017446"/>
    <x v="715"/>
    <x v="662"/>
    <s v="PALLONE DA PALLANUOTO WP900"/>
    <n v="80"/>
    <n v="80"/>
    <s v="Approved"/>
    <s v="23-10-2025"/>
    <x v="6"/>
  </r>
  <r>
    <s v="PO-017446"/>
    <x v="716"/>
    <x v="663"/>
    <s v="PARACADUTE DA NUOTO 900"/>
    <n v="202"/>
    <n v="0"/>
    <s v="Approved"/>
    <s v="23-10-2025"/>
    <x v="6"/>
  </r>
  <r>
    <s v="PO-017446"/>
    <x v="717"/>
    <x v="664"/>
    <s v="SET 3 PEZZI TAVOLETTA DA PISCINA 100"/>
    <n v="83"/>
    <n v="83"/>
    <s v="Approved"/>
    <s v="23-10-2025"/>
    <x v="6"/>
  </r>
  <r>
    <s v="PO-017446"/>
    <x v="718"/>
    <x v="665"/>
    <s v="SET 3 PEZZI TAVOLETTA DA PISCINA 500 GONFIABILE"/>
    <n v="7"/>
    <n v="0"/>
    <s v="Approved"/>
    <s v="23-10-2025"/>
    <x v="6"/>
  </r>
  <r>
    <s v="PO-017446"/>
    <x v="719"/>
    <x v="666"/>
    <s v="OSTACOLO IN FERRO CON ALTEZZA REGOLABILE"/>
    <n v="55"/>
    <n v="55"/>
    <s v="Approved"/>
    <s v="23-10-2025"/>
    <x v="6"/>
  </r>
  <r>
    <s v="PO-017446"/>
    <x v="720"/>
    <x v="667"/>
    <s v="TRAMPOLINO ELASTICO"/>
    <n v="161"/>
    <n v="161"/>
    <s v="Approved"/>
    <s v="23-10-2025"/>
    <x v="6"/>
  </r>
  <r>
    <s v="PO-017446"/>
    <x v="721"/>
    <x v="21"/>
    <s v="VALIGETTA PRONTO SOCCORSO"/>
    <n v="252"/>
    <n v="252"/>
    <s v="Approved"/>
    <s v="23-10-2025"/>
    <x v="6"/>
  </r>
  <r>
    <s v="PO-017446"/>
    <x v="722"/>
    <x v="668"/>
    <s v="COPPIA DI CASSE PREAMPLIFICATE"/>
    <n v="253"/>
    <n v="253"/>
    <s v="Approved"/>
    <s v="23-10-2025"/>
    <x v="6"/>
  </r>
  <r>
    <s v="PO-017446"/>
    <x v="723"/>
    <x v="669"/>
    <s v="MONITOR 27 FULL HD"/>
    <n v="56"/>
    <n v="20"/>
    <s v="Approved"/>
    <s v="23-10-2025"/>
    <x v="6"/>
  </r>
  <r>
    <s v="PO-017446"/>
    <x v="724"/>
    <x v="670"/>
    <s v="STAMPANTE MULTIFUNZIONE INKJET A COLORI A3"/>
    <n v="126"/>
    <n v="126"/>
    <s v="Approved"/>
    <s v="23-10-2025"/>
    <x v="6"/>
  </r>
  <r>
    <s v="PO-017446"/>
    <x v="725"/>
    <x v="671"/>
    <s v="NOTEBOOK 15,6 FULL HD I7"/>
    <n v="97"/>
    <n v="97"/>
    <s v="Approved"/>
    <s v="23-10-2025"/>
    <x v="6"/>
  </r>
  <r>
    <s v="PO-017446"/>
    <x v="726"/>
    <x v="348"/>
    <s v="SISTEMA AUDIO PORTATILE"/>
    <n v="516"/>
    <n v="516"/>
    <s v="Approved"/>
    <s v="23-10-2025"/>
    <x v="6"/>
  </r>
  <r>
    <s v="PO-017446"/>
    <x v="727"/>
    <x v="672"/>
    <s v="SISTEMA MICRO HI-FI"/>
    <n v="61"/>
    <n v="61"/>
    <s v="Approved"/>
    <s v="23-10-2025"/>
    <x v="6"/>
  </r>
  <r>
    <s v="PO-017446"/>
    <x v="728"/>
    <x v="673"/>
    <s v="PLASTIFICATRICE OFFICE A3"/>
    <n v="119"/>
    <n v="119"/>
    <s v="Approved"/>
    <s v="23-10-2025"/>
    <x v="6"/>
  </r>
  <r>
    <s v="PO-017446"/>
    <x v="729"/>
    <x v="674"/>
    <s v="OROLOGIO DA PARETE EXTRALARGE"/>
    <n v="28"/>
    <n v="28"/>
    <s v="Approved"/>
    <s v="23-10-2025"/>
    <x v="6"/>
  </r>
  <r>
    <s v="PO-017446"/>
    <x v="730"/>
    <x v="675"/>
    <s v="STAMPANTE LASER BN"/>
    <n v="96"/>
    <n v="96"/>
    <s v="Approved"/>
    <s v="23-10-2025"/>
    <x v="6"/>
  </r>
  <r>
    <s v="PO-017447"/>
    <x v="731"/>
    <x v="676"/>
    <s v="SET 5 PEZZI PALLONI DA ALLENAMENTO GTR4000"/>
    <n v="69"/>
    <n v="69"/>
    <s v="Closed"/>
    <s v="23-10-2025"/>
    <x v="8"/>
  </r>
  <r>
    <s v="PO-017447"/>
    <x v="732"/>
    <x v="677"/>
    <s v="SET 5 PEZZI PALLONI DA GARA IMPERIUM"/>
    <n v="16"/>
    <n v="16"/>
    <s v="Closed"/>
    <s v="23-10-2025"/>
    <x v="8"/>
  </r>
  <r>
    <s v="PO-017447"/>
    <x v="733"/>
    <x v="678"/>
    <s v="SET 4 PEZZI PARADENTI TRICOLORE SENIOR"/>
    <n v="35"/>
    <n v="35"/>
    <s v="Closed"/>
    <s v="23-10-2025"/>
    <x v="8"/>
  </r>
  <r>
    <s v="PO-017447"/>
    <x v="734"/>
    <x v="679"/>
    <s v="SCUDO DA PLACCAGGIO SENIOR"/>
    <n v="45"/>
    <n v="45"/>
    <s v="Closed"/>
    <s v="23-10-2025"/>
    <x v="8"/>
  </r>
  <r>
    <s v="PO-017447"/>
    <x v="735"/>
    <x v="680"/>
    <s v="SCUDO DA PLACCAGGIO JUNIOR"/>
    <n v="25"/>
    <n v="25"/>
    <s v="Closed"/>
    <s v="23-10-2025"/>
    <x v="8"/>
  </r>
  <r>
    <s v="PO-017447"/>
    <x v="736"/>
    <x v="681"/>
    <s v="SET 4 PEZZI SACCHE PORTA PALLONI"/>
    <n v="62"/>
    <n v="62"/>
    <s v="Closed"/>
    <s v="23-10-2025"/>
    <x v="8"/>
  </r>
  <r>
    <s v="PO-017451"/>
    <x v="737"/>
    <x v="682"/>
    <s v="24 Tagz Minecraft"/>
    <n v="3297600"/>
    <n v="0"/>
    <s v="Approved"/>
    <s v="23-10-2025"/>
    <x v="2"/>
  </r>
  <r>
    <s v="PO-017449"/>
    <x v="738"/>
    <x v="683"/>
    <s v="COPPIA DI PORTICINE POP UP CON BORSA E RETE"/>
    <n v="49"/>
    <n v="49"/>
    <s v="Approved"/>
    <s v="23-10-2025"/>
    <x v="41"/>
  </r>
  <r>
    <s v="PO-017449"/>
    <x v="739"/>
    <x v="684"/>
    <s v="SET 3 PEZZI LAVAGNE CALCIO 3D"/>
    <n v="46"/>
    <n v="46"/>
    <s v="Approved"/>
    <s v="23-10-2025"/>
    <x v="41"/>
  </r>
  <r>
    <s v="PO-017449"/>
    <x v="740"/>
    <x v="685"/>
    <s v="KIT CORNER"/>
    <n v="59"/>
    <n v="59"/>
    <s v="Approved"/>
    <s v="23-10-2025"/>
    <x v="41"/>
  </r>
  <r>
    <s v="PO-017449"/>
    <x v="741"/>
    <x v="686"/>
    <s v="KIT GUARDALINEE"/>
    <n v="375"/>
    <n v="375"/>
    <s v="Approved"/>
    <s v="23-10-2025"/>
    <x v="41"/>
  </r>
  <r>
    <s v="PO-017449"/>
    <x v="742"/>
    <x v="687"/>
    <s v="SAGOMA GONFIABILE"/>
    <n v="111"/>
    <n v="111"/>
    <s v="Approved"/>
    <s v="23-10-2025"/>
    <x v="41"/>
  </r>
  <r>
    <s v="PO-017449"/>
    <x v="743"/>
    <x v="688"/>
    <s v="TABELLA CAMBIO GIOCATORI"/>
    <n v="252"/>
    <n v="92"/>
    <s v="Approved"/>
    <s v="23-10-2025"/>
    <x v="41"/>
  </r>
  <r>
    <s v="PO-017449"/>
    <x v="744"/>
    <x v="689"/>
    <s v="SET 10 PEZZI CINTURE CON FLAG RUGBY"/>
    <n v="111"/>
    <n v="111"/>
    <s v="Approved"/>
    <s v="23-10-2025"/>
    <x v="41"/>
  </r>
  <r>
    <s v="PO-017449"/>
    <x v="745"/>
    <x v="690"/>
    <s v="SET 3 PEZZI LAVAGNE 3D RUGBY"/>
    <n v="5"/>
    <n v="0"/>
    <s v="Approved"/>
    <s v="23-10-2025"/>
    <x v="41"/>
  </r>
  <r>
    <s v="PO-017449"/>
    <x v="746"/>
    <x v="691"/>
    <s v="KIT PICKLEBALL"/>
    <n v="13"/>
    <n v="0"/>
    <s v="Approved"/>
    <s v="23-10-2025"/>
    <x v="41"/>
  </r>
  <r>
    <s v="PO-017449"/>
    <x v="747"/>
    <x v="692"/>
    <s v="RETE PICKLEBALL"/>
    <n v="8"/>
    <n v="8"/>
    <s v="Approved"/>
    <s v="23-10-2025"/>
    <x v="41"/>
  </r>
  <r>
    <s v="PO-017449"/>
    <x v="748"/>
    <x v="693"/>
    <s v="TABELLONE SEGNAPUNTI DA VOLLEY"/>
    <n v="27"/>
    <n v="27"/>
    <s v="Approved"/>
    <s v="23-10-2025"/>
    <x v="41"/>
  </r>
  <r>
    <s v="PO-017449"/>
    <x v="749"/>
    <x v="694"/>
    <s v="PALLONE VOLLEY UFFICIALE APPROVATO FIVB"/>
    <n v="791"/>
    <n v="791"/>
    <s v="Approved"/>
    <s v="23-10-2025"/>
    <x v="41"/>
  </r>
  <r>
    <s v="PO-017449"/>
    <x v="750"/>
    <x v="695"/>
    <s v="PALLONE VOLLEY DA ALLENAMENTO"/>
    <n v="174"/>
    <n v="174"/>
    <s v="Approved"/>
    <s v="23-10-2025"/>
    <x v="41"/>
  </r>
  <r>
    <s v="PO-017449"/>
    <x v="751"/>
    <x v="696"/>
    <s v="SET 2 PEZZI PALLONI DA MINIVOLLEY"/>
    <n v="244"/>
    <n v="0"/>
    <s v="Approved"/>
    <s v="23-10-2025"/>
    <x v="41"/>
  </r>
  <r>
    <s v="PO-017449"/>
    <x v="752"/>
    <x v="697"/>
    <s v="SET 3 PEZZI LAVAGNE 3D VOLLEY"/>
    <n v="40"/>
    <n v="0"/>
    <s v="Approved"/>
    <s v="23-10-2025"/>
    <x v="41"/>
  </r>
  <r>
    <s v="PO-017449"/>
    <x v="753"/>
    <x v="698"/>
    <s v="TABELLONE SEGNAPUNTI DA BASKET"/>
    <n v="15"/>
    <n v="15"/>
    <s v="Approved"/>
    <s v="23-10-2025"/>
    <x v="41"/>
  </r>
  <r>
    <s v="PO-017449"/>
    <x v="754"/>
    <x v="699"/>
    <s v="SET 3 PEZZI LAVAGNA 3D DA BASKET"/>
    <n v="50"/>
    <n v="50"/>
    <s v="Approved"/>
    <s v="23-10-2025"/>
    <x v="41"/>
  </r>
  <r>
    <s v="PO-017449"/>
    <x v="755"/>
    <x v="700"/>
    <s v="SET 4 PEZZI CLAVETTE IN NYLON"/>
    <n v="39"/>
    <n v="39"/>
    <s v="Approved"/>
    <s v="23-10-2025"/>
    <x v="41"/>
  </r>
  <r>
    <s v="PO-017449"/>
    <x v="756"/>
    <x v="701"/>
    <s v="SET 4 PEZZI NASTRI RITMICA"/>
    <n v="100"/>
    <n v="100"/>
    <s v="Approved"/>
    <s v="23-10-2025"/>
    <x v="41"/>
  </r>
  <r>
    <s v="PO-017449"/>
    <x v="757"/>
    <x v="702"/>
    <s v="SET 5 PEZZI BASTONI IN LEGNO VERNICIATO"/>
    <n v="254"/>
    <n v="254"/>
    <s v="Approved"/>
    <s v="23-10-2025"/>
    <x v="41"/>
  </r>
  <r>
    <s v="PO-017449"/>
    <x v="758"/>
    <x v="703"/>
    <s v="SET 5 PEZZI CORDE RITMICA"/>
    <n v="124"/>
    <n v="124"/>
    <s v="Approved"/>
    <s v="23-10-2025"/>
    <x v="41"/>
  </r>
  <r>
    <s v="PO-017449"/>
    <x v="759"/>
    <x v="704"/>
    <s v="SET 5 PEZZI MATERASSINI PER YOGA E PILATES PLUS"/>
    <n v="68"/>
    <n v="0"/>
    <s v="Approved"/>
    <s v="23-10-2025"/>
    <x v="41"/>
  </r>
  <r>
    <s v="PO-017449"/>
    <x v="760"/>
    <x v="705"/>
    <s v="SET 5 PEZZI PALLE YOGA E PILATES"/>
    <n v="348"/>
    <n v="348"/>
    <s v="Approved"/>
    <s v="23-10-2025"/>
    <x v="41"/>
  </r>
  <r>
    <s v="PO-017449"/>
    <x v="761"/>
    <x v="706"/>
    <s v="SET 2 PEZZI PALLONI HANDBALL ULTIMA 30.3"/>
    <n v="14"/>
    <n v="14"/>
    <s v="Approved"/>
    <s v="23-10-2025"/>
    <x v="41"/>
  </r>
  <r>
    <s v="PO-017449"/>
    <x v="762"/>
    <x v="707"/>
    <s v="SET 2 PEZZI PALLONI MINI HANDBALL SOFT BA0"/>
    <n v="52"/>
    <n v="52"/>
    <s v="Approved"/>
    <s v="23-10-2025"/>
    <x v="41"/>
  </r>
  <r>
    <s v="PO-017449"/>
    <x v="763"/>
    <x v="708"/>
    <s v="SUPPORTO CON PINZA PER RETE PING PONG"/>
    <n v="39"/>
    <n v="39"/>
    <s v="Approved"/>
    <s v="23-10-2025"/>
    <x v="41"/>
  </r>
  <r>
    <s v="PO-017449"/>
    <x v="764"/>
    <x v="709"/>
    <s v="DISCO IN GOMMA A 3 IMPUGNATURE"/>
    <n v="41"/>
    <n v="40"/>
    <s v="Approved"/>
    <s v="23-10-2025"/>
    <x v="41"/>
  </r>
  <r>
    <s v="PO-017449"/>
    <x v="765"/>
    <x v="710"/>
    <s v="SET 3 PEZZI PALLINE DA LANCIO IN GOMMA"/>
    <n v="49"/>
    <n v="49"/>
    <s v="Approved"/>
    <s v="23-10-2025"/>
    <x v="41"/>
  </r>
  <r>
    <s v="PO-017449"/>
    <x v="766"/>
    <x v="711"/>
    <s v="SET 3 PEZZI OSTACOLI REGOLABILI BAMBINO"/>
    <n v="499"/>
    <n v="330"/>
    <s v="Approved"/>
    <s v="23-10-2025"/>
    <x v="41"/>
  </r>
  <r>
    <s v="PO-017449"/>
    <x v="767"/>
    <x v="712"/>
    <s v="SET 5 PEZZI CERCHI PIATTI IN PVC"/>
    <n v="439"/>
    <n v="439"/>
    <s v="Approved"/>
    <s v="23-10-2025"/>
    <x v="41"/>
  </r>
  <r>
    <s v="PO-017449"/>
    <x v="768"/>
    <x v="713"/>
    <s v="SET 5 PEZZI OSTACOLI MACH"/>
    <n v="68"/>
    <n v="68"/>
    <s v="Approved"/>
    <s v="23-10-2025"/>
    <x v="41"/>
  </r>
  <r>
    <s v="PO-017449"/>
    <x v="769"/>
    <x v="714"/>
    <s v="SET 4 PEZZI CAVIGLIERE APPESANTITE KG 2"/>
    <n v="107"/>
    <n v="0"/>
    <s v="Approved"/>
    <s v="23-10-2025"/>
    <x v="41"/>
  </r>
  <r>
    <s v="PO-017449"/>
    <x v="770"/>
    <x v="715"/>
    <s v="SET 4 PEZZI MANUBRIO VINYL KG 1"/>
    <n v="511"/>
    <n v="202"/>
    <s v="Approved"/>
    <s v="23-10-2025"/>
    <x v="41"/>
  </r>
  <r>
    <s v="PO-017449"/>
    <x v="771"/>
    <x v="716"/>
    <s v="SET 4 PEZZI MANUBRIO VINYL KG 3"/>
    <n v="243"/>
    <n v="115"/>
    <s v="Approved"/>
    <s v="23-10-2025"/>
    <x v="41"/>
  </r>
  <r>
    <s v="PO-017449"/>
    <x v="772"/>
    <x v="717"/>
    <s v="PALLA MEDICA OVER CON IMPUGNATURA KG 1"/>
    <n v="60"/>
    <n v="60"/>
    <s v="Approved"/>
    <s v="23-10-2025"/>
    <x v="41"/>
  </r>
  <r>
    <s v="PO-017449"/>
    <x v="773"/>
    <x v="718"/>
    <s v="PALLA MEDICA OVER CON IMPUGNATURA KG 2"/>
    <n v="57"/>
    <n v="57"/>
    <s v="Approved"/>
    <s v="23-10-2025"/>
    <x v="41"/>
  </r>
  <r>
    <s v="PO-017449"/>
    <x v="774"/>
    <x v="719"/>
    <s v="PEDANA BOSU"/>
    <n v="85"/>
    <n v="85"/>
    <s v="Approved"/>
    <s v="23-10-2025"/>
    <x v="41"/>
  </r>
  <r>
    <s v="PO-017449"/>
    <x v="775"/>
    <x v="720"/>
    <s v="PEDANA C1 SKIMMY"/>
    <n v="125"/>
    <n v="125"/>
    <s v="Approved"/>
    <s v="23-10-2025"/>
    <x v="41"/>
  </r>
  <r>
    <s v="PO-017449"/>
    <x v="776"/>
    <x v="721"/>
    <s v="SET 2 PEZZI PALLA MEDICA BUBBLE KG 1"/>
    <n v="78"/>
    <n v="78"/>
    <s v="Approved"/>
    <s v="23-10-2025"/>
    <x v="41"/>
  </r>
  <r>
    <s v="PO-017449"/>
    <x v="777"/>
    <x v="722"/>
    <s v="SET 2 PEZZI PALLA MEDICA BUBBLE KG 2"/>
    <n v="178"/>
    <n v="178"/>
    <s v="Approved"/>
    <s v="23-10-2025"/>
    <x v="41"/>
  </r>
  <r>
    <s v="PO-017449"/>
    <x v="778"/>
    <x v="723"/>
    <s v="TAVOLETTA TONDA"/>
    <n v="680"/>
    <n v="680"/>
    <s v="Approved"/>
    <s v="23-10-2025"/>
    <x v="41"/>
  </r>
  <r>
    <s v="PO-017449"/>
    <x v="779"/>
    <x v="223"/>
    <s v="MEGAFONO"/>
    <n v="69"/>
    <n v="69"/>
    <s v="Approved"/>
    <s v="23-10-2025"/>
    <x v="41"/>
  </r>
  <r>
    <s v="PO-017449"/>
    <x v="780"/>
    <x v="724"/>
    <s v="ROTELLA METRICA CON IMPUGNATURA"/>
    <n v="239"/>
    <n v="239"/>
    <s v="Approved"/>
    <s v="23-10-2025"/>
    <x v="41"/>
  </r>
  <r>
    <s v="PO-017449"/>
    <x v="781"/>
    <x v="725"/>
    <s v="SET 10 PEZZI CONO CALPESTABILE"/>
    <n v="202"/>
    <n v="202"/>
    <s v="Approved"/>
    <s v="23-10-2025"/>
    <x v="41"/>
  </r>
  <r>
    <s v="PO-017449"/>
    <x v="782"/>
    <x v="726"/>
    <s v="SET 10 PEZZI CONO FORATO"/>
    <n v="514"/>
    <n v="514"/>
    <s v="Approved"/>
    <s v="23-10-2025"/>
    <x v="41"/>
  </r>
  <r>
    <s v="PO-017449"/>
    <x v="783"/>
    <x v="727"/>
    <s v="SET 12 PEZZI ASTA CM 100"/>
    <n v="175"/>
    <n v="175"/>
    <s v="Approved"/>
    <s v="23-10-2025"/>
    <x v="41"/>
  </r>
  <r>
    <s v="PO-017449"/>
    <x v="784"/>
    <x v="728"/>
    <s v="SET 12 PEZZI ASTA CM 160"/>
    <n v="106"/>
    <n v="106"/>
    <s v="Approved"/>
    <s v="23-10-2025"/>
    <x v="41"/>
  </r>
  <r>
    <s v="PO-017449"/>
    <x v="785"/>
    <x v="729"/>
    <s v="SET 12 PEZZI PALO SLALOM TOP"/>
    <n v="148"/>
    <n v="148"/>
    <s v="Approved"/>
    <s v="23-10-2025"/>
    <x v="41"/>
  </r>
  <r>
    <s v="PO-017449"/>
    <x v="786"/>
    <x v="730"/>
    <s v="SET 5 PEZZI BASE CUPOLA MULTIFUNZIONE"/>
    <n v="92"/>
    <n v="92"/>
    <s v="Approved"/>
    <s v="23-10-2025"/>
    <x v="41"/>
  </r>
  <r>
    <s v="PO-017449"/>
    <x v="787"/>
    <x v="731"/>
    <s v="SET 48 PEZZI DELIMITATORI"/>
    <n v="947"/>
    <n v="947"/>
    <s v="Approved"/>
    <s v="23-10-2025"/>
    <x v="41"/>
  </r>
  <r>
    <s v="PO-017449"/>
    <x v="788"/>
    <x v="732"/>
    <s v="SET 24 PEZZI DISCHI PIATTI"/>
    <n v="478"/>
    <n v="478"/>
    <s v="Approved"/>
    <s v="23-10-2025"/>
    <x v="41"/>
  </r>
  <r>
    <s v="PO-017449"/>
    <x v="789"/>
    <x v="733"/>
    <s v="MINICOMPRESSORE RAIDER"/>
    <n v="95"/>
    <n v="95"/>
    <s v="Approved"/>
    <s v="23-10-2025"/>
    <x v="41"/>
  </r>
  <r>
    <s v="PO-017449"/>
    <x v="790"/>
    <x v="734"/>
    <s v="CONTENITORE PORTA PALLONI CHIUSO PIEGHEVOLE"/>
    <n v="165"/>
    <n v="165"/>
    <s v="Approved"/>
    <s v="23-10-2025"/>
    <x v="41"/>
  </r>
  <r>
    <s v="PO-017449"/>
    <x v="791"/>
    <x v="735"/>
    <s v="TESTIMONI PVC 6 COLORI KIT 6 PZ"/>
    <n v="166"/>
    <n v="166"/>
    <s v="Approved"/>
    <s v="23-10-2025"/>
    <x v="41"/>
  </r>
  <r>
    <s v="PO-017449"/>
    <x v="792"/>
    <x v="736"/>
    <s v="SET 6 BORRACCE CON CESTELLO"/>
    <n v="597"/>
    <n v="597"/>
    <s v="Approved"/>
    <s v="23-10-2025"/>
    <x v="41"/>
  </r>
  <r>
    <s v="PO-017449"/>
    <x v="793"/>
    <x v="737"/>
    <s v="SET 10 PEZZI NASTRO TAPE H 5 CM"/>
    <n v="691"/>
    <n v="667"/>
    <s v="Approved"/>
    <s v="23-10-2025"/>
    <x v="41"/>
  </r>
  <r>
    <s v="PO-017449"/>
    <x v="794"/>
    <x v="738"/>
    <s v="SET 10 PEZZI SALVAPELLE"/>
    <n v="362"/>
    <n v="362"/>
    <s v="Approved"/>
    <s v="23-10-2025"/>
    <x v="41"/>
  </r>
  <r>
    <s v="PO-017449"/>
    <x v="795"/>
    <x v="16"/>
    <s v="SET 6 GHIACCIO SPRAY"/>
    <n v="1320"/>
    <n v="1320"/>
    <s v="Approved"/>
    <s v="23-10-2025"/>
    <x v="41"/>
  </r>
  <r>
    <s v="PO-017453"/>
    <x v="796"/>
    <x v="739"/>
    <s v="SET 2 PEZZI KIT PORTIERE HYGUANA GIALLO"/>
    <n v="21"/>
    <n v="1"/>
    <s v="Approved"/>
    <s v="23-10-2025"/>
    <x v="9"/>
  </r>
  <r>
    <s v="PO-017453"/>
    <x v="797"/>
    <x v="740"/>
    <s v="SET 5 PEZZI PALLONE ACADEMY FRECCIA"/>
    <n v="903"/>
    <n v="81"/>
    <s v="Approved"/>
    <s v="23-10-2025"/>
    <x v="9"/>
  </r>
  <r>
    <s v="PO-017453"/>
    <x v="798"/>
    <x v="741"/>
    <s v="SET 5 PEZZI PALLONE GARA MATCH NEW MAYA"/>
    <n v="1178"/>
    <n v="169"/>
    <s v="Approved"/>
    <s v="23-10-2025"/>
    <x v="9"/>
  </r>
  <r>
    <s v="PO-017453"/>
    <x v="799"/>
    <x v="742"/>
    <s v="SET 2 PAIA GUANTI  PORTIERE STOP ACADEMY"/>
    <n v="54"/>
    <n v="0"/>
    <s v="Approved"/>
    <s v="23-10-2025"/>
    <x v="9"/>
  </r>
  <r>
    <s v="PO-017453"/>
    <x v="800"/>
    <x v="743"/>
    <s v="SET 5 PEZZI PALLONE BEACH VOLLEY"/>
    <n v="78"/>
    <n v="1"/>
    <s v="Approved"/>
    <s v="23-10-2025"/>
    <x v="9"/>
  </r>
  <r>
    <s v="PO-017453"/>
    <x v="801"/>
    <x v="744"/>
    <s v="RACCHETTA PADEL"/>
    <n v="21"/>
    <n v="0"/>
    <s v="Approved"/>
    <s v="23-10-2025"/>
    <x v="9"/>
  </r>
  <r>
    <s v="PO-017453"/>
    <x v="802"/>
    <x v="745"/>
    <s v="SET 10 PAIA CALZE DA BASKET ADULTO"/>
    <n v="58"/>
    <n v="4"/>
    <s v="Approved"/>
    <s v="23-10-2025"/>
    <x v="9"/>
  </r>
  <r>
    <s v="PO-017453"/>
    <x v="803"/>
    <x v="746"/>
    <s v="SET 2 PEZZI BORSA BRERA"/>
    <n v="264"/>
    <n v="32"/>
    <s v="Approved"/>
    <s v="23-10-2025"/>
    <x v="9"/>
  </r>
  <r>
    <s v="PO-017453"/>
    <x v="804"/>
    <x v="747"/>
    <s v="SET 2 PEZZI ZAINO EUROPA"/>
    <n v="1053"/>
    <n v="119"/>
    <s v="Approved"/>
    <s v="23-10-2025"/>
    <x v="9"/>
  </r>
  <r>
    <s v="PO-017453"/>
    <x v="805"/>
    <x v="748"/>
    <s v="SET 2 PEZZI BORSA REVOLUTION BIG"/>
    <n v="194"/>
    <n v="39"/>
    <s v="Approved"/>
    <s v="23-10-2025"/>
    <x v="9"/>
  </r>
  <r>
    <s v="PO-017453"/>
    <x v="806"/>
    <x v="749"/>
    <s v="SET 4 PEZZI ACCAPPATOIO MICROFIBRA UOMO"/>
    <n v="117"/>
    <n v="0"/>
    <s v="Approved"/>
    <s v="23-10-2025"/>
    <x v="9"/>
  </r>
  <r>
    <s v="PO-017453"/>
    <x v="807"/>
    <x v="750"/>
    <s v="SET 4 PEZZI ACCAPPATOIO MICROFIBRA DONNA"/>
    <n v="47"/>
    <n v="0"/>
    <s v="Approved"/>
    <s v="23-10-2025"/>
    <x v="9"/>
  </r>
  <r>
    <s v="PO-017453"/>
    <x v="808"/>
    <x v="751"/>
    <s v="SET 12 PEZZI TELO SPORT"/>
    <n v="704"/>
    <n v="0"/>
    <s v="Approved"/>
    <s v="23-10-2025"/>
    <x v="9"/>
  </r>
  <r>
    <s v="PO-017453"/>
    <x v="809"/>
    <x v="752"/>
    <s v="SET 12 PEZZI BORRACCE IN ACCIAIO"/>
    <n v="198"/>
    <n v="0"/>
    <s v="Approved"/>
    <s v="23-10-2025"/>
    <x v="9"/>
  </r>
  <r>
    <s v="PO-017453"/>
    <x v="810"/>
    <x v="753"/>
    <s v="SET 5 PEZZI TUTA CUBA POLARFLLECE"/>
    <n v="54"/>
    <n v="3"/>
    <s v="Approved"/>
    <s v="23-10-2025"/>
    <x v="9"/>
  </r>
  <r>
    <s v="PO-017453"/>
    <x v="811"/>
    <x v="754"/>
    <s v="SET 5 PEZZI GIACCA RAIN  ANTIVENTO"/>
    <n v="121"/>
    <n v="9"/>
    <s v="Approved"/>
    <s v="23-10-2025"/>
    <x v="9"/>
  </r>
  <r>
    <s v="PO-017453"/>
    <x v="812"/>
    <x v="755"/>
    <s v="SET 5 PEZZI GIUBBOTTO OLANDA 180 GR"/>
    <n v="54"/>
    <n v="4"/>
    <s v="Approved"/>
    <s v="23-10-2025"/>
    <x v="9"/>
  </r>
  <r>
    <s v="PO-017453"/>
    <x v="813"/>
    <x v="756"/>
    <s v="SET 10 PEZZI T-SHIRT CAPO INTERLOCK"/>
    <n v="116"/>
    <n v="13"/>
    <s v="Approved"/>
    <s v="23-10-2025"/>
    <x v="9"/>
  </r>
  <r>
    <s v="PO-017453"/>
    <x v="814"/>
    <x v="757"/>
    <s v="SET 10 PEZZI  SHORT CAPO"/>
    <n v="102"/>
    <n v="11"/>
    <s v="Approved"/>
    <s v="23-10-2025"/>
    <x v="9"/>
  </r>
  <r>
    <s v="PO-017453"/>
    <x v="815"/>
    <x v="758"/>
    <s v="SET 5 PEZZI MAGLIA ALLENAMNETO HALFZIP"/>
    <n v="31"/>
    <n v="0"/>
    <s v="Approved"/>
    <s v="23-10-2025"/>
    <x v="9"/>
  </r>
  <r>
    <s v="PO-017453"/>
    <x v="816"/>
    <x v="759"/>
    <s v="SET 5 PEZZI LEGGINGS DONNA"/>
    <n v="33"/>
    <n v="2"/>
    <s v="Approved"/>
    <s v="23-10-2025"/>
    <x v="9"/>
  </r>
  <r>
    <s v="PO-017453"/>
    <x v="817"/>
    <x v="760"/>
    <s v="SET 5 PEZZI PANTA SLIM UNISEX"/>
    <n v="48"/>
    <n v="0"/>
    <s v="Approved"/>
    <s v="23-10-2025"/>
    <x v="9"/>
  </r>
  <r>
    <s v="PO-017453"/>
    <x v="818"/>
    <x v="761"/>
    <s v="SET 10 PEZZI CASACCA DOUBLE"/>
    <n v="246"/>
    <n v="13"/>
    <s v="Approved"/>
    <s v="23-10-2025"/>
    <x v="9"/>
  </r>
  <r>
    <s v="PO-017453"/>
    <x v="819"/>
    <x v="762"/>
    <s v="SET 10 PEZZI CASACCA ALLENAMENTO IN MESH"/>
    <n v="553"/>
    <n v="52"/>
    <s v="Approved"/>
    <s v="23-10-2025"/>
    <x v="9"/>
  </r>
  <r>
    <s v="PO-017453"/>
    <x v="820"/>
    <x v="763"/>
    <s v="SET 10 PAIA CALZE SPORT DA ALLENAMENTO"/>
    <n v="274"/>
    <n v="17"/>
    <s v="Approved"/>
    <s v="23-10-2025"/>
    <x v="9"/>
  </r>
  <r>
    <s v="PO-017453"/>
    <x v="821"/>
    <x v="764"/>
    <s v="SET 5 PAIA GINOCCHIERA LIGHT - JUNIOR"/>
    <n v="17"/>
    <n v="0"/>
    <s v="Approved"/>
    <s v="23-10-2025"/>
    <x v="9"/>
  </r>
  <r>
    <s v="PO-017454"/>
    <x v="822"/>
    <x v="765"/>
    <s v="BORSA MEDICA PER IL PRONTO INTERVENTO"/>
    <n v="2310"/>
    <n v="2310"/>
    <s v="Closed"/>
    <s v="23-10-2025"/>
    <x v="94"/>
  </r>
  <r>
    <s v="PO-017455"/>
    <x v="823"/>
    <x v="766"/>
    <s v="SET DI 20 MAGLIE DA CALCIO PERSONALIZZABILI"/>
    <n v="25"/>
    <n v="2"/>
    <s v="Approved"/>
    <s v="23-10-2025"/>
    <x v="11"/>
  </r>
  <r>
    <s v="PO-017456"/>
    <x v="824"/>
    <x v="767"/>
    <s v="PORTA SINGOLA MINICALCIO IN ACCIAIO CON RETE"/>
    <n v="33"/>
    <n v="33"/>
    <s v="Approved"/>
    <s v="23-10-2025"/>
    <x v="13"/>
  </r>
  <r>
    <s v="PO-017456"/>
    <x v="825"/>
    <x v="768"/>
    <s v="COPPIA DI PORTE DA CALCIO TRASPORTABILI"/>
    <n v="15"/>
    <n v="15"/>
    <s v="Approved"/>
    <s v="23-10-2025"/>
    <x v="13"/>
  </r>
  <r>
    <s v="PO-017456"/>
    <x v="826"/>
    <x v="769"/>
    <s v="COPPIA DI RETI DA CALCIO"/>
    <n v="66"/>
    <n v="2"/>
    <s v="Approved"/>
    <s v="23-10-2025"/>
    <x v="13"/>
  </r>
  <r>
    <s v="PO-017456"/>
    <x v="827"/>
    <x v="770"/>
    <s v="PORTA CALCETTO SINGOLA IN ACCIAIO"/>
    <n v="72"/>
    <n v="72"/>
    <s v="Approved"/>
    <s v="23-10-2025"/>
    <x v="13"/>
  </r>
  <r>
    <s v="PO-017456"/>
    <x v="828"/>
    <x v="771"/>
    <s v="COPPIA DI RETI DA CALCETTO"/>
    <n v="122"/>
    <n v="62"/>
    <s v="Approved"/>
    <s v="23-10-2025"/>
    <x v="13"/>
  </r>
  <r>
    <s v="PO-017456"/>
    <x v="829"/>
    <x v="772"/>
    <s v="CARRELLO SEGNACAMPO A POMPA MANUALE"/>
    <n v="21"/>
    <n v="21"/>
    <s v="Approved"/>
    <s v="23-10-2025"/>
    <x v="13"/>
  </r>
  <r>
    <s v="PO-017456"/>
    <x v="830"/>
    <x v="773"/>
    <s v="RETE DA TENNIS SUPER TORNEO"/>
    <n v="36"/>
    <n v="36"/>
    <s v="Approved"/>
    <s v="23-10-2025"/>
    <x v="13"/>
  </r>
  <r>
    <s v="PO-017456"/>
    <x v="831"/>
    <x v="774"/>
    <s v="RETE DA TENNIS CON CAVO DI ACCIAIO"/>
    <n v="28"/>
    <n v="28"/>
    <s v="Approved"/>
    <s v="23-10-2025"/>
    <x v="13"/>
  </r>
  <r>
    <s v="PO-017456"/>
    <x v="832"/>
    <x v="775"/>
    <s v="IMPIANTO MINIVOLLEY"/>
    <n v="27"/>
    <n v="27"/>
    <s v="Approved"/>
    <s v="23-10-2025"/>
    <x v="13"/>
  </r>
  <r>
    <s v="PO-017456"/>
    <x v="833"/>
    <x v="776"/>
    <s v="COPPIA DI PROTEZIONI IMBOTTITE  MINIVOLLEY"/>
    <n v="17"/>
    <n v="17"/>
    <s v="Approved"/>
    <s v="23-10-2025"/>
    <x v="13"/>
  </r>
  <r>
    <s v="PO-017456"/>
    <x v="834"/>
    <x v="777"/>
    <s v="IMPIANTO DI PALLAVOLO A TRALICCIO"/>
    <n v="6"/>
    <n v="6"/>
    <s v="Approved"/>
    <s v="23-10-2025"/>
    <x v="13"/>
  </r>
  <r>
    <s v="PO-017456"/>
    <x v="835"/>
    <x v="778"/>
    <s v="COPPIA DI PROTEZIONI IMBOTTITE PER IMPIANTO VOLLEY"/>
    <n v="19"/>
    <n v="19"/>
    <s v="Approved"/>
    <s v="23-10-2025"/>
    <x v="13"/>
  </r>
  <r>
    <s v="PO-017456"/>
    <x v="836"/>
    <x v="48"/>
    <s v="RETE DA PALLAVOLO PESANTE"/>
    <n v="56"/>
    <n v="56"/>
    <s v="Approved"/>
    <s v="23-10-2025"/>
    <x v="13"/>
  </r>
  <r>
    <s v="PO-017456"/>
    <x v="837"/>
    <x v="239"/>
    <s v="RETE DA MINIVOLLEY"/>
    <n v="74"/>
    <n v="0"/>
    <s v="Approved"/>
    <s v="23-10-2025"/>
    <x v="13"/>
  </r>
  <r>
    <s v="PO-017456"/>
    <x v="838"/>
    <x v="779"/>
    <s v="COPPIA DI POLSIERE AD UNA FASCIA DA 500 GR CAD."/>
    <n v="403"/>
    <n v="0"/>
    <s v="Approved"/>
    <s v="23-10-2025"/>
    <x v="13"/>
  </r>
  <r>
    <s v="PO-017456"/>
    <x v="839"/>
    <x v="780"/>
    <s v="COPPIA DI CANESTRI DA BASKET"/>
    <n v="27"/>
    <n v="0"/>
    <s v="Approved"/>
    <s v="23-10-2025"/>
    <x v="13"/>
  </r>
  <r>
    <s v="PO-017456"/>
    <x v="840"/>
    <x v="781"/>
    <s v="MEZZO IMPIANTO BASKET E MINIBASKET TRASPORTABILE"/>
    <n v="8"/>
    <n v="8"/>
    <s v="Approved"/>
    <s v="23-10-2025"/>
    <x v="13"/>
  </r>
  <r>
    <s v="PO-017456"/>
    <x v="841"/>
    <x v="52"/>
    <s v="SACCO BOXE DA 30 KG"/>
    <n v="14"/>
    <n v="14"/>
    <s v="Approved"/>
    <s v="23-10-2025"/>
    <x v="13"/>
  </r>
  <r>
    <s v="PO-017456"/>
    <x v="842"/>
    <x v="782"/>
    <s v="SACCO BOX CON PEDANA RIEMPIBILE"/>
    <n v="21"/>
    <n v="0"/>
    <s v="Approved"/>
    <s v="23-10-2025"/>
    <x v="13"/>
  </r>
  <r>
    <s v="PO-017456"/>
    <x v="843"/>
    <x v="783"/>
    <s v="SACCO BOXE DA 50 KG"/>
    <n v="27"/>
    <n v="27"/>
    <s v="Approved"/>
    <s v="23-10-2025"/>
    <x v="13"/>
  </r>
  <r>
    <s v="PO-017456"/>
    <x v="642"/>
    <x v="592"/>
    <s v="SET 10 PEZZI CERCHI IN PVC A SEZIONE ROTONDA"/>
    <n v="37"/>
    <n v="1"/>
    <s v="Approved"/>
    <s v="23-10-2025"/>
    <x v="13"/>
  </r>
  <r>
    <s v="PO-017456"/>
    <x v="844"/>
    <x v="784"/>
    <s v="SET 10 PEZZI FUNICELLE PIOMBATE"/>
    <n v="33"/>
    <n v="0"/>
    <s v="Approved"/>
    <s v="23-10-2025"/>
    <x v="13"/>
  </r>
  <r>
    <s v="PO-017456"/>
    <x v="845"/>
    <x v="785"/>
    <s v="SET 5 PEZZI PALLE GINNASTICA RITMICA"/>
    <n v="127"/>
    <n v="70"/>
    <s v="Approved"/>
    <s v="23-10-2025"/>
    <x v="13"/>
  </r>
  <r>
    <s v="PO-017456"/>
    <x v="846"/>
    <x v="548"/>
    <s v="TENNIS TAVOLO PER INTERNO"/>
    <n v="37"/>
    <n v="9"/>
    <s v="Approved"/>
    <s v="23-10-2025"/>
    <x v="13"/>
  </r>
  <r>
    <s v="PO-017456"/>
    <x v="847"/>
    <x v="786"/>
    <s v="SET 10 PEZZI OSTACOLI OVER"/>
    <n v="59"/>
    <n v="59"/>
    <s v="Approved"/>
    <s v="23-10-2025"/>
    <x v="13"/>
  </r>
  <r>
    <s v="PO-017456"/>
    <x v="848"/>
    <x v="787"/>
    <s v="SET 5 PEZZI PALLE PSICOMOTORIE"/>
    <n v="21"/>
    <n v="0"/>
    <s v="Approved"/>
    <s v="23-10-2025"/>
    <x v="13"/>
  </r>
  <r>
    <s v="PO-017456"/>
    <x v="849"/>
    <x v="788"/>
    <s v="SET 10 PEZZI STUOIE"/>
    <n v="81"/>
    <n v="81"/>
    <s v="Approved"/>
    <s v="23-10-2025"/>
    <x v="13"/>
  </r>
  <r>
    <s v="PO-017456"/>
    <x v="850"/>
    <x v="789"/>
    <s v="SET 10 PEZZI CERCHI IN NYLON"/>
    <n v="129"/>
    <n v="1"/>
    <s v="Approved"/>
    <s v="23-10-2025"/>
    <x v="13"/>
  </r>
  <r>
    <s v="PO-017456"/>
    <x v="851"/>
    <x v="50"/>
    <s v="MATERASSO IN GOMMA ESPANSA"/>
    <n v="398"/>
    <n v="398"/>
    <s v="Approved"/>
    <s v="23-10-2025"/>
    <x v="13"/>
  </r>
  <r>
    <s v="PO-017456"/>
    <x v="852"/>
    <x v="790"/>
    <s v="TRAMPOLINO ELASTICO FISSO"/>
    <n v="5"/>
    <n v="5"/>
    <s v="Approved"/>
    <s v="23-10-2025"/>
    <x v="13"/>
  </r>
  <r>
    <s v="PO-017456"/>
    <x v="853"/>
    <x v="791"/>
    <s v="CARRELLO PORTA PALLONI IN ACCIAIO"/>
    <n v="199"/>
    <n v="159"/>
    <s v="Approved"/>
    <s v="23-10-2025"/>
    <x v="13"/>
  </r>
  <r>
    <s v="PO-017456"/>
    <x v="854"/>
    <x v="792"/>
    <s v="COPPIA RITTI PER SALTO IN ALTO"/>
    <n v="18"/>
    <n v="18"/>
    <s v="Approved"/>
    <s v="23-10-2025"/>
    <x v="13"/>
  </r>
  <r>
    <s v="PO-017456"/>
    <x v="855"/>
    <x v="793"/>
    <s v="LETTINO DA INFERMERIA"/>
    <n v="17"/>
    <n v="17"/>
    <s v="Approved"/>
    <s v="23-10-2025"/>
    <x v="13"/>
  </r>
  <r>
    <s v="PO-017456"/>
    <x v="856"/>
    <x v="794"/>
    <s v="PANCA DA SPOGLIATOIO 2 METRI"/>
    <n v="245"/>
    <n v="245"/>
    <s v="Approved"/>
    <s v="23-10-2025"/>
    <x v="13"/>
  </r>
  <r>
    <s v="PO-017460"/>
    <x v="294"/>
    <x v="278"/>
    <s v="Easy Drill 1200 Lithium-ion cordless drill/driver"/>
    <n v="30"/>
    <n v="30"/>
    <s v="Closed"/>
    <s v="24-10-2025"/>
    <x v="22"/>
  </r>
  <r>
    <s v="PO-017462"/>
    <x v="857"/>
    <x v="795"/>
    <s v="SACCO BOXE A PERA"/>
    <n v="3"/>
    <n v="3"/>
    <s v="Approved"/>
    <s v="24-10-2025"/>
    <x v="12"/>
  </r>
  <r>
    <s v="PO-017462"/>
    <x v="858"/>
    <x v="796"/>
    <s v="SET 4 PEZZI GYM BALL"/>
    <n v="231"/>
    <n v="231"/>
    <s v="Approved"/>
    <s v="24-10-2025"/>
    <x v="12"/>
  </r>
  <r>
    <s v="PO-017462"/>
    <x v="859"/>
    <x v="797"/>
    <s v="SET 6 PEZZI RACCHETTE DA PING PONG"/>
    <n v="227"/>
    <n v="227"/>
    <s v="Approved"/>
    <s v="24-10-2025"/>
    <x v="12"/>
  </r>
  <r>
    <s v="PO-017462"/>
    <x v="860"/>
    <x v="798"/>
    <s v="60 PALLINE DA PING PONG IN BARATTOLO"/>
    <n v="245"/>
    <n v="245"/>
    <s v="Approved"/>
    <s v="24-10-2025"/>
    <x v="12"/>
  </r>
  <r>
    <s v="PO-017462"/>
    <x v="861"/>
    <x v="799"/>
    <s v="SET 8 PEZZI MATERASSINO PIEGHEVOLE"/>
    <n v="416"/>
    <n v="416"/>
    <s v="Approved"/>
    <s v="24-10-2025"/>
    <x v="12"/>
  </r>
  <r>
    <s v="PO-017462"/>
    <x v="862"/>
    <x v="800"/>
    <s v="SET 20 PEZZI ELASTICI FITNESS"/>
    <n v="108"/>
    <n v="108"/>
    <s v="Approved"/>
    <s v="24-10-2025"/>
    <x v="12"/>
  </r>
  <r>
    <s v="PO-017462"/>
    <x v="863"/>
    <x v="801"/>
    <s v="SET 10 PEZZI STRETCH BAND"/>
    <n v="399"/>
    <n v="399"/>
    <s v="Approved"/>
    <s v="24-10-2025"/>
    <x v="12"/>
  </r>
  <r>
    <s v="PO-017462"/>
    <x v="864"/>
    <x v="802"/>
    <s v="SET PESI (20 KG)"/>
    <n v="169"/>
    <n v="169"/>
    <s v="Approved"/>
    <s v="24-10-2025"/>
    <x v="12"/>
  </r>
  <r>
    <s v="PO-017462"/>
    <x v="865"/>
    <x v="803"/>
    <s v="SET 2 PEZZI BALANCE BOARD CON MANIGLIE"/>
    <n v="127"/>
    <n v="127"/>
    <s v="Approved"/>
    <s v="24-10-2025"/>
    <x v="12"/>
  </r>
  <r>
    <s v="PO-017462"/>
    <x v="866"/>
    <x v="804"/>
    <s v="SET 4 PEZZI CRONOMETRO IMPERMEABILE"/>
    <n v="75"/>
    <n v="75"/>
    <s v="Approved"/>
    <s v="24-10-2025"/>
    <x v="12"/>
  </r>
  <r>
    <s v="PO-017462"/>
    <x v="867"/>
    <x v="234"/>
    <s v="CRONOMETRO IN ACCIAIO ALTA PRECISIONE"/>
    <n v="83"/>
    <n v="83"/>
    <s v="Approved"/>
    <s v="24-10-2025"/>
    <x v="12"/>
  </r>
  <r>
    <s v="PO-017462"/>
    <x v="868"/>
    <x v="805"/>
    <s v="ACTION CAM"/>
    <n v="534"/>
    <n v="240"/>
    <s v="Approved"/>
    <s v="24-10-2025"/>
    <x v="12"/>
  </r>
  <r>
    <s v="PO-017462"/>
    <x v="869"/>
    <x v="806"/>
    <s v="PANCA DA PESISTICA E PER ADDOMINALI"/>
    <n v="65"/>
    <n v="65"/>
    <s v="Approved"/>
    <s v="24-10-2025"/>
    <x v="12"/>
  </r>
  <r>
    <s v="PO-017462"/>
    <x v="870"/>
    <x v="807"/>
    <s v="TAPIS ROULANT"/>
    <n v="11"/>
    <n v="11"/>
    <s v="Approved"/>
    <s v="24-10-2025"/>
    <x v="12"/>
  </r>
  <r>
    <s v="PO-017462"/>
    <x v="871"/>
    <x v="808"/>
    <s v="POWER TOWER"/>
    <n v="23"/>
    <n v="23"/>
    <s v="Approved"/>
    <s v="24-10-2025"/>
    <x v="12"/>
  </r>
  <r>
    <s v="PO-017462"/>
    <x v="872"/>
    <x v="809"/>
    <s v="PROLUNGA CON AVVOLGICAVO"/>
    <n v="465"/>
    <n v="99"/>
    <s v="Approved"/>
    <s v="24-10-2025"/>
    <x v="12"/>
  </r>
  <r>
    <s v="PO-017462"/>
    <x v="873"/>
    <x v="810"/>
    <s v="VALIGETTA ATTREZZI"/>
    <n v="552"/>
    <n v="552"/>
    <s v="Approved"/>
    <s v="24-10-2025"/>
    <x v="12"/>
  </r>
  <r>
    <s v="PO-017462"/>
    <x v="874"/>
    <x v="811"/>
    <s v="SCAFFALE"/>
    <n v="311"/>
    <n v="311"/>
    <s v="Approved"/>
    <s v="24-10-2025"/>
    <x v="12"/>
  </r>
  <r>
    <s v="PO-017462"/>
    <x v="875"/>
    <x v="812"/>
    <s v="DISPENSER"/>
    <n v="97"/>
    <n v="97"/>
    <s v="Approved"/>
    <s v="24-10-2025"/>
    <x v="12"/>
  </r>
  <r>
    <s v="PO-017462"/>
    <x v="876"/>
    <x v="813"/>
    <s v="ELECTRIC KETTLE"/>
    <n v="285"/>
    <n v="285"/>
    <s v="Approved"/>
    <s v="24-10-2025"/>
    <x v="12"/>
  </r>
  <r>
    <s v="PO-017466"/>
    <x v="418"/>
    <x v="392"/>
    <s v="Cutting board - FSC Rubberwood"/>
    <n v="2392"/>
    <n v="2392"/>
    <s v="Closed"/>
    <s v="27-10-2025"/>
    <x v="31"/>
  </r>
  <r>
    <s v="PO-017473"/>
    <x v="877"/>
    <x v="814"/>
    <s v="Marvel Discs-Bistek 2026"/>
    <n v="5502960"/>
    <n v="0"/>
    <s v="Approved"/>
    <s v="28-10-2025"/>
    <x v="92"/>
  </r>
  <r>
    <s v="PO-017473"/>
    <x v="878"/>
    <x v="815"/>
    <s v="Marvel Album-Bistek 2026"/>
    <n v="81360"/>
    <n v="0"/>
    <s v="Approved"/>
    <s v="28-10-2025"/>
    <x v="92"/>
  </r>
  <r>
    <s v="PO-017473"/>
    <x v="879"/>
    <x v="816"/>
    <s v="Marvel Disc holder-Bistek 2026"/>
    <n v="61020"/>
    <n v="0"/>
    <s v="Approved"/>
    <s v="28-10-2025"/>
    <x v="92"/>
  </r>
  <r>
    <s v="PO-017477"/>
    <x v="880"/>
    <x v="817"/>
    <s v="Hardside luggage carry-on 54cm, 35l"/>
    <n v="2300"/>
    <n v="2300"/>
    <s v="Closed"/>
    <s v="28-10-2025"/>
    <x v="95"/>
  </r>
  <r>
    <s v="PO-017478"/>
    <x v="881"/>
    <x v="818"/>
    <s v="Minecraft water bottle Pig"/>
    <n v="18480"/>
    <n v="0"/>
    <s v="Approved"/>
    <s v="28-10-2025"/>
    <x v="38"/>
  </r>
  <r>
    <s v="PO-017478"/>
    <x v="882"/>
    <x v="819"/>
    <s v="Minecraft water bottle Creeper"/>
    <n v="19536"/>
    <n v="0"/>
    <s v="Approved"/>
    <s v="28-10-2025"/>
    <x v="38"/>
  </r>
  <r>
    <s v="PO-017478"/>
    <x v="883"/>
    <x v="144"/>
    <s v="Minecraft water bottle Bee"/>
    <n v="20400"/>
    <n v="0"/>
    <s v="Approved"/>
    <s v="28-10-2025"/>
    <x v="38"/>
  </r>
  <r>
    <s v="PO-017478"/>
    <x v="884"/>
    <x v="145"/>
    <s v="Minecraft water bottle Enderman"/>
    <n v="20400"/>
    <n v="0"/>
    <s v="Approved"/>
    <s v="28-10-2025"/>
    <x v="38"/>
  </r>
  <r>
    <s v="PO-017481"/>
    <x v="885"/>
    <x v="161"/>
    <s v="Minecraft Plush Enderman 16cm"/>
    <n v="49600"/>
    <n v="0"/>
    <s v="Approved"/>
    <s v="28-10-2025"/>
    <x v="2"/>
  </r>
  <r>
    <s v="PO-017481"/>
    <x v="886"/>
    <x v="162"/>
    <s v="Minecraft beach towel"/>
    <n v="18240"/>
    <n v="0"/>
    <s v="Approved"/>
    <s v="28-10-2025"/>
    <x v="2"/>
  </r>
  <r>
    <s v="PO-017483"/>
    <x v="880"/>
    <x v="817"/>
    <s v="Hardside luggage carry-on 54cm, 35l"/>
    <n v="5700"/>
    <n v="5700"/>
    <s v="Closed"/>
    <s v="29-10-2025"/>
    <x v="95"/>
  </r>
  <r>
    <s v="PO-017484"/>
    <x v="114"/>
    <x v="114"/>
    <s v="Ovendish large 38 x 26 x 7,5cm"/>
    <n v="6588"/>
    <n v="6276"/>
    <s v="Approved"/>
    <s v="29-10-2025"/>
    <x v="20"/>
  </r>
  <r>
    <s v="PO-017485"/>
    <x v="114"/>
    <x v="114"/>
    <s v="Ovendish large 38 x 26 x 7,5cm"/>
    <n v="16848"/>
    <n v="0"/>
    <s v="Approved"/>
    <s v="29-10-2025"/>
    <x v="20"/>
  </r>
  <r>
    <s v="PO-017487"/>
    <x v="887"/>
    <x v="820"/>
    <s v="PALLONE PROTOUR"/>
    <n v="162"/>
    <n v="162"/>
    <s v="Approved"/>
    <s v="29-10-2025"/>
    <x v="15"/>
  </r>
  <r>
    <s v="PO-017487"/>
    <x v="888"/>
    <x v="821"/>
    <s v="PALLONE DA BASKET MVP, MISURA 5"/>
    <n v="1554"/>
    <n v="1538"/>
    <s v="Approved"/>
    <s v="29-10-2025"/>
    <x v="15"/>
  </r>
  <r>
    <s v="PO-017487"/>
    <x v="889"/>
    <x v="822"/>
    <s v="PALLONE DA BASKET MVP, MISURA 7"/>
    <n v="780"/>
    <n v="755"/>
    <s v="Approved"/>
    <s v="29-10-2025"/>
    <x v="15"/>
  </r>
  <r>
    <s v="PO-017487"/>
    <x v="890"/>
    <x v="823"/>
    <s v="PALLONE DA MINIBASKET"/>
    <n v="178"/>
    <n v="184"/>
    <s v="Approved"/>
    <s v="29-10-2025"/>
    <x v="15"/>
  </r>
  <r>
    <s v="PO-017487"/>
    <x v="693"/>
    <x v="640"/>
    <s v="PALLONE BASKET WILSON EVOLUTION"/>
    <n v="206"/>
    <n v="205"/>
    <s v="Approved"/>
    <s v="29-10-2025"/>
    <x v="15"/>
  </r>
  <r>
    <s v="PO-017487"/>
    <x v="697"/>
    <x v="644"/>
    <s v="BORSA TRAVEL DA BASKET"/>
    <n v="79"/>
    <n v="250"/>
    <s v="Approved"/>
    <s v="29-10-2025"/>
    <x v="15"/>
  </r>
  <r>
    <s v="PO-017487"/>
    <x v="698"/>
    <x v="645"/>
    <s v="BORSA PORTA PALLONI"/>
    <n v="400"/>
    <n v="218"/>
    <s v="Approved"/>
    <s v="29-10-2025"/>
    <x v="15"/>
  </r>
  <r>
    <s v="PO-017491"/>
    <x v="264"/>
    <x v="251"/>
    <s v="Disney Pixar lunch bag Remy"/>
    <n v="36792"/>
    <n v="0"/>
    <s v="Approved"/>
    <s v="30-10-2025"/>
    <x v="21"/>
  </r>
  <r>
    <s v="PO-017491"/>
    <x v="265"/>
    <x v="252"/>
    <s v="Disney Pixar beach bag Anxiety"/>
    <n v="22680"/>
    <n v="0"/>
    <s v="Approved"/>
    <s v="30-10-2025"/>
    <x v="21"/>
  </r>
  <r>
    <s v="PO-017492"/>
    <x v="267"/>
    <x v="254"/>
    <s v="Disney Pixar beach towel Nemo"/>
    <n v="18792"/>
    <n v="0"/>
    <s v="Approved"/>
    <s v="30-10-2025"/>
    <x v="2"/>
  </r>
  <r>
    <s v="PO-017492"/>
    <x v="268"/>
    <x v="255"/>
    <s v="Disney Pixar beach towel Dory"/>
    <n v="6696"/>
    <n v="0"/>
    <s v="Approved"/>
    <s v="30-10-2025"/>
    <x v="2"/>
  </r>
  <r>
    <s v="PO-017493"/>
    <x v="269"/>
    <x v="256"/>
    <s v="Disney Pixar pouch Edna"/>
    <n v="37026"/>
    <n v="0"/>
    <s v="Approved"/>
    <s v="30-10-2025"/>
    <x v="29"/>
  </r>
  <r>
    <s v="PO-017494"/>
    <x v="263"/>
    <x v="250"/>
    <s v="Disney Pixar backpack Woody"/>
    <n v="18528"/>
    <n v="0"/>
    <s v="Approved"/>
    <s v="30-10-2025"/>
    <x v="21"/>
  </r>
  <r>
    <s v="PO-017494"/>
    <x v="264"/>
    <x v="251"/>
    <s v="Disney Pixar lunch bag Remy"/>
    <n v="43548"/>
    <n v="0"/>
    <s v="Approved"/>
    <s v="30-10-2025"/>
    <x v="21"/>
  </r>
  <r>
    <s v="PO-017494"/>
    <x v="265"/>
    <x v="252"/>
    <s v="Disney Pixar beach bag Anxiety"/>
    <n v="54138"/>
    <n v="0"/>
    <s v="Approved"/>
    <s v="30-10-2025"/>
    <x v="21"/>
  </r>
  <r>
    <s v="PO-017495"/>
    <x v="266"/>
    <x v="253"/>
    <s v="Disney Pixar drink bottle Buzz"/>
    <n v="6384"/>
    <n v="6384"/>
    <s v="Closed"/>
    <s v="30-10-2025"/>
    <x v="28"/>
  </r>
  <r>
    <s v="PO-017496"/>
    <x v="267"/>
    <x v="254"/>
    <s v="Disney Pixar beach towel Nemo"/>
    <n v="50312"/>
    <n v="0"/>
    <s v="Approved"/>
    <s v="30-10-2025"/>
    <x v="2"/>
  </r>
  <r>
    <s v="PO-017496"/>
    <x v="268"/>
    <x v="255"/>
    <s v="Disney Pixar beach towel Dory"/>
    <n v="47556"/>
    <n v="0"/>
    <s v="Approved"/>
    <s v="30-10-2025"/>
    <x v="2"/>
  </r>
  <r>
    <s v="PO-017497"/>
    <x v="269"/>
    <x v="256"/>
    <s v="Disney Pixar pouch Edna"/>
    <n v="39936"/>
    <n v="0"/>
    <s v="Approved"/>
    <s v="30-10-2025"/>
    <x v="29"/>
  </r>
  <r>
    <s v="PO-017498"/>
    <x v="228"/>
    <x v="215"/>
    <s v="Lid of glass storage vacuum rec. 800ml"/>
    <n v="70470"/>
    <n v="70470"/>
    <s v="Closed"/>
    <s v="30-10-2025"/>
    <x v="14"/>
  </r>
  <r>
    <s v="PO-017498"/>
    <x v="229"/>
    <x v="216"/>
    <s v="Lid of glass storage vacuum rec. 1500ml"/>
    <n v="61560"/>
    <n v="61560"/>
    <s v="Closed"/>
    <s v="30-10-2025"/>
    <x v="14"/>
  </r>
  <r>
    <s v="PO-017498"/>
    <x v="230"/>
    <x v="217"/>
    <s v="Lid of glass storage vacuum rec. 2600ml"/>
    <n v="49080"/>
    <n v="49080"/>
    <s v="Closed"/>
    <s v="30-10-2025"/>
    <x v="14"/>
  </r>
  <r>
    <s v="PO-017498"/>
    <x v="430"/>
    <x v="249"/>
    <s v="Vacuum pump - Manual"/>
    <n v="39888"/>
    <n v="39888"/>
    <s v="Closed"/>
    <s v="30-10-2025"/>
    <x v="14"/>
  </r>
  <r>
    <s v="PO-017498"/>
    <x v="429"/>
    <x v="402"/>
    <s v="Lid of glass storage vacuum rnd 1100ml"/>
    <n v="7020"/>
    <n v="7020"/>
    <s v="Closed"/>
    <s v="30-10-2025"/>
    <x v="14"/>
  </r>
  <r>
    <s v="PO-017500"/>
    <x v="534"/>
    <x v="499"/>
    <s v="Glass storage vacuum md 1100m"/>
    <n v="2676"/>
    <n v="0"/>
    <s v="Approved"/>
    <s v="27-11-2025"/>
    <x v="27"/>
  </r>
  <r>
    <s v="PO-017500"/>
    <x v="535"/>
    <x v="211"/>
    <s v="Glass storage Vacuum rec. 800ml"/>
    <n v="74023"/>
    <n v="0"/>
    <s v="Approved"/>
    <s v="27-11-2025"/>
    <x v="27"/>
  </r>
  <r>
    <s v="PO-017500"/>
    <x v="536"/>
    <x v="212"/>
    <s v="Glass storage Vacuum rec. 1500ml"/>
    <n v="68590"/>
    <n v="0"/>
    <s v="Approved"/>
    <s v="27-11-2025"/>
    <x v="27"/>
  </r>
  <r>
    <s v="PO-017500"/>
    <x v="632"/>
    <x v="213"/>
    <s v="Glass storage Vacuum rec. 2600ml"/>
    <n v="60270"/>
    <n v="0"/>
    <s v="Approved"/>
    <s v="27-11-2025"/>
    <x v="27"/>
  </r>
  <r>
    <s v="PO-017498"/>
    <x v="891"/>
    <x v="67"/>
    <s v="Vacuum pump - Electrical"/>
    <n v="3696"/>
    <n v="3696"/>
    <s v="Closed"/>
    <s v="30-10-2025"/>
    <x v="14"/>
  </r>
  <r>
    <s v="PO-017501"/>
    <x v="228"/>
    <x v="215"/>
    <s v="Lid of glass storage vacuum rec. 800ml"/>
    <n v="63270"/>
    <n v="63270"/>
    <s v="Closed"/>
    <s v="30-10-2025"/>
    <x v="14"/>
  </r>
  <r>
    <s v="PO-017501"/>
    <x v="229"/>
    <x v="216"/>
    <s v="Lid of glass storage vacuum rec. 1500ml"/>
    <n v="56400"/>
    <n v="56400"/>
    <s v="Closed"/>
    <s v="30-10-2025"/>
    <x v="14"/>
  </r>
  <r>
    <s v="PO-017501"/>
    <x v="230"/>
    <x v="217"/>
    <s v="Lid of glass storage vacuum rec. 2600ml"/>
    <n v="48920"/>
    <n v="48920"/>
    <s v="Closed"/>
    <s v="30-10-2025"/>
    <x v="14"/>
  </r>
  <r>
    <s v="PO-017501"/>
    <x v="430"/>
    <x v="249"/>
    <s v="Vacuum pump - Manual"/>
    <n v="45776"/>
    <n v="45776"/>
    <s v="Closed"/>
    <s v="30-10-2025"/>
    <x v="14"/>
  </r>
  <r>
    <s v="PO-017501"/>
    <x v="429"/>
    <x v="402"/>
    <s v="Lid of glass storage vacuum rnd 1100ml"/>
    <n v="9990"/>
    <n v="9990"/>
    <s v="Closed"/>
    <s v="30-10-2025"/>
    <x v="14"/>
  </r>
  <r>
    <s v="PO-017501"/>
    <x v="891"/>
    <x v="67"/>
    <s v="Vacuum pump - Electrical"/>
    <n v="9584"/>
    <n v="9584"/>
    <s v="Closed"/>
    <s v="30-10-2025"/>
    <x v="14"/>
  </r>
  <r>
    <s v="PO-017502"/>
    <x v="228"/>
    <x v="215"/>
    <s v="Lid of glass storage vacuum rec. 800ml"/>
    <n v="41670"/>
    <n v="41670"/>
    <s v="Closed"/>
    <s v="30-10-2025"/>
    <x v="14"/>
  </r>
  <r>
    <s v="PO-017502"/>
    <x v="229"/>
    <x v="216"/>
    <s v="Lid of glass storage vacuum rec. 1500ml"/>
    <n v="41400"/>
    <n v="41400"/>
    <s v="Closed"/>
    <s v="30-10-2025"/>
    <x v="14"/>
  </r>
  <r>
    <s v="PO-017502"/>
    <x v="230"/>
    <x v="217"/>
    <s v="Lid of glass storage vacuum rec. 2600ml"/>
    <n v="64560"/>
    <n v="64560"/>
    <s v="Closed"/>
    <s v="30-10-2025"/>
    <x v="14"/>
  </r>
  <r>
    <s v="PO-017502"/>
    <x v="430"/>
    <x v="249"/>
    <s v="Vacuum pump - Manual"/>
    <n v="44480"/>
    <n v="44480"/>
    <s v="Closed"/>
    <s v="30-10-2025"/>
    <x v="14"/>
  </r>
  <r>
    <s v="PO-017502"/>
    <x v="429"/>
    <x v="402"/>
    <s v="Lid of glass storage vacuum rnd 1100ml"/>
    <n v="45000"/>
    <n v="45000"/>
    <s v="Closed"/>
    <s v="30-10-2025"/>
    <x v="14"/>
  </r>
  <r>
    <s v="PO-017503"/>
    <x v="628"/>
    <x v="580"/>
    <s v="Carving board"/>
    <n v="3892"/>
    <n v="3892"/>
    <s v="Closed"/>
    <s v="31-10-2025"/>
    <x v="31"/>
  </r>
  <r>
    <s v="PO-017504"/>
    <x v="628"/>
    <x v="580"/>
    <s v="Carving board"/>
    <n v="4544"/>
    <n v="0"/>
    <s v="Approved"/>
    <s v="31-10-2025"/>
    <x v="31"/>
  </r>
  <r>
    <s v="PO-017505"/>
    <x v="610"/>
    <x v="569"/>
    <s v="BBQ Cast Iron Teppanyaki Plate"/>
    <n v="4456"/>
    <n v="4456"/>
    <s v="Closed"/>
    <s v="31-10-2025"/>
    <x v="62"/>
  </r>
  <r>
    <s v="PO-017506"/>
    <x v="610"/>
    <x v="569"/>
    <s v="BBQ Cast Iron Teppanyaki Plate"/>
    <n v="4448"/>
    <n v="0"/>
    <s v="Approved"/>
    <s v="31-10-2025"/>
    <x v="62"/>
  </r>
  <r>
    <s v="PO-017507"/>
    <x v="629"/>
    <x v="581"/>
    <s v="BBQ Carving Knife"/>
    <n v="10560"/>
    <n v="10560"/>
    <s v="Closed"/>
    <s v="31-10-2025"/>
    <x v="16"/>
  </r>
  <r>
    <s v="PO-017508"/>
    <x v="629"/>
    <x v="581"/>
    <s v="BBQ Carving Knife"/>
    <n v="10596"/>
    <n v="0"/>
    <s v="Approved"/>
    <s v="31-10-2025"/>
    <x v="16"/>
  </r>
  <r>
    <s v="PO-017509"/>
    <x v="892"/>
    <x v="824"/>
    <s v="BBQ Utensil set"/>
    <n v="7446"/>
    <n v="7446"/>
    <s v="Closed"/>
    <s v="31-10-2025"/>
    <x v="61"/>
  </r>
  <r>
    <s v="PO-017510"/>
    <x v="892"/>
    <x v="824"/>
    <s v="BBQ Utensil set"/>
    <n v="9042"/>
    <n v="0"/>
    <s v="Approved"/>
    <s v="31-10-2025"/>
    <x v="61"/>
  </r>
  <r>
    <s v="PO-017517"/>
    <x v="629"/>
    <x v="581"/>
    <s v="BBQ Carving Knife"/>
    <n v="12360"/>
    <n v="12360"/>
    <s v="Closed"/>
    <s v="04-11-2025"/>
    <x v="16"/>
  </r>
  <r>
    <s v="PO-017524"/>
    <x v="420"/>
    <x v="394"/>
    <s v="Travel Bag"/>
    <n v="2916"/>
    <n v="2916"/>
    <s v="Closed"/>
    <s v="05-11-2025"/>
    <x v="73"/>
  </r>
  <r>
    <s v="PO-017530"/>
    <x v="619"/>
    <x v="578"/>
    <s v="Cutting Board"/>
    <n v="7890"/>
    <n v="7890"/>
    <s v="Approved"/>
    <s v="06-11-2025"/>
    <x v="90"/>
  </r>
  <r>
    <s v="PO-017531"/>
    <x v="620"/>
    <x v="119"/>
    <s v="Paring Knife"/>
    <n v="31554"/>
    <n v="31554"/>
    <s v="Approved"/>
    <s v="06-11-2025"/>
    <x v="16"/>
  </r>
  <r>
    <s v="PO-017531"/>
    <x v="621"/>
    <x v="120"/>
    <s v="Utility knife"/>
    <n v="34182"/>
    <n v="34182"/>
    <s v="Approved"/>
    <s v="06-11-2025"/>
    <x v="16"/>
  </r>
  <r>
    <s v="PO-017531"/>
    <x v="622"/>
    <x v="121"/>
    <s v="Bread knife"/>
    <n v="15780"/>
    <n v="15780"/>
    <s v="Approved"/>
    <s v="06-11-2025"/>
    <x v="16"/>
  </r>
  <r>
    <s v="PO-017531"/>
    <x v="623"/>
    <x v="122"/>
    <s v="Slicing knife"/>
    <n v="31554"/>
    <n v="31554"/>
    <s v="Approved"/>
    <s v="06-11-2025"/>
    <x v="16"/>
  </r>
  <r>
    <s v="PO-017531"/>
    <x v="624"/>
    <x v="98"/>
    <s v="Santoku knife"/>
    <n v="34182"/>
    <n v="34182"/>
    <s v="Approved"/>
    <s v="06-11-2025"/>
    <x v="16"/>
  </r>
  <r>
    <s v="PO-017531"/>
    <x v="625"/>
    <x v="99"/>
    <s v="Chef's knife"/>
    <n v="65736"/>
    <n v="65736"/>
    <s v="Approved"/>
    <s v="06-11-2025"/>
    <x v="16"/>
  </r>
  <r>
    <s v="PO-017531"/>
    <x v="626"/>
    <x v="73"/>
    <s v="Sharpener"/>
    <n v="13152"/>
    <n v="13152"/>
    <s v="Approved"/>
    <s v="06-11-2025"/>
    <x v="16"/>
  </r>
  <r>
    <s v="PO-017531"/>
    <x v="627"/>
    <x v="579"/>
    <s v="Kitchen Scissors"/>
    <n v="18408"/>
    <n v="18408"/>
    <s v="Approved"/>
    <s v="06-11-2025"/>
    <x v="16"/>
  </r>
  <r>
    <s v="PO-017532"/>
    <x v="633"/>
    <x v="583"/>
    <s v="Knife Block"/>
    <n v="10520"/>
    <n v="10520"/>
    <s v="Approved"/>
    <s v="06-11-2025"/>
    <x v="31"/>
  </r>
  <r>
    <s v="PO-017533"/>
    <x v="619"/>
    <x v="578"/>
    <s v="Cutting Board"/>
    <n v="7890"/>
    <n v="0"/>
    <s v="Approved"/>
    <s v="06-11-2025"/>
    <x v="90"/>
  </r>
  <r>
    <s v="PO-017534"/>
    <x v="620"/>
    <x v="119"/>
    <s v="Paring Knife"/>
    <n v="31554"/>
    <n v="0"/>
    <s v="Approved"/>
    <s v="06-11-2025"/>
    <x v="16"/>
  </r>
  <r>
    <s v="PO-017534"/>
    <x v="621"/>
    <x v="120"/>
    <s v="Utility knife"/>
    <n v="34182"/>
    <n v="0"/>
    <s v="Approved"/>
    <s v="06-11-2025"/>
    <x v="16"/>
  </r>
  <r>
    <s v="PO-017534"/>
    <x v="622"/>
    <x v="121"/>
    <s v="Bread knife"/>
    <n v="15780"/>
    <n v="0"/>
    <s v="Approved"/>
    <s v="06-11-2025"/>
    <x v="16"/>
  </r>
  <r>
    <s v="PO-017534"/>
    <x v="623"/>
    <x v="122"/>
    <s v="Slicing knife"/>
    <n v="31554"/>
    <n v="0"/>
    <s v="Approved"/>
    <s v="06-11-2025"/>
    <x v="16"/>
  </r>
  <r>
    <s v="PO-017534"/>
    <x v="624"/>
    <x v="98"/>
    <s v="Santoku knife"/>
    <n v="34182"/>
    <n v="0"/>
    <s v="Approved"/>
    <s v="06-11-2025"/>
    <x v="16"/>
  </r>
  <r>
    <s v="PO-017534"/>
    <x v="625"/>
    <x v="99"/>
    <s v="Chef's knife"/>
    <n v="65736"/>
    <n v="0"/>
    <s v="Approved"/>
    <s v="06-11-2025"/>
    <x v="16"/>
  </r>
  <r>
    <s v="PO-017534"/>
    <x v="626"/>
    <x v="73"/>
    <s v="Sharpener"/>
    <n v="13152"/>
    <n v="0"/>
    <s v="Approved"/>
    <s v="06-11-2025"/>
    <x v="16"/>
  </r>
  <r>
    <s v="PO-017534"/>
    <x v="627"/>
    <x v="579"/>
    <s v="Kitchen Scissors"/>
    <n v="18408"/>
    <n v="0"/>
    <s v="Approved"/>
    <s v="06-11-2025"/>
    <x v="16"/>
  </r>
  <r>
    <s v="PO-017535"/>
    <x v="633"/>
    <x v="583"/>
    <s v="Knife Block"/>
    <n v="10520"/>
    <n v="0"/>
    <s v="Approved"/>
    <s v="06-11-2025"/>
    <x v="31"/>
  </r>
  <r>
    <s v="PO-017537"/>
    <x v="893"/>
    <x v="825"/>
    <s v="Disney Magic Kitchen Flowpack with 4 stickers"/>
    <n v="1926400"/>
    <n v="0"/>
    <s v="Approved"/>
    <s v="07-11-2025"/>
    <x v="96"/>
  </r>
  <r>
    <s v="PO-017538"/>
    <x v="595"/>
    <x v="554"/>
    <s v="Large Bowl 17cm - 2pcs"/>
    <n v="2850"/>
    <n v="0"/>
    <s v="Approved"/>
    <s v="07-11-2025"/>
    <x v="1"/>
  </r>
  <r>
    <s v="PO-017538"/>
    <x v="314"/>
    <x v="294"/>
    <s v="Pasta plate 23cm - 2pcs"/>
    <n v="4176"/>
    <n v="0"/>
    <s v="Approved"/>
    <s v="07-11-2025"/>
    <x v="1"/>
  </r>
  <r>
    <s v="PO-017510"/>
    <x v="894"/>
    <x v="826"/>
    <s v="Veggie Grill Basket"/>
    <n v="3678"/>
    <n v="0"/>
    <s v="Approved"/>
    <s v="31-10-2025"/>
    <x v="61"/>
  </r>
  <r>
    <s v="PO-017545"/>
    <x v="221"/>
    <x v="208"/>
    <s v="Disney Stitch Album E.Leclerc"/>
    <n v="100000"/>
    <n v="100000"/>
    <s v="Closed"/>
    <s v="10-11-2025"/>
    <x v="50"/>
  </r>
  <r>
    <s v="PO-017546"/>
    <x v="371"/>
    <x v="73"/>
    <s v="Sharpener"/>
    <n v="5982"/>
    <n v="5982"/>
    <s v="Closed"/>
    <s v="11-11-2025"/>
    <x v="16"/>
  </r>
  <r>
    <s v="PO-017547"/>
    <x v="306"/>
    <x v="289"/>
    <s v="Cast Iron Grill Pan"/>
    <n v="20160"/>
    <n v="20160"/>
    <s v="Closed"/>
    <s v="11-11-2025"/>
    <x v="62"/>
  </r>
  <r>
    <s v="PO-017547"/>
    <x v="307"/>
    <x v="290"/>
    <s v="Cast Iron Casserole (24cm)"/>
    <n v="26880"/>
    <n v="26880"/>
    <s v="Closed"/>
    <s v="11-11-2025"/>
    <x v="62"/>
  </r>
  <r>
    <s v="PO-017550"/>
    <x v="304"/>
    <x v="287"/>
    <s v="Rectangular tray 3,6L ( 39 x 24 x 6 cm )"/>
    <n v="51624"/>
    <n v="51624"/>
    <s v="Closed"/>
    <s v="11-11-2025"/>
    <x v="60"/>
  </r>
  <r>
    <s v="PO-017554"/>
    <x v="378"/>
    <x v="353"/>
    <s v="Saucepan 16cm w/o lid"/>
    <n v="20000"/>
    <n v="9000"/>
    <s v="Approved"/>
    <s v="12-11-2025"/>
    <x v="19"/>
  </r>
  <r>
    <s v="PO-017554"/>
    <x v="382"/>
    <x v="357"/>
    <s v="Frying pan, 24cm, ceramic coated"/>
    <n v="15000"/>
    <n v="6840"/>
    <s v="Approved"/>
    <s v="12-11-2025"/>
    <x v="19"/>
  </r>
  <r>
    <s v="PO-017554"/>
    <x v="383"/>
    <x v="358"/>
    <s v="Frying pan, 28cm, ceramic coated"/>
    <n v="18500"/>
    <n v="12000"/>
    <s v="Approved"/>
    <s v="12-11-2025"/>
    <x v="19"/>
  </r>
  <r>
    <s v="PO-017557"/>
    <x v="895"/>
    <x v="827"/>
    <s v="Disney X Loblaw 3.0 Stickerspack for free FR"/>
    <n v="8017134"/>
    <n v="0"/>
    <s v="Approved"/>
    <s v="12-11-2025"/>
    <x v="50"/>
  </r>
  <r>
    <s v="PO-017558"/>
    <x v="896"/>
    <x v="828"/>
    <s v="Disney X Loblaw 3.0 Album for stickers FR"/>
    <n v="77002"/>
    <n v="0"/>
    <s v="Approved"/>
    <s v="12-11-2025"/>
    <x v="50"/>
  </r>
  <r>
    <s v="PO-017559"/>
    <x v="897"/>
    <x v="829"/>
    <s v="Disney X Loblaw 3.0 Album for stickers EN"/>
    <n v="115500"/>
    <n v="0"/>
    <s v="Approved"/>
    <s v="12-11-2025"/>
    <x v="50"/>
  </r>
  <r>
    <s v="PO-017560"/>
    <x v="897"/>
    <x v="829"/>
    <s v="Disney X Loblaw 3.0 Album for stickers EN"/>
    <n v="36659"/>
    <n v="0"/>
    <s v="Approved"/>
    <s v="12-11-2025"/>
    <x v="50"/>
  </r>
  <r>
    <s v="PO-017561"/>
    <x v="897"/>
    <x v="829"/>
    <s v="Disney X Loblaw 3.0 Album for stickers EN"/>
    <n v="115500"/>
    <n v="0"/>
    <s v="Approved"/>
    <s v="12-11-2025"/>
    <x v="50"/>
  </r>
  <r>
    <s v="PO-017562"/>
    <x v="897"/>
    <x v="829"/>
    <s v="Disney X Loblaw 3.0 Album for stickers EN"/>
    <n v="115500"/>
    <n v="0"/>
    <s v="Approved"/>
    <s v="12-11-2025"/>
    <x v="50"/>
  </r>
  <r>
    <s v="PO-017563"/>
    <x v="897"/>
    <x v="829"/>
    <s v="Disney X Loblaw 3.0 Album for stickers EN"/>
    <n v="17660"/>
    <n v="0"/>
    <s v="Approved"/>
    <s v="12-11-2025"/>
    <x v="50"/>
  </r>
  <r>
    <s v="PO-017564"/>
    <x v="898"/>
    <x v="830"/>
    <s v="Disney X Loblaw 3.0 Stickerspack for free EN"/>
    <n v="11400000"/>
    <n v="0"/>
    <s v="Approved"/>
    <s v="12-11-2025"/>
    <x v="50"/>
  </r>
  <r>
    <s v="PO-017565"/>
    <x v="898"/>
    <x v="830"/>
    <s v="Disney X Loblaw 3.0 Stickerspack for free EN"/>
    <n v="5700000"/>
    <n v="0"/>
    <s v="Approved"/>
    <s v="12-11-2025"/>
    <x v="50"/>
  </r>
  <r>
    <s v="PO-017566"/>
    <x v="898"/>
    <x v="830"/>
    <s v="Disney X Loblaw 3.0 Stickerspack for free EN"/>
    <n v="11400000"/>
    <n v="0"/>
    <s v="Approved"/>
    <s v="12-11-2025"/>
    <x v="50"/>
  </r>
  <r>
    <s v="PO-017567"/>
    <x v="898"/>
    <x v="830"/>
    <s v="Disney X Loblaw 3.0 Stickerspack for free EN"/>
    <n v="5700000"/>
    <n v="0"/>
    <s v="Approved"/>
    <s v="12-11-2025"/>
    <x v="50"/>
  </r>
  <r>
    <s v="PO-017568"/>
    <x v="898"/>
    <x v="830"/>
    <s v="Disney X Loblaw 3.0 Stickerspack for free EN"/>
    <n v="7531466"/>
    <n v="0"/>
    <s v="Approved"/>
    <s v="12-11-2025"/>
    <x v="50"/>
  </r>
  <r>
    <s v="PO-017569"/>
    <x v="221"/>
    <x v="208"/>
    <s v="Disney Stitch Album E.Leclerc"/>
    <n v="100000"/>
    <n v="100000"/>
    <s v="Closed"/>
    <s v="12-11-2025"/>
    <x v="50"/>
  </r>
  <r>
    <s v="PO-017577"/>
    <x v="899"/>
    <x v="831"/>
    <s v="Cabin trolley"/>
    <n v="9000"/>
    <n v="0"/>
    <s v="Approved"/>
    <s v="13-11-2025"/>
    <x v="95"/>
  </r>
  <r>
    <s v="PO-017578"/>
    <x v="415"/>
    <x v="389"/>
    <s v="Waist bag"/>
    <n v="15330"/>
    <n v="15330"/>
    <s v="Closed"/>
    <s v="13-11-2025"/>
    <x v="71"/>
  </r>
  <r>
    <s v="PO-017579"/>
    <x v="413"/>
    <x v="387"/>
    <s v="Vanity Bag"/>
    <n v="24852"/>
    <n v="24852"/>
    <s v="Closed"/>
    <s v="13-11-2025"/>
    <x v="71"/>
  </r>
  <r>
    <s v="PO-017579"/>
    <x v="412"/>
    <x v="386"/>
    <s v="Backpack"/>
    <n v="11766"/>
    <n v="11766"/>
    <s v="Closed"/>
    <s v="13-11-2025"/>
    <x v="71"/>
  </r>
  <r>
    <s v="PO-017579"/>
    <x v="414"/>
    <x v="388"/>
    <s v="Duffel"/>
    <n v="4568"/>
    <n v="4568"/>
    <s v="Closed"/>
    <s v="13-11-2025"/>
    <x v="71"/>
  </r>
  <r>
    <s v="PO-017579"/>
    <x v="415"/>
    <x v="389"/>
    <s v="Waist bag"/>
    <n v="18048"/>
    <n v="18048"/>
    <s v="Closed"/>
    <s v="13-11-2025"/>
    <x v="71"/>
  </r>
  <r>
    <s v="PO-017583"/>
    <x v="567"/>
    <x v="528"/>
    <s v="Set 5 palloni calcio mis 4"/>
    <n v="2"/>
    <n v="2"/>
    <s v="Closed"/>
    <s v="13-11-2025"/>
    <x v="5"/>
  </r>
  <r>
    <s v="PO-018714"/>
    <x v="416"/>
    <x v="390"/>
    <s v="Microfiber sport towel"/>
    <n v="1590"/>
    <n v="1590"/>
    <s v="Closed"/>
    <s v="14-11-2025"/>
    <x v="2"/>
  </r>
  <r>
    <s v="PO-019733"/>
    <x v="900"/>
    <x v="832"/>
    <s v="Disney X Loblaw 3.0 Stickerpack free EN Esso"/>
    <n v="10287360"/>
    <n v="10287360"/>
    <s v="Closed"/>
    <s v="17-11-2025"/>
    <x v="50"/>
  </r>
  <r>
    <s v="PO-019734"/>
    <x v="901"/>
    <x v="833"/>
    <s v="Disney X Loblaw 3.0 Stickerpack free FR Esso"/>
    <n v="2571840"/>
    <n v="0"/>
    <s v="Approved"/>
    <s v="17-11-2025"/>
    <x v="50"/>
  </r>
  <r>
    <s v="PO-019915"/>
    <x v="382"/>
    <x v="357"/>
    <s v="Frying pan, 24cm, ceramic coated"/>
    <n v="20000"/>
    <n v="0"/>
    <s v="Approved"/>
    <s v="19-11-2025"/>
    <x v="19"/>
  </r>
  <r>
    <s v="PO-019915"/>
    <x v="383"/>
    <x v="358"/>
    <s v="Frying pan, 28cm, ceramic coated"/>
    <n v="16500"/>
    <n v="0"/>
    <s v="Approved"/>
    <s v="19-11-2025"/>
    <x v="19"/>
  </r>
  <r>
    <s v="PO-019915"/>
    <x v="381"/>
    <x v="356"/>
    <s v="Frying pan, 20cm, ceramic coated"/>
    <n v="15000"/>
    <n v="0"/>
    <s v="Approved"/>
    <s v="19-11-2025"/>
    <x v="19"/>
  </r>
  <r>
    <s v="PO-019917"/>
    <x v="421"/>
    <x v="395"/>
    <s v="Kitchen shear"/>
    <n v="23280"/>
    <n v="23280"/>
    <s v="Closed"/>
    <s v="19-11-2025"/>
    <x v="16"/>
  </r>
  <r>
    <s v="PO-019918"/>
    <x v="266"/>
    <x v="253"/>
    <s v="Disney Pixar drink bottle Buzz"/>
    <n v="76704"/>
    <n v="0"/>
    <s v="Approved"/>
    <s v="19-11-2025"/>
    <x v="28"/>
  </r>
  <r>
    <s v="PO-019931"/>
    <x v="902"/>
    <x v="834"/>
    <s v="Vegetable Knife 80mm"/>
    <n v="48660"/>
    <n v="48660"/>
    <s v="Closed"/>
    <s v="21-11-2025"/>
    <x v="19"/>
  </r>
  <r>
    <s v="PO-019931"/>
    <x v="903"/>
    <x v="202"/>
    <s v="Utility Knife 130mm"/>
    <n v="43140"/>
    <n v="43140"/>
    <s v="Closed"/>
    <s v="21-11-2025"/>
    <x v="19"/>
  </r>
  <r>
    <s v="PO-019931"/>
    <x v="904"/>
    <x v="835"/>
    <s v="Chef´s Knife Compact 150mm"/>
    <n v="30600"/>
    <n v="30600"/>
    <s v="Closed"/>
    <s v="21-11-2025"/>
    <x v="19"/>
  </r>
  <r>
    <s v="PO-019931"/>
    <x v="905"/>
    <x v="180"/>
    <s v="Bread Knife 200mm"/>
    <n v="19480"/>
    <n v="19480"/>
    <s v="Closed"/>
    <s v="21-11-2025"/>
    <x v="19"/>
  </r>
  <r>
    <s v="PO-019931"/>
    <x v="906"/>
    <x v="400"/>
    <s v="Santoku Knife 180mm"/>
    <n v="43120"/>
    <n v="43120"/>
    <s v="Closed"/>
    <s v="21-11-2025"/>
    <x v="19"/>
  </r>
  <r>
    <s v="PO-019931"/>
    <x v="907"/>
    <x v="401"/>
    <s v="Chef´s Knife 200mm"/>
    <n v="41720"/>
    <n v="41720"/>
    <s v="Closed"/>
    <s v="21-11-2025"/>
    <x v="19"/>
  </r>
  <r>
    <s v="PO-019931"/>
    <x v="908"/>
    <x v="836"/>
    <s v="Steak knife (2pcs set)"/>
    <n v="14610"/>
    <n v="14610"/>
    <s v="Closed"/>
    <s v="21-11-2025"/>
    <x v="19"/>
  </r>
  <r>
    <s v="PO-019931"/>
    <x v="195"/>
    <x v="182"/>
    <s v="Multi-purpose kitchen shears"/>
    <n v="14100"/>
    <n v="14100"/>
    <s v="Closed"/>
    <s v="21-11-2025"/>
    <x v="19"/>
  </r>
  <r>
    <s v="PO-019960"/>
    <x v="643"/>
    <x v="593"/>
    <s v="Rectangular dish 30cm"/>
    <n v="3112"/>
    <n v="3112"/>
    <s v="Closed"/>
    <s v="26-11-2025"/>
    <x v="20"/>
  </r>
  <r>
    <s v="PO-019966"/>
    <x v="285"/>
    <x v="269"/>
    <s v="Ramekin 10cm set/2"/>
    <n v="2004"/>
    <n v="0"/>
    <s v="Approved"/>
    <s v="26-11-2025"/>
    <x v="68"/>
  </r>
  <r>
    <s v="PO-019967"/>
    <x v="213"/>
    <x v="200"/>
    <s v="Pie dish 30cm"/>
    <n v="3500"/>
    <n v="3500"/>
    <s v="Closed"/>
    <s v="26-11-2025"/>
    <x v="68"/>
  </r>
  <r>
    <s v="PO-019969"/>
    <x v="213"/>
    <x v="200"/>
    <s v="Pie dish 30cm"/>
    <n v="3752"/>
    <n v="0"/>
    <s v="Approved"/>
    <s v="27-11-2025"/>
    <x v="68"/>
  </r>
  <r>
    <s v="PO-019970"/>
    <x v="909"/>
    <x v="837"/>
    <s v="Cereal bowl 13cm set/2"/>
    <n v="7098"/>
    <n v="0"/>
    <s v="Approved"/>
    <s v="27-11-2025"/>
    <x v="20"/>
  </r>
  <r>
    <s v="PO-019973"/>
    <x v="534"/>
    <x v="499"/>
    <s v="Glass storage vacuum md 1100m"/>
    <n v="35856"/>
    <n v="0"/>
    <s v="Approved"/>
    <s v="27-11-2025"/>
    <x v="27"/>
  </r>
  <r>
    <s v="PO-019973"/>
    <x v="535"/>
    <x v="211"/>
    <s v="Glass storage Vacuum rec. 800ml"/>
    <n v="72774"/>
    <n v="0"/>
    <s v="Approved"/>
    <s v="27-11-2025"/>
    <x v="27"/>
  </r>
  <r>
    <s v="PO-019973"/>
    <x v="536"/>
    <x v="212"/>
    <s v="Glass storage Vacuum rec. 1500ml"/>
    <n v="63150"/>
    <n v="0"/>
    <s v="Approved"/>
    <s v="27-11-2025"/>
    <x v="27"/>
  </r>
  <r>
    <s v="PO-019973"/>
    <x v="632"/>
    <x v="213"/>
    <s v="Glass storage Vacuum rec. 2600ml"/>
    <n v="58860"/>
    <n v="0"/>
    <s v="Approved"/>
    <s v="27-11-2025"/>
    <x v="27"/>
  </r>
  <r>
    <s v="PO-019976"/>
    <x v="418"/>
    <x v="392"/>
    <s v="Cutting board - FSC Rubberwood"/>
    <n v="1244"/>
    <n v="1244"/>
    <s v="Closed"/>
    <s v="27-11-2025"/>
    <x v="31"/>
  </r>
  <r>
    <s v="PO-019986"/>
    <x v="902"/>
    <x v="834"/>
    <s v="Vegetable Knife 80mm"/>
    <n v="37320"/>
    <n v="0"/>
    <s v="Approved"/>
    <s v="28-11-2025"/>
    <x v="19"/>
  </r>
  <r>
    <s v="PO-019986"/>
    <x v="903"/>
    <x v="202"/>
    <s v="Utility Knife 130mm"/>
    <n v="33000"/>
    <n v="0"/>
    <s v="Approved"/>
    <s v="28-11-2025"/>
    <x v="19"/>
  </r>
  <r>
    <s v="PO-019986"/>
    <x v="904"/>
    <x v="835"/>
    <s v="Chef´s Knife Compact 150mm"/>
    <n v="25020"/>
    <n v="0"/>
    <s v="Approved"/>
    <s v="28-11-2025"/>
    <x v="19"/>
  </r>
  <r>
    <s v="PO-019986"/>
    <x v="905"/>
    <x v="180"/>
    <s v="Bread Knife 200mm"/>
    <n v="16000"/>
    <n v="0"/>
    <s v="Approved"/>
    <s v="28-11-2025"/>
    <x v="19"/>
  </r>
  <r>
    <s v="PO-019986"/>
    <x v="906"/>
    <x v="400"/>
    <s v="Santoku Knife 180mm"/>
    <n v="33000"/>
    <n v="0"/>
    <s v="Approved"/>
    <s v="28-11-2025"/>
    <x v="19"/>
  </r>
  <r>
    <s v="PO-019986"/>
    <x v="907"/>
    <x v="401"/>
    <s v="Chef´s Knife 200mm"/>
    <n v="32000"/>
    <n v="0"/>
    <s v="Approved"/>
    <s v="28-11-2025"/>
    <x v="19"/>
  </r>
  <r>
    <s v="PO-019986"/>
    <x v="908"/>
    <x v="836"/>
    <s v="Steak knife (2pcs set)"/>
    <n v="3300"/>
    <n v="0"/>
    <s v="Approved"/>
    <s v="28-11-2025"/>
    <x v="19"/>
  </r>
  <r>
    <s v="PO-019986"/>
    <x v="195"/>
    <x v="182"/>
    <s v="Multi-purpose kitchen shears"/>
    <n v="6300"/>
    <n v="0"/>
    <s v="Approved"/>
    <s v="28-11-2025"/>
    <x v="19"/>
  </r>
  <r>
    <s v="PO-019991"/>
    <x v="902"/>
    <x v="834"/>
    <s v="Vegetable Knife 80mm"/>
    <n v="19020"/>
    <n v="0"/>
    <s v="Approved"/>
    <s v="28-11-2025"/>
    <x v="19"/>
  </r>
  <r>
    <s v="PO-019991"/>
    <x v="903"/>
    <x v="202"/>
    <s v="Utility Knife 130mm"/>
    <n v="17040"/>
    <n v="0"/>
    <s v="Approved"/>
    <s v="28-11-2025"/>
    <x v="19"/>
  </r>
  <r>
    <s v="PO-019991"/>
    <x v="904"/>
    <x v="835"/>
    <s v="Chef´s Knife Compact 150mm"/>
    <n v="12540"/>
    <n v="0"/>
    <s v="Approved"/>
    <s v="28-11-2025"/>
    <x v="19"/>
  </r>
  <r>
    <s v="PO-019991"/>
    <x v="905"/>
    <x v="180"/>
    <s v="Bread Knife 200mm"/>
    <n v="8000"/>
    <n v="0"/>
    <s v="Approved"/>
    <s v="28-11-2025"/>
    <x v="19"/>
  </r>
  <r>
    <s v="PO-019991"/>
    <x v="906"/>
    <x v="400"/>
    <s v="Santoku Knife 180mm"/>
    <n v="17000"/>
    <n v="0"/>
    <s v="Approved"/>
    <s v="28-11-2025"/>
    <x v="19"/>
  </r>
  <r>
    <s v="PO-019991"/>
    <x v="907"/>
    <x v="401"/>
    <s v="Chef´s Knife 200mm"/>
    <n v="16000"/>
    <n v="0"/>
    <s v="Approved"/>
    <s v="28-11-2025"/>
    <x v="19"/>
  </r>
  <r>
    <s v="PO-019991"/>
    <x v="908"/>
    <x v="836"/>
    <s v="Steak knife (2pcs set)"/>
    <n v="5670"/>
    <n v="0"/>
    <s v="Approved"/>
    <s v="28-11-2025"/>
    <x v="19"/>
  </r>
  <r>
    <s v="PO-019991"/>
    <x v="195"/>
    <x v="182"/>
    <s v="Multi-purpose kitchen shears"/>
    <n v="6700"/>
    <n v="0"/>
    <s v="Approved"/>
    <s v="28-11-2025"/>
    <x v="19"/>
  </r>
  <r>
    <s v="PO-019992"/>
    <x v="902"/>
    <x v="834"/>
    <s v="Vegetable Knife 80mm"/>
    <n v="12900"/>
    <n v="0"/>
    <s v="Approved"/>
    <s v="28-11-2025"/>
    <x v="19"/>
  </r>
  <r>
    <s v="PO-019992"/>
    <x v="903"/>
    <x v="202"/>
    <s v="Utility Knife 130mm"/>
    <n v="11280"/>
    <n v="0"/>
    <s v="Approved"/>
    <s v="28-11-2025"/>
    <x v="19"/>
  </r>
  <r>
    <s v="PO-019992"/>
    <x v="904"/>
    <x v="835"/>
    <s v="Chef´s Knife Compact 150mm"/>
    <n v="6000"/>
    <n v="0"/>
    <s v="Approved"/>
    <s v="28-11-2025"/>
    <x v="19"/>
  </r>
  <r>
    <s v="PO-019992"/>
    <x v="905"/>
    <x v="180"/>
    <s v="Bread Knife 200mm"/>
    <n v="3680"/>
    <n v="0"/>
    <s v="Approved"/>
    <s v="28-11-2025"/>
    <x v="19"/>
  </r>
  <r>
    <s v="PO-019992"/>
    <x v="906"/>
    <x v="400"/>
    <s v="Santoku Knife 180mm"/>
    <n v="11280"/>
    <n v="0"/>
    <s v="Approved"/>
    <s v="28-11-2025"/>
    <x v="19"/>
  </r>
  <r>
    <s v="PO-019992"/>
    <x v="907"/>
    <x v="401"/>
    <s v="Chef´s Knife 200mm"/>
    <n v="11280"/>
    <n v="0"/>
    <s v="Approved"/>
    <s v="28-11-2025"/>
    <x v="19"/>
  </r>
  <r>
    <s v="PO-019996"/>
    <x v="413"/>
    <x v="387"/>
    <s v="Vanity Bag"/>
    <n v="19206"/>
    <n v="0"/>
    <s v="Approved"/>
    <s v="01-12-2025"/>
    <x v="71"/>
  </r>
  <r>
    <s v="PO-019996"/>
    <x v="412"/>
    <x v="386"/>
    <s v="Backpack"/>
    <n v="4158"/>
    <n v="0"/>
    <s v="Approved"/>
    <s v="01-12-2025"/>
    <x v="71"/>
  </r>
  <r>
    <s v="PO-019996"/>
    <x v="414"/>
    <x v="388"/>
    <s v="Duffel"/>
    <n v="6456"/>
    <n v="0"/>
    <s v="Approved"/>
    <s v="01-12-2025"/>
    <x v="71"/>
  </r>
  <r>
    <s v="PO-019997"/>
    <x v="416"/>
    <x v="390"/>
    <s v="Microfiber sport towel"/>
    <n v="1980"/>
    <n v="1980"/>
    <s v="Closed"/>
    <s v="01-12-2025"/>
    <x v="2"/>
  </r>
  <r>
    <s v="PO-019998"/>
    <x v="419"/>
    <x v="393"/>
    <s v="Rigid Trolley"/>
    <n v="2462"/>
    <n v="2462"/>
    <s v="Closed"/>
    <s v="01-12-2025"/>
    <x v="73"/>
  </r>
  <r>
    <s v="PO-020014"/>
    <x v="264"/>
    <x v="251"/>
    <s v="Disney Pixar lunch bag Remy"/>
    <n v="18648"/>
    <n v="0"/>
    <s v="Approved"/>
    <s v="02-12-2025"/>
    <x v="21"/>
  </r>
  <r>
    <s v="PO-020015"/>
    <x v="269"/>
    <x v="256"/>
    <s v="Disney Pixar pouch Edna"/>
    <n v="15972"/>
    <n v="0"/>
    <s v="Approved"/>
    <s v="02-12-2025"/>
    <x v="29"/>
  </r>
  <r>
    <s v="PO-020028"/>
    <x v="884"/>
    <x v="145"/>
    <s v="Minecraft water bottle Enderman"/>
    <n v="35496"/>
    <n v="0"/>
    <s v="Approved"/>
    <s v="03-12-2025"/>
    <x v="38"/>
  </r>
  <r>
    <s v="PO-020028"/>
    <x v="883"/>
    <x v="144"/>
    <s v="Minecraft water bottle Bee"/>
    <n v="30192"/>
    <n v="0"/>
    <s v="Approved"/>
    <s v="03-12-2025"/>
    <x v="38"/>
  </r>
  <r>
    <s v="PO-020029"/>
    <x v="885"/>
    <x v="161"/>
    <s v="Minecraft Plush Enderman 16cm"/>
    <n v="79040"/>
    <n v="0"/>
    <s v="Approved"/>
    <s v="03-12-2025"/>
    <x v="2"/>
  </r>
  <r>
    <s v="PO-020029"/>
    <x v="886"/>
    <x v="162"/>
    <s v="Minecraft beach towel"/>
    <n v="17664"/>
    <n v="0"/>
    <s v="Approved"/>
    <s v="03-12-2025"/>
    <x v="2"/>
  </r>
  <r>
    <s v="PO-020030"/>
    <x v="910"/>
    <x v="838"/>
    <s v="Minecraft set 2 cereal bowls"/>
    <n v="1"/>
    <n v="0"/>
    <s v="Closed"/>
    <s v="03-12-2025"/>
    <x v="37"/>
  </r>
  <r>
    <s v="PO-020030"/>
    <x v="911"/>
    <x v="839"/>
    <s v="Minecraft white square mug Pig"/>
    <n v="1"/>
    <n v="0"/>
    <s v="Closed"/>
    <s v="03-12-2025"/>
    <x v="37"/>
  </r>
  <r>
    <s v="PO-020030"/>
    <x v="912"/>
    <x v="840"/>
    <s v="Minecraft white square mug Creeper"/>
    <n v="1"/>
    <n v="0"/>
    <s v="Closed"/>
    <s v="03-12-2025"/>
    <x v="37"/>
  </r>
  <r>
    <s v="PO-020031"/>
    <x v="913"/>
    <x v="841"/>
    <s v="Minecraft drawstring bag collector"/>
    <n v="1"/>
    <n v="0"/>
    <s v="Closed"/>
    <s v="03-12-2025"/>
    <x v="21"/>
  </r>
  <r>
    <s v="PO-020037"/>
    <x v="633"/>
    <x v="583"/>
    <s v="Knife Block"/>
    <n v="5260"/>
    <n v="0"/>
    <s v="Approved"/>
    <s v="03-12-2025"/>
    <x v="31"/>
  </r>
  <r>
    <s v="PO-020038"/>
    <x v="619"/>
    <x v="578"/>
    <s v="Cutting Board"/>
    <n v="3948"/>
    <n v="0"/>
    <s v="Approved"/>
    <s v="03-12-2025"/>
    <x v="90"/>
  </r>
  <r>
    <s v="PO-020039"/>
    <x v="620"/>
    <x v="119"/>
    <s v="Paring Knife"/>
    <n v="15780"/>
    <n v="0"/>
    <s v="Approved"/>
    <s v="03-12-2025"/>
    <x v="16"/>
  </r>
  <r>
    <s v="PO-020039"/>
    <x v="621"/>
    <x v="120"/>
    <s v="Utility knife"/>
    <n v="17094"/>
    <n v="0"/>
    <s v="Approved"/>
    <s v="03-12-2025"/>
    <x v="16"/>
  </r>
  <r>
    <s v="PO-020039"/>
    <x v="622"/>
    <x v="121"/>
    <s v="Bread knife"/>
    <n v="7890"/>
    <n v="0"/>
    <s v="Approved"/>
    <s v="03-12-2025"/>
    <x v="16"/>
  </r>
  <r>
    <s v="PO-020039"/>
    <x v="623"/>
    <x v="122"/>
    <s v="Slicing knife"/>
    <n v="15780"/>
    <n v="0"/>
    <s v="Approved"/>
    <s v="03-12-2025"/>
    <x v="16"/>
  </r>
  <r>
    <s v="PO-020039"/>
    <x v="624"/>
    <x v="98"/>
    <s v="Santoku knife"/>
    <n v="17094"/>
    <n v="0"/>
    <s v="Approved"/>
    <s v="03-12-2025"/>
    <x v="16"/>
  </r>
  <r>
    <s v="PO-020039"/>
    <x v="625"/>
    <x v="99"/>
    <s v="Chef's knife"/>
    <n v="32868"/>
    <n v="0"/>
    <s v="Approved"/>
    <s v="03-12-2025"/>
    <x v="16"/>
  </r>
  <r>
    <s v="PO-020039"/>
    <x v="626"/>
    <x v="73"/>
    <s v="Sharpener"/>
    <n v="6576"/>
    <n v="0"/>
    <s v="Approved"/>
    <s v="03-12-2025"/>
    <x v="16"/>
  </r>
  <r>
    <s v="PO-020039"/>
    <x v="627"/>
    <x v="579"/>
    <s v="Kitchen Scissors"/>
    <n v="9204"/>
    <n v="0"/>
    <s v="Approved"/>
    <s v="03-12-2025"/>
    <x v="16"/>
  </r>
  <r>
    <s v="PO-020040"/>
    <x v="593"/>
    <x v="182"/>
    <s v="Multi-purpose kitchen shears"/>
    <n v="8700"/>
    <n v="8700"/>
    <s v="Closed"/>
    <s v="03-12-2025"/>
    <x v="19"/>
  </r>
  <r>
    <s v="PO-020056"/>
    <x v="914"/>
    <x v="842"/>
    <s v="Disney Conad IT NESpack with 4 stickers + 1 BP"/>
    <n v="3410880"/>
    <n v="3410880"/>
    <s v="Closed"/>
    <s v="04-12-2025"/>
    <x v="50"/>
  </r>
  <r>
    <s v="PO-020056"/>
    <x v="915"/>
    <x v="843"/>
    <s v="Disney Conad IT Sticker album"/>
    <n v="63360"/>
    <n v="63360"/>
    <s v="Closed"/>
    <s v="04-12-2025"/>
    <x v="50"/>
  </r>
  <r>
    <s v="PO-020057"/>
    <x v="914"/>
    <x v="842"/>
    <s v="Disney Conad IT NESpack with 4 stickers + 1 BP"/>
    <n v="3410880"/>
    <n v="3410880"/>
    <s v="Closed"/>
    <s v="04-12-2025"/>
    <x v="50"/>
  </r>
  <r>
    <s v="PO-020058"/>
    <x v="914"/>
    <x v="842"/>
    <s v="Disney Conad IT NESpack with 4 stickers + 1 BP"/>
    <n v="3410880"/>
    <n v="3410880"/>
    <s v="Closed"/>
    <s v="04-12-2025"/>
    <x v="50"/>
  </r>
  <r>
    <s v="PO-020061"/>
    <x v="914"/>
    <x v="842"/>
    <s v="Disney Conad IT NESpack with 4 stickers + 1 BP"/>
    <n v="3410880"/>
    <n v="3410880"/>
    <s v="Closed"/>
    <s v="04-12-2025"/>
    <x v="50"/>
  </r>
  <r>
    <s v="PO-020061"/>
    <x v="915"/>
    <x v="843"/>
    <s v="Disney Conad IT Sticker album"/>
    <n v="63360"/>
    <n v="63360"/>
    <s v="Closed"/>
    <s v="04-12-2025"/>
    <x v="50"/>
  </r>
  <r>
    <s v="PO-020063"/>
    <x v="915"/>
    <x v="843"/>
    <s v="Disney Conad IT Sticker album"/>
    <n v="63360"/>
    <n v="63360"/>
    <s v="Closed"/>
    <s v="04-12-2025"/>
    <x v="50"/>
  </r>
  <r>
    <s v="PO-020065"/>
    <x v="914"/>
    <x v="842"/>
    <s v="Disney Conad IT NESpack with 4 stickers + 1 BP"/>
    <n v="3410880"/>
    <n v="3410880"/>
    <s v="Closed"/>
    <s v="04-12-2025"/>
    <x v="50"/>
  </r>
  <r>
    <s v="PO-020066"/>
    <x v="915"/>
    <x v="843"/>
    <s v="Disney Conad IT Sticker album"/>
    <n v="63360"/>
    <n v="63360"/>
    <s v="Closed"/>
    <s v="04-12-2025"/>
    <x v="50"/>
  </r>
  <r>
    <s v="PO-020067"/>
    <x v="914"/>
    <x v="842"/>
    <s v="Disney Conad IT NESpack with 4 stickers + 1 BP"/>
    <n v="3410880"/>
    <n v="3410880"/>
    <s v="Approved"/>
    <s v="04-12-2025"/>
    <x v="50"/>
  </r>
  <r>
    <s v="PO-020068"/>
    <x v="915"/>
    <x v="843"/>
    <s v="Disney Conad IT Sticker album"/>
    <n v="63360"/>
    <n v="63360"/>
    <s v="Closed"/>
    <s v="04-12-2025"/>
    <x v="50"/>
  </r>
  <r>
    <s v="PO-020069"/>
    <x v="914"/>
    <x v="842"/>
    <s v="Disney Conad IT NESpack with 4 stickers + 1 BP"/>
    <n v="3410880"/>
    <n v="3410880"/>
    <s v="Closed"/>
    <s v="04-12-2025"/>
    <x v="50"/>
  </r>
  <r>
    <s v="PO-020070"/>
    <x v="915"/>
    <x v="843"/>
    <s v="Disney Conad IT Sticker album"/>
    <n v="63360"/>
    <n v="63360"/>
    <s v="Closed"/>
    <s v="04-12-2025"/>
    <x v="50"/>
  </r>
  <r>
    <s v="PO-020071"/>
    <x v="914"/>
    <x v="842"/>
    <s v="Disney Conad IT NESpack with 4 stickers + 1 BP"/>
    <n v="3410880"/>
    <n v="0"/>
    <s v="Approved"/>
    <s v="04-12-2025"/>
    <x v="50"/>
  </r>
  <r>
    <s v="PO-020072"/>
    <x v="914"/>
    <x v="842"/>
    <s v="Disney Conad IT NESpack with 4 stickers + 1 BP"/>
    <n v="3410880"/>
    <n v="0"/>
    <s v="Approved"/>
    <s v="04-12-2025"/>
    <x v="50"/>
  </r>
  <r>
    <s v="PO-020072"/>
    <x v="915"/>
    <x v="843"/>
    <s v="Disney Conad IT Sticker album"/>
    <n v="63360"/>
    <n v="0"/>
    <s v="Approved"/>
    <s v="04-12-2025"/>
    <x v="50"/>
  </r>
  <r>
    <s v="PO-020073"/>
    <x v="914"/>
    <x v="842"/>
    <s v="Disney Conad IT NESpack with 4 stickers + 1 BP"/>
    <n v="3410880"/>
    <n v="0"/>
    <s v="Approved"/>
    <s v="04-12-2025"/>
    <x v="50"/>
  </r>
  <r>
    <s v="PO-020073"/>
    <x v="915"/>
    <x v="843"/>
    <s v="Disney Conad IT Sticker album"/>
    <n v="63360"/>
    <n v="0"/>
    <s v="Approved"/>
    <s v="04-12-2025"/>
    <x v="50"/>
  </r>
  <r>
    <s v="PO-020074"/>
    <x v="914"/>
    <x v="842"/>
    <s v="Disney Conad IT NESpack with 4 stickers + 1 BP"/>
    <n v="3410880"/>
    <n v="0"/>
    <s v="Approved"/>
    <s v="04-12-2025"/>
    <x v="50"/>
  </r>
  <r>
    <s v="PO-020074"/>
    <x v="915"/>
    <x v="843"/>
    <s v="Disney Conad IT Sticker album"/>
    <n v="63360"/>
    <n v="0"/>
    <s v="Approved"/>
    <s v="04-12-2025"/>
    <x v="50"/>
  </r>
  <r>
    <s v="PO-020075"/>
    <x v="914"/>
    <x v="842"/>
    <s v="Disney Conad IT NESpack with 4 stickers + 1 BP"/>
    <n v="3100800"/>
    <n v="0"/>
    <s v="Approved"/>
    <s v="04-12-2025"/>
    <x v="50"/>
  </r>
  <r>
    <s v="PO-020075"/>
    <x v="915"/>
    <x v="843"/>
    <s v="Disney Conad IT Sticker album"/>
    <n v="90240"/>
    <n v="0"/>
    <s v="Approved"/>
    <s v="04-12-2025"/>
    <x v="50"/>
  </r>
  <r>
    <s v="PO-020076"/>
    <x v="229"/>
    <x v="216"/>
    <s v="Lid of glass storage vacuum rec. 1500ml"/>
    <n v="6000"/>
    <n v="6000"/>
    <s v="Closed"/>
    <s v="04-12-2025"/>
    <x v="14"/>
  </r>
  <r>
    <s v="PO-020076"/>
    <x v="257"/>
    <x v="244"/>
    <s v="Lid of glass storage vacuum rnd 600ml"/>
    <n v="10080"/>
    <n v="10080"/>
    <s v="Closed"/>
    <s v="04-12-2025"/>
    <x v="14"/>
  </r>
  <r>
    <s v="PO-020076"/>
    <x v="430"/>
    <x v="249"/>
    <s v="Vacuum pump - Manual"/>
    <n v="10000"/>
    <n v="10000"/>
    <s v="Closed"/>
    <s v="04-12-2025"/>
    <x v="14"/>
  </r>
  <r>
    <s v="PO-020076"/>
    <x v="429"/>
    <x v="402"/>
    <s v="Lid of glass storage vacuum rnd 1100ml"/>
    <n v="6030"/>
    <n v="6030"/>
    <s v="Closed"/>
    <s v="04-12-2025"/>
    <x v="14"/>
  </r>
  <r>
    <s v="PO-020077"/>
    <x v="228"/>
    <x v="215"/>
    <s v="Lid of glass storage vacuum rec. 800ml"/>
    <n v="39780"/>
    <n v="39780"/>
    <s v="Closed"/>
    <s v="04-12-2025"/>
    <x v="14"/>
  </r>
  <r>
    <s v="PO-020077"/>
    <x v="229"/>
    <x v="216"/>
    <s v="Lid of glass storage vacuum rec. 1500ml"/>
    <n v="35880"/>
    <n v="35880"/>
    <s v="Closed"/>
    <s v="04-12-2025"/>
    <x v="14"/>
  </r>
  <r>
    <s v="PO-020077"/>
    <x v="230"/>
    <x v="217"/>
    <s v="Lid of glass storage vacuum rec. 2600ml"/>
    <n v="20000"/>
    <n v="20000"/>
    <s v="Closed"/>
    <s v="04-12-2025"/>
    <x v="14"/>
  </r>
  <r>
    <s v="PO-020077"/>
    <x v="430"/>
    <x v="249"/>
    <s v="Vacuum pump - Manual"/>
    <n v="32480"/>
    <n v="32480"/>
    <s v="Closed"/>
    <s v="04-12-2025"/>
    <x v="14"/>
  </r>
  <r>
    <s v="PO-020077"/>
    <x v="429"/>
    <x v="402"/>
    <s v="Lid of glass storage vacuum rnd 1100ml"/>
    <n v="17010"/>
    <n v="17010"/>
    <s v="Closed"/>
    <s v="04-12-2025"/>
    <x v="14"/>
  </r>
  <r>
    <s v="PO-020078"/>
    <x v="570"/>
    <x v="531"/>
    <s v="Re-useable Atomizer Bottle with Figurine Lid"/>
    <n v="80016"/>
    <n v="0"/>
    <s v="Approved"/>
    <s v="05-12-2025"/>
    <x v="84"/>
  </r>
  <r>
    <s v="PO-020082"/>
    <x v="213"/>
    <x v="200"/>
    <s v="Pie dish 30cm"/>
    <n v="1000"/>
    <n v="1000"/>
    <s v="Closed"/>
    <s v="05-12-2025"/>
    <x v="68"/>
  </r>
  <r>
    <s v="PO-011304"/>
    <x v="244"/>
    <x v="231"/>
    <s v="Set 10 cuffie - adulto"/>
    <n v="1"/>
    <n v="0"/>
    <s v="Closed"/>
    <s v="14-04-2025"/>
    <x v="10"/>
  </r>
  <r>
    <s v="PO-020087"/>
    <x v="425"/>
    <x v="398"/>
    <s v="Cast iron casserole 24cm"/>
    <n v="20000"/>
    <n v="20000"/>
    <s v="Closed"/>
    <s v="08-12-2025"/>
    <x v="62"/>
  </r>
  <r>
    <s v="PO-020089"/>
    <x v="916"/>
    <x v="844"/>
    <s v="Baking sheet 40x27x2cm"/>
    <n v="45000"/>
    <n v="0"/>
    <s v="Approved"/>
    <s v="08-12-2025"/>
    <x v="75"/>
  </r>
  <r>
    <s v="PO-020091"/>
    <x v="426"/>
    <x v="399"/>
    <s v="Zester"/>
    <n v="25008"/>
    <n v="0"/>
    <s v="Approved"/>
    <s v="08-12-2025"/>
    <x v="61"/>
  </r>
  <r>
    <s v="PO-020104"/>
    <x v="278"/>
    <x v="265"/>
    <s v="Oven dish large"/>
    <n v="4320"/>
    <n v="0"/>
    <s v="Approved"/>
    <s v="10-12-2025"/>
    <x v="68"/>
  </r>
  <r>
    <s v="PO-020106"/>
    <x v="279"/>
    <x v="266"/>
    <s v="Oven dish medium"/>
    <n v="2352"/>
    <n v="0"/>
    <s v="Approved"/>
    <s v="10-12-2025"/>
    <x v="20"/>
  </r>
  <r>
    <s v="PO-020112"/>
    <x v="917"/>
    <x v="845"/>
    <s v="Disney paper discs ø45mm"/>
    <n v="11001000"/>
    <n v="0"/>
    <s v="Approved"/>
    <s v="10-12-2025"/>
    <x v="92"/>
  </r>
  <r>
    <s v="PO-020112"/>
    <x v="918"/>
    <x v="846"/>
    <s v="Disney album for paper discs"/>
    <n v="200000"/>
    <n v="0"/>
    <s v="Approved"/>
    <s v="10-12-2025"/>
    <x v="92"/>
  </r>
  <r>
    <s v="PO-020113"/>
    <x v="917"/>
    <x v="845"/>
    <s v="Disney paper discs ø45mm"/>
    <n v="5466000"/>
    <n v="0"/>
    <s v="Approved"/>
    <s v="10-12-2025"/>
    <x v="92"/>
  </r>
  <r>
    <s v="PO-020113"/>
    <x v="918"/>
    <x v="846"/>
    <s v="Disney album for paper discs"/>
    <n v="200000"/>
    <n v="0"/>
    <s v="Approved"/>
    <s v="10-12-2025"/>
    <x v="92"/>
  </r>
  <r>
    <s v="PO-020116"/>
    <x v="919"/>
    <x v="847"/>
    <s v="SS bottle 500ml"/>
    <n v="12498"/>
    <n v="654"/>
    <s v="Approved"/>
    <s v="10-12-2025"/>
    <x v="28"/>
  </r>
  <r>
    <s v="PO-020117"/>
    <x v="919"/>
    <x v="847"/>
    <s v="SS bottle 500ml"/>
    <n v="12498"/>
    <n v="0"/>
    <s v="Approved"/>
    <s v="10-12-2025"/>
    <x v="28"/>
  </r>
  <r>
    <s v="PO-020118"/>
    <x v="919"/>
    <x v="847"/>
    <s v="SS bottle 500ml"/>
    <n v="23316"/>
    <n v="0"/>
    <s v="Approved"/>
    <s v="10-12-2025"/>
    <x v="28"/>
  </r>
  <r>
    <s v="PO-020119"/>
    <x v="919"/>
    <x v="847"/>
    <s v="SS bottle 500ml"/>
    <n v="21666"/>
    <n v="0"/>
    <s v="Approved"/>
    <s v="10-12-2025"/>
    <x v="28"/>
  </r>
  <r>
    <s v="PO-020120"/>
    <x v="917"/>
    <x v="845"/>
    <s v="Disney paper discs ø45mm"/>
    <n v="18600000"/>
    <n v="0"/>
    <s v="Approved"/>
    <s v="10-12-2025"/>
    <x v="92"/>
  </r>
  <r>
    <s v="PO-020120"/>
    <x v="918"/>
    <x v="846"/>
    <s v="Disney album for paper discs"/>
    <n v="200600"/>
    <n v="0"/>
    <s v="Approved"/>
    <s v="10-12-2025"/>
    <x v="92"/>
  </r>
  <r>
    <s v="PO-020120"/>
    <x v="920"/>
    <x v="848"/>
    <s v="Disney paper discs ø45mm - 3 discs per flowpack"/>
    <n v="4322700"/>
    <n v="0"/>
    <s v="Approved"/>
    <s v="10-12-2025"/>
    <x v="92"/>
  </r>
  <r>
    <s v="PO-020123"/>
    <x v="916"/>
    <x v="844"/>
    <s v="Baking sheet 40x27x2cm"/>
    <n v="20004"/>
    <n v="0"/>
    <s v="Approved"/>
    <s v="11-12-2025"/>
    <x v="75"/>
  </r>
  <r>
    <s v="PO-020124"/>
    <x v="425"/>
    <x v="398"/>
    <s v="Cast iron casserole 24cm"/>
    <n v="5000"/>
    <n v="5000"/>
    <s v="Closed"/>
    <s v="11-12-2025"/>
    <x v="62"/>
  </r>
  <r>
    <s v="PO-020141"/>
    <x v="412"/>
    <x v="386"/>
    <s v="Backpack"/>
    <n v="47538"/>
    <n v="0"/>
    <s v="Approved"/>
    <s v="12-12-2025"/>
    <x v="71"/>
  </r>
  <r>
    <s v="PO-020141"/>
    <x v="413"/>
    <x v="387"/>
    <s v="Vanity Bag"/>
    <n v="36000"/>
    <n v="0"/>
    <s v="Approved"/>
    <s v="12-12-2025"/>
    <x v="71"/>
  </r>
  <r>
    <s v="PO-020141"/>
    <x v="414"/>
    <x v="388"/>
    <s v="Duffel"/>
    <n v="40500"/>
    <n v="0"/>
    <s v="Approved"/>
    <s v="12-12-2025"/>
    <x v="71"/>
  </r>
  <r>
    <s v="PO-020141"/>
    <x v="415"/>
    <x v="389"/>
    <s v="Waist bag"/>
    <n v="25500"/>
    <n v="0"/>
    <s v="Approved"/>
    <s v="12-12-2025"/>
    <x v="71"/>
  </r>
  <r>
    <s v="PO-020142"/>
    <x v="416"/>
    <x v="390"/>
    <s v="Microfiber sport towel"/>
    <n v="48000"/>
    <n v="0"/>
    <s v="Approved"/>
    <s v="12-12-2025"/>
    <x v="2"/>
  </r>
  <r>
    <s v="PO-020143"/>
    <x v="417"/>
    <x v="391"/>
    <s v="Cap"/>
    <n v="31500"/>
    <n v="0"/>
    <s v="Approved"/>
    <s v="12-12-2025"/>
    <x v="72"/>
  </r>
  <r>
    <s v="PO-020148"/>
    <x v="388"/>
    <x v="363"/>
    <s v="KN0447-KI"/>
    <n v="2870"/>
    <n v="2870"/>
    <s v="Closed"/>
    <s v="12-12-2025"/>
    <x v="19"/>
  </r>
  <r>
    <s v="PO-020148"/>
    <x v="921"/>
    <x v="849"/>
    <s v="KN0494-ISB"/>
    <n v="1328"/>
    <n v="1328"/>
    <s v="Closed"/>
    <s v="12-12-2025"/>
    <x v="19"/>
  </r>
  <r>
    <s v="PO-020149"/>
    <x v="643"/>
    <x v="593"/>
    <s v="Rectangular dish 30cm"/>
    <n v="556"/>
    <n v="0"/>
    <s v="Approved"/>
    <s v="12-12-2025"/>
    <x v="20"/>
  </r>
  <r>
    <s v="PO-020149"/>
    <x v="909"/>
    <x v="837"/>
    <s v="Cereal bowl 13cm set/2"/>
    <n v="588"/>
    <n v="0"/>
    <s v="Approved"/>
    <s v="12-12-2025"/>
    <x v="20"/>
  </r>
  <r>
    <s v="PO-020151"/>
    <x v="922"/>
    <x v="850"/>
    <s v="Marinate Dish"/>
    <n v="1996"/>
    <n v="0"/>
    <s v="Approved"/>
    <s v="15-12-2025"/>
    <x v="14"/>
  </r>
  <r>
    <s v="PO-020152"/>
    <x v="892"/>
    <x v="824"/>
    <s v="BBQ Utensil set"/>
    <n v="18162"/>
    <n v="0"/>
    <s v="Approved"/>
    <s v="15-12-2025"/>
    <x v="61"/>
  </r>
  <r>
    <s v="PO-020153"/>
    <x v="892"/>
    <x v="824"/>
    <s v="BBQ Utensil set"/>
    <n v="12108"/>
    <n v="0"/>
    <s v="Approved"/>
    <s v="15-12-2025"/>
    <x v="61"/>
  </r>
  <r>
    <s v="PO-020154"/>
    <x v="628"/>
    <x v="580"/>
    <s v="Carving board"/>
    <n v="5044"/>
    <n v="0"/>
    <s v="Approved"/>
    <s v="15-12-2025"/>
    <x v="31"/>
  </r>
  <r>
    <s v="PO-020155"/>
    <x v="629"/>
    <x v="581"/>
    <s v="BBQ Carving Knife"/>
    <n v="28758"/>
    <n v="0"/>
    <s v="Approved"/>
    <s v="15-12-2025"/>
    <x v="16"/>
  </r>
  <r>
    <s v="PO-020155"/>
    <x v="923"/>
    <x v="851"/>
    <s v="BBQ Shears"/>
    <n v="19674"/>
    <n v="0"/>
    <s v="Approved"/>
    <s v="15-12-2025"/>
    <x v="16"/>
  </r>
  <r>
    <s v="PO-020156"/>
    <x v="629"/>
    <x v="581"/>
    <s v="BBQ Carving Knife"/>
    <n v="19164"/>
    <n v="0"/>
    <s v="Approved"/>
    <s v="15-12-2025"/>
    <x v="16"/>
  </r>
  <r>
    <s v="PO-020156"/>
    <x v="923"/>
    <x v="851"/>
    <s v="BBQ Shears"/>
    <n v="13116"/>
    <n v="0"/>
    <s v="Approved"/>
    <s v="15-12-2025"/>
    <x v="16"/>
  </r>
  <r>
    <s v="PO-020157"/>
    <x v="924"/>
    <x v="852"/>
    <s v="Single BBQ Heat Proof Mitt"/>
    <n v="10002"/>
    <n v="0"/>
    <s v="Approved"/>
    <s v="15-12-2025"/>
    <x v="29"/>
  </r>
  <r>
    <s v="PO-020177"/>
    <x v="114"/>
    <x v="114"/>
    <s v="Ovendish large 38 x 26 x 7,5cm"/>
    <n v="13716"/>
    <n v="13716"/>
    <s v="Closed"/>
    <s v="16-12-2025"/>
    <x v="20"/>
  </r>
  <r>
    <s v="PO-020179"/>
    <x v="925"/>
    <x v="853"/>
    <s v="Mini Glass Rectangular Container with Lid"/>
    <n v="24"/>
    <n v="0"/>
    <s v="Approved"/>
    <s v="17-12-2025"/>
    <x v="14"/>
  </r>
  <r>
    <s v="PO-020179"/>
    <x v="926"/>
    <x v="854"/>
    <s v="Snap Lid To-Go Container"/>
    <n v="18"/>
    <n v="0"/>
    <s v="Approved"/>
    <s v="17-12-2025"/>
    <x v="14"/>
  </r>
  <r>
    <s v="PO-020179"/>
    <x v="927"/>
    <x v="855"/>
    <s v="Small Glass Container with Lid"/>
    <n v="16"/>
    <n v="0"/>
    <s v="Approved"/>
    <s v="17-12-2025"/>
    <x v="14"/>
  </r>
  <r>
    <s v="PO-020179"/>
    <x v="928"/>
    <x v="856"/>
    <s v="Glass Cookware Dish with Lid"/>
    <n v="16"/>
    <n v="0"/>
    <s v="Approved"/>
    <s v="17-12-2025"/>
    <x v="14"/>
  </r>
  <r>
    <s v="PO-020179"/>
    <x v="929"/>
    <x v="127"/>
    <s v="Manual Vacuum Pump"/>
    <n v="24"/>
    <n v="0"/>
    <s v="Approved"/>
    <s v="17-12-2025"/>
    <x v="14"/>
  </r>
  <r>
    <s v="PO-020179"/>
    <x v="930"/>
    <x v="129"/>
    <s v="Mini Glass Container 2 pack with Lid"/>
    <n v="18"/>
    <n v="0"/>
    <s v="Approved"/>
    <s v="17-12-2025"/>
    <x v="14"/>
  </r>
  <r>
    <s v="PO-020179"/>
    <x v="931"/>
    <x v="130"/>
    <s v="Medium Glass Container with Lid"/>
    <n v="16"/>
    <n v="0"/>
    <s v="Approved"/>
    <s v="17-12-2025"/>
    <x v="14"/>
  </r>
  <r>
    <s v="PO-020180"/>
    <x v="925"/>
    <x v="853"/>
    <s v="Mini Glass Rectangular Container with Lid"/>
    <n v="192"/>
    <n v="0"/>
    <s v="Approved"/>
    <s v="17-12-2025"/>
    <x v="14"/>
  </r>
  <r>
    <s v="PO-020180"/>
    <x v="926"/>
    <x v="854"/>
    <s v="Snap Lid To-Go Container"/>
    <n v="180"/>
    <n v="0"/>
    <s v="Approved"/>
    <s v="17-12-2025"/>
    <x v="14"/>
  </r>
  <r>
    <s v="PO-020180"/>
    <x v="927"/>
    <x v="855"/>
    <s v="Small Glass Container with Lid"/>
    <n v="120"/>
    <n v="0"/>
    <s v="Approved"/>
    <s v="17-12-2025"/>
    <x v="14"/>
  </r>
  <r>
    <s v="PO-020180"/>
    <x v="928"/>
    <x v="856"/>
    <s v="Glass Cookware Dish with Lid"/>
    <n v="118"/>
    <n v="0"/>
    <s v="Approved"/>
    <s v="17-12-2025"/>
    <x v="14"/>
  </r>
  <r>
    <s v="PO-020180"/>
    <x v="929"/>
    <x v="127"/>
    <s v="Manual Vacuum Pump"/>
    <n v="156"/>
    <n v="0"/>
    <s v="Approved"/>
    <s v="17-12-2025"/>
    <x v="14"/>
  </r>
  <r>
    <s v="PO-020180"/>
    <x v="930"/>
    <x v="129"/>
    <s v="Mini Glass Container 2 pack with Lid"/>
    <n v="120"/>
    <n v="0"/>
    <s v="Approved"/>
    <s v="17-12-2025"/>
    <x v="14"/>
  </r>
  <r>
    <s v="PO-020180"/>
    <x v="931"/>
    <x v="130"/>
    <s v="Medium Glass Container with Lid"/>
    <n v="148"/>
    <n v="0"/>
    <s v="Approved"/>
    <s v="17-12-2025"/>
    <x v="14"/>
  </r>
  <r>
    <s v="PO-020181"/>
    <x v="932"/>
    <x v="857"/>
    <s v="Sauté Pan"/>
    <n v="9600"/>
    <n v="9600"/>
    <s v="Closed"/>
    <s v="17-12-2025"/>
    <x v="36"/>
  </r>
  <r>
    <s v="PO-020189"/>
    <x v="933"/>
    <x v="858"/>
    <s v="Disney Plush Mickey and Friends Mickey"/>
    <n v="48402"/>
    <n v="0"/>
    <s v="Approved"/>
    <s v="18-12-2025"/>
    <x v="93"/>
  </r>
  <r>
    <s v="PO-020189"/>
    <x v="934"/>
    <x v="859"/>
    <s v="Disney Plush Mickey and Friends Minnie"/>
    <n v="54450"/>
    <n v="0"/>
    <s v="Approved"/>
    <s v="18-12-2025"/>
    <x v="93"/>
  </r>
  <r>
    <s v="PO-020189"/>
    <x v="935"/>
    <x v="860"/>
    <s v="Disney Plush Mickey and Friends Donald"/>
    <n v="42426"/>
    <n v="0"/>
    <s v="Approved"/>
    <s v="18-12-2025"/>
    <x v="93"/>
  </r>
  <r>
    <s v="PO-020189"/>
    <x v="936"/>
    <x v="861"/>
    <s v="Disney Elsa plush"/>
    <n v="42018"/>
    <n v="0"/>
    <s v="Approved"/>
    <s v="18-12-2025"/>
    <x v="93"/>
  </r>
  <r>
    <s v="PO-020189"/>
    <x v="937"/>
    <x v="862"/>
    <s v="Plush Disney Classics Stitch"/>
    <n v="60018"/>
    <n v="0"/>
    <s v="Approved"/>
    <s v="18-12-2025"/>
    <x v="93"/>
  </r>
  <r>
    <s v="PO-020189"/>
    <x v="938"/>
    <x v="863"/>
    <s v="Plush Disney Pixar McQueen"/>
    <n v="54138"/>
    <n v="0"/>
    <s v="Approved"/>
    <s v="18-12-2025"/>
    <x v="93"/>
  </r>
  <r>
    <s v="PO-020203"/>
    <x v="939"/>
    <x v="864"/>
    <s v="Disney Mickey bag Wellness"/>
    <n v="5244"/>
    <n v="0"/>
    <s v="Approved"/>
    <s v="23-12-2025"/>
    <x v="21"/>
  </r>
  <r>
    <s v="PO-020205"/>
    <x v="940"/>
    <x v="865"/>
    <s v="Guest towel 2pc set - 40x60cm (1x milk, 1x indigo)"/>
    <n v="22044"/>
    <n v="0"/>
    <s v="Approved"/>
    <s v="23-12-2025"/>
    <x v="97"/>
  </r>
  <r>
    <s v="PO-020205"/>
    <x v="941"/>
    <x v="866"/>
    <s v="Hand towel 2pc set - 60x100cm (1x milk, 1x indigo)"/>
    <n v="22518"/>
    <n v="0"/>
    <s v="Approved"/>
    <s v="23-12-2025"/>
    <x v="97"/>
  </r>
  <r>
    <s v="PO-020205"/>
    <x v="942"/>
    <x v="867"/>
    <s v="Bath towel 80*150 cm - 76x150cm (milk)"/>
    <n v="5418"/>
    <n v="0"/>
    <s v="Approved"/>
    <s v="23-12-2025"/>
    <x v="97"/>
  </r>
  <r>
    <s v="PO-020205"/>
    <x v="943"/>
    <x v="868"/>
    <s v="Bath towel 80*150 cm - 76x150cm (indigo)"/>
    <n v="5418"/>
    <n v="0"/>
    <s v="Approved"/>
    <s v="23-12-2025"/>
    <x v="97"/>
  </r>
  <r>
    <s v="PO-020205"/>
    <x v="944"/>
    <x v="869"/>
    <s v="Bathmat - 50x80cm  (indigo)"/>
    <n v="7092"/>
    <n v="0"/>
    <s v="Approved"/>
    <s v="23-12-2025"/>
    <x v="97"/>
  </r>
  <r>
    <s v="PO-020205"/>
    <x v="945"/>
    <x v="870"/>
    <s v="Bathrobe S/M (milk)"/>
    <n v="2778"/>
    <n v="0"/>
    <s v="Approved"/>
    <s v="23-12-2025"/>
    <x v="97"/>
  </r>
  <r>
    <s v="PO-020205"/>
    <x v="946"/>
    <x v="871"/>
    <s v="Bathrobe L/XL (indigo)"/>
    <n v="3834"/>
    <n v="0"/>
    <s v="Approved"/>
    <s v="23-12-2025"/>
    <x v="97"/>
  </r>
  <r>
    <s v="PO-020204"/>
    <x v="947"/>
    <x v="872"/>
    <s v="Kids poncho - 70x70cm"/>
    <n v="5676"/>
    <n v="0"/>
    <s v="Approved"/>
    <s v="23-12-2025"/>
    <x v="2"/>
  </r>
  <r>
    <s v="PO-020204"/>
    <x v="948"/>
    <x v="873"/>
    <s v="Turban - 58x27cm (indigo)"/>
    <n v="8436"/>
    <n v="0"/>
    <s v="Approved"/>
    <s v="23-12-2025"/>
    <x v="2"/>
  </r>
  <r>
    <s v="PO-020207"/>
    <x v="62"/>
    <x v="62"/>
    <s v="Glass storage rec. S 470ml"/>
    <n v="5526"/>
    <n v="0"/>
    <s v="Approved"/>
    <s v="28-12-2025"/>
    <x v="14"/>
  </r>
  <r>
    <s v="PO-020207"/>
    <x v="68"/>
    <x v="68"/>
    <s v="Glass storage round M 820ml"/>
    <n v="2904"/>
    <n v="0"/>
    <s v="Approved"/>
    <s v="28-12-2025"/>
    <x v="14"/>
  </r>
  <r>
    <s v="PO-020207"/>
    <x v="63"/>
    <x v="63"/>
    <s v="Glass storage rec. M 800ml"/>
    <n v="5216"/>
    <n v="0"/>
    <s v="Approved"/>
    <s v="28-12-2025"/>
    <x v="14"/>
  </r>
  <r>
    <s v="PO-020207"/>
    <x v="64"/>
    <x v="64"/>
    <s v="Glass storage rec. L 1380ml"/>
    <n v="10880"/>
    <n v="0"/>
    <s v="Approved"/>
    <s v="28-12-2025"/>
    <x v="14"/>
  </r>
  <r>
    <s v="PO-020207"/>
    <x v="65"/>
    <x v="65"/>
    <s v="Glass storage round L 1500ml"/>
    <n v="2140"/>
    <n v="0"/>
    <s v="Approved"/>
    <s v="28-12-2025"/>
    <x v="14"/>
  </r>
  <r>
    <s v="PO-020208"/>
    <x v="62"/>
    <x v="62"/>
    <s v="Glass storage rec. S 470ml"/>
    <n v="5004"/>
    <n v="0"/>
    <s v="Approved"/>
    <s v="28-12-2025"/>
    <x v="14"/>
  </r>
  <r>
    <s v="PO-020208"/>
    <x v="63"/>
    <x v="63"/>
    <s v="Glass storage rec. M 800ml"/>
    <n v="5000"/>
    <n v="0"/>
    <s v="Approved"/>
    <s v="28-12-2025"/>
    <x v="14"/>
  </r>
  <r>
    <s v="PO-020208"/>
    <x v="64"/>
    <x v="64"/>
    <s v="Glass storage rec. L 1380ml"/>
    <n v="10000"/>
    <n v="0"/>
    <s v="Approved"/>
    <s v="28-12-2025"/>
    <x v="14"/>
  </r>
  <r>
    <s v="PO-020210"/>
    <x v="949"/>
    <x v="874"/>
    <s v="31-piece Screwdriver Bit &amp; Ratchet Set"/>
    <n v="18552"/>
    <n v="0"/>
    <s v="Approved"/>
    <s v="29-12-2025"/>
    <x v="22"/>
  </r>
  <r>
    <s v="PO-020210"/>
    <x v="160"/>
    <x v="154"/>
    <s v="13-in1 Repair Tool"/>
    <n v="15564"/>
    <n v="0"/>
    <s v="Approved"/>
    <s v="29-12-2025"/>
    <x v="22"/>
  </r>
  <r>
    <s v="PO-020210"/>
    <x v="274"/>
    <x v="261"/>
    <s v="Head lamp"/>
    <n v="18204"/>
    <n v="0"/>
    <s v="Approved"/>
    <s v="29-12-2025"/>
    <x v="22"/>
  </r>
  <r>
    <s v="PO-020210"/>
    <x v="950"/>
    <x v="875"/>
    <s v="Handscrewdriver Set of 3"/>
    <n v="26653"/>
    <n v="0"/>
    <s v="Approved"/>
    <s v="29-12-2025"/>
    <x v="22"/>
  </r>
  <r>
    <s v="PO-020210"/>
    <x v="951"/>
    <x v="876"/>
    <s v="Combination Piler"/>
    <n v="8916"/>
    <n v="0"/>
    <s v="Approved"/>
    <s v="29-12-2025"/>
    <x v="22"/>
  </r>
  <r>
    <s v="PO-020210"/>
    <x v="159"/>
    <x v="153"/>
    <s v="Snap-off knife"/>
    <n v="11868"/>
    <n v="0"/>
    <s v="Approved"/>
    <s v="29-12-2025"/>
    <x v="22"/>
  </r>
  <r>
    <s v="PO-020210"/>
    <x v="952"/>
    <x v="877"/>
    <s v="Zamo III laser measure incl. wheel adapter"/>
    <n v="266"/>
    <n v="0"/>
    <s v="Approved"/>
    <s v="29-12-2025"/>
    <x v="22"/>
  </r>
  <r>
    <s v="PO-020210"/>
    <x v="161"/>
    <x v="155"/>
    <s v="Multi-purpose scissors"/>
    <n v="5922"/>
    <n v="0"/>
    <s v="Approved"/>
    <s v="29-12-2025"/>
    <x v="22"/>
  </r>
  <r>
    <s v="PO-020210"/>
    <x v="953"/>
    <x v="875"/>
    <s v="Handscrewdriver Set of 3"/>
    <n v="5382"/>
    <n v="0"/>
    <s v="Approved"/>
    <s v="29-12-2025"/>
    <x v="22"/>
  </r>
  <r>
    <s v="PO-020210"/>
    <x v="954"/>
    <x v="878"/>
    <s v="Combination Plier"/>
    <n v="7682"/>
    <n v="0"/>
    <s v="Approved"/>
    <s v="29-12-2025"/>
    <x v="22"/>
  </r>
  <r>
    <s v="PO-020210"/>
    <x v="94"/>
    <x v="94"/>
    <s v="13-in-1 Multitool"/>
    <n v="2700"/>
    <n v="0"/>
    <s v="Approved"/>
    <s v="29-12-2025"/>
    <x v="22"/>
  </r>
  <r>
    <s v="PO-020210"/>
    <x v="955"/>
    <x v="879"/>
    <s v="PSM 80 A - Multisander"/>
    <n v="1459"/>
    <n v="0"/>
    <s v="Approved"/>
    <s v="29-12-2025"/>
    <x v="22"/>
  </r>
  <r>
    <s v="PO-020210"/>
    <x v="96"/>
    <x v="96"/>
    <s v="IXO7"/>
    <n v="828"/>
    <n v="0"/>
    <s v="Approved"/>
    <s v="29-12-2025"/>
    <x v="22"/>
  </r>
  <r>
    <s v="PO-020210"/>
    <x v="294"/>
    <x v="278"/>
    <s v="Easy Drill 1200 Lithium-ion cordless drill/driver"/>
    <n v="559"/>
    <n v="0"/>
    <s v="Approved"/>
    <s v="29-12-2025"/>
    <x v="22"/>
  </r>
  <r>
    <s v="PO-020210"/>
    <x v="956"/>
    <x v="880"/>
    <s v="UniversalMulti 12"/>
    <n v="183"/>
    <n v="0"/>
    <s v="Approved"/>
    <s v="29-12-2025"/>
    <x v="22"/>
  </r>
  <r>
    <s v="PO-020210"/>
    <x v="957"/>
    <x v="881"/>
    <s v="Handheld manual loppers -"/>
    <n v="213"/>
    <n v="0"/>
    <s v="Approved"/>
    <s v="29-12-2025"/>
    <x v="22"/>
  </r>
  <r>
    <s v="PO-020210"/>
    <x v="958"/>
    <x v="882"/>
    <s v="38-piece X-Line drill and screwdriver set"/>
    <n v="251"/>
    <n v="0"/>
    <s v="Approved"/>
    <s v="29-12-2025"/>
    <x v="22"/>
  </r>
  <r>
    <s v="PO-020210"/>
    <x v="959"/>
    <x v="883"/>
    <s v="Handheld manual secateurs"/>
    <n v="66"/>
    <n v="0"/>
    <s v="Approved"/>
    <s v="29-12-2025"/>
    <x v="22"/>
  </r>
  <r>
    <s v="PO-020208"/>
    <x v="68"/>
    <x v="68"/>
    <s v="Glass storage round M 820ml"/>
    <n v="2000"/>
    <n v="0"/>
    <s v="Approved"/>
    <s v="28-12-2025"/>
    <x v="14"/>
  </r>
  <r>
    <s v="PO-020212"/>
    <x v="960"/>
    <x v="884"/>
    <s v="Disney Mickey and Friends serving plate 1pc"/>
    <n v="250800"/>
    <n v="0"/>
    <s v="Approved"/>
    <s v="31-12-2025"/>
    <x v="44"/>
  </r>
  <r>
    <s v="PO-020213"/>
    <x v="960"/>
    <x v="884"/>
    <s v="Disney Mickey and Friends serving plate 1pc"/>
    <n v="250800"/>
    <n v="0"/>
    <s v="Approved"/>
    <s v="31-12-2025"/>
    <x v="44"/>
  </r>
  <r>
    <s v="PO-020214"/>
    <x v="961"/>
    <x v="885"/>
    <s v="Disney Mickey and Friends 2pc set mugs 300ml"/>
    <n v="163440"/>
    <n v="0"/>
    <s v="Approved"/>
    <s v="31-12-2025"/>
    <x v="44"/>
  </r>
  <r>
    <s v="PO-020214"/>
    <x v="962"/>
    <x v="886"/>
    <s v="Disney Mickey and Friends 2pc set bowls 520ml"/>
    <n v="207792"/>
    <n v="0"/>
    <s v="Approved"/>
    <s v="31-12-2025"/>
    <x v="44"/>
  </r>
  <r>
    <s v="PO-020214"/>
    <x v="963"/>
    <x v="887"/>
    <s v="Disney Mickey and Friends 2pc set breakfast plate 21cm"/>
    <n v="98280"/>
    <n v="0"/>
    <s v="Approved"/>
    <s v="31-12-2025"/>
    <x v="44"/>
  </r>
  <r>
    <s v="PO-020214"/>
    <x v="964"/>
    <x v="888"/>
    <s v="Disney Mickey and Friends 2pc set dinner plate 26cm"/>
    <n v="174024"/>
    <n v="0"/>
    <s v="Approved"/>
    <s v="31-12-2025"/>
    <x v="44"/>
  </r>
  <r>
    <s v="PO-020214"/>
    <x v="965"/>
    <x v="889"/>
    <s v="Disney Mickey and Friends ramekin 2pc set"/>
    <n v="195456"/>
    <n v="0"/>
    <s v="Approved"/>
    <s v="31-12-2025"/>
    <x v="44"/>
  </r>
  <r>
    <s v="PO-020215"/>
    <x v="961"/>
    <x v="885"/>
    <s v="Disney Mickey and Friends 2pc set mugs 300ml"/>
    <n v="163440"/>
    <n v="0"/>
    <s v="Approved"/>
    <s v="31-12-2025"/>
    <x v="44"/>
  </r>
  <r>
    <s v="PO-020215"/>
    <x v="962"/>
    <x v="886"/>
    <s v="Disney Mickey and Friends 2pc set bowls 520ml"/>
    <n v="207792"/>
    <n v="0"/>
    <s v="Approved"/>
    <s v="31-12-2025"/>
    <x v="44"/>
  </r>
  <r>
    <s v="PO-020215"/>
    <x v="963"/>
    <x v="887"/>
    <s v="Disney Mickey and Friends 2pc set breakfast plate 21cm"/>
    <n v="98280"/>
    <n v="0"/>
    <s v="Approved"/>
    <s v="31-12-2025"/>
    <x v="44"/>
  </r>
  <r>
    <s v="PO-020215"/>
    <x v="964"/>
    <x v="888"/>
    <s v="Disney Mickey and Friends 2pc set dinner plate 26cm"/>
    <n v="174024"/>
    <n v="0"/>
    <s v="Approved"/>
    <s v="31-12-2025"/>
    <x v="44"/>
  </r>
  <r>
    <s v="PO-020215"/>
    <x v="965"/>
    <x v="889"/>
    <s v="Disney Mickey and Friends ramekin 2pc set"/>
    <n v="195456"/>
    <n v="0"/>
    <s v="Approved"/>
    <s v="31-12-2025"/>
    <x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8934E-EEB7-42EF-A6BC-A853A2604BC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970" firstHeaderRow="1" firstDataRow="1" firstDataCol="2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366">
        <item x="770"/>
        <item x="771"/>
        <item x="342"/>
        <item x="747"/>
        <item x="746"/>
        <item x="763"/>
        <item x="652"/>
        <item x="654"/>
        <item x="780"/>
        <item x="791"/>
        <item x="766"/>
        <item x="531"/>
        <item x="532"/>
        <item x="860"/>
        <item x="778"/>
        <item x="758"/>
        <item x="567"/>
        <item x="753"/>
        <item x="748"/>
        <item x="231"/>
        <item m="1" x="1116"/>
        <item m="1" x="1112"/>
        <item x="959"/>
        <item x="957"/>
        <item m="1" x="1007"/>
        <item m="1" x="1108"/>
        <item x="161"/>
        <item m="1" x="1109"/>
        <item x="956"/>
        <item x="370"/>
        <item m="1" x="1030"/>
        <item x="93"/>
        <item x="955"/>
        <item x="372"/>
        <item x="95"/>
        <item m="1" x="1110"/>
        <item m="1" x="1158"/>
        <item m="1" x="1008"/>
        <item x="952"/>
        <item x="158"/>
        <item m="1" x="1039"/>
        <item x="294"/>
        <item m="1" x="994"/>
        <item x="96"/>
        <item m="1" x="995"/>
        <item x="743"/>
        <item x="741"/>
        <item x="739"/>
        <item x="754"/>
        <item x="745"/>
        <item x="744"/>
        <item x="752"/>
        <item x="742"/>
        <item x="738"/>
        <item x="295"/>
        <item x="17"/>
        <item x="686"/>
        <item x="687"/>
        <item x="680"/>
        <item x="756"/>
        <item x="326"/>
        <item x="761"/>
        <item x="762"/>
        <item x="327"/>
        <item x="775"/>
        <item x="757"/>
        <item x="859"/>
        <item x="60"/>
        <item x="853"/>
        <item x="515"/>
        <item x="609"/>
        <item x="466"/>
        <item x="447"/>
        <item x="568"/>
        <item x="790"/>
        <item x="50"/>
        <item x="851"/>
        <item x="356"/>
        <item x="553"/>
        <item x="357"/>
        <item x="554"/>
        <item x="684"/>
        <item x="16"/>
        <item x="450"/>
        <item x="451"/>
        <item x="666"/>
        <item x="559"/>
        <item x="250"/>
        <item x="51"/>
        <item x="584"/>
        <item x="232"/>
        <item x="658"/>
        <item x="358"/>
        <item x="551"/>
        <item x="950"/>
        <item m="1" x="997"/>
        <item x="157"/>
        <item m="1" x="1040"/>
        <item m="1" x="996"/>
        <item x="954"/>
        <item m="1" x="998"/>
        <item x="159"/>
        <item m="1" x="1113"/>
        <item x="274"/>
        <item m="1" x="1107"/>
        <item x="94"/>
        <item x="160"/>
        <item x="953"/>
        <item m="1" x="1114"/>
        <item x="951"/>
        <item m="1" x="1115"/>
        <item x="795"/>
        <item x="852"/>
        <item x="755"/>
        <item x="457"/>
        <item x="772"/>
        <item x="154"/>
        <item x="773"/>
        <item x="155"/>
        <item x="776"/>
        <item x="777"/>
        <item x="764"/>
        <item x="785"/>
        <item x="787"/>
        <item x="328"/>
        <item x="443"/>
        <item x="444"/>
        <item x="740"/>
        <item x="49"/>
        <item x="838"/>
        <item x="456"/>
        <item x="458"/>
        <item x="788"/>
        <item x="774"/>
        <item x="769"/>
        <item x="760"/>
        <item x="783"/>
        <item x="784"/>
        <item x="782"/>
        <item x="786"/>
        <item x="781"/>
        <item x="792"/>
        <item x="958"/>
        <item m="1" x="999"/>
        <item m="1" x="1111"/>
        <item x="949"/>
        <item m="1" x="1117"/>
        <item x="732"/>
        <item x="445"/>
        <item x="446"/>
        <item x="529"/>
        <item x="343"/>
        <item x="585"/>
        <item x="847"/>
        <item x="565"/>
        <item x="448"/>
        <item x="768"/>
        <item x="344"/>
        <item x="854"/>
        <item x="868"/>
        <item x="833"/>
        <item x="563"/>
        <item x="789"/>
        <item x="548"/>
        <item x="650"/>
        <item x="25"/>
        <item x="731"/>
        <item x="840"/>
        <item x="669"/>
        <item x="667"/>
        <item x="668"/>
        <item x="353"/>
        <item x="549"/>
        <item x="367"/>
        <item x="767"/>
        <item x="834"/>
        <item x="779"/>
        <item x="38"/>
        <item x="558"/>
        <item x="48"/>
        <item x="836"/>
        <item x="329"/>
        <item x="251"/>
        <item x="832"/>
        <item x="550"/>
        <item x="252"/>
        <item x="837"/>
        <item x="793"/>
        <item x="794"/>
        <item x="835"/>
        <item x="516"/>
        <item x="576"/>
        <item m="1" x="967"/>
        <item m="1" x="1044"/>
        <item m="1" x="966"/>
        <item x="583"/>
        <item x="464"/>
        <item x="825"/>
        <item x="253"/>
        <item x="826"/>
        <item m="1" x="1018"/>
        <item m="1" x="1281"/>
        <item m="1" x="1019"/>
        <item m="1" x="1282"/>
        <item m="1" x="1283"/>
        <item m="1" x="1020"/>
        <item m="1" x="1284"/>
        <item x="880"/>
        <item m="1" x="1285"/>
        <item m="1" x="1021"/>
        <item m="1" x="1286"/>
        <item m="1" x="1287"/>
        <item m="1" x="1288"/>
        <item m="1" x="1289"/>
        <item x="254"/>
        <item x="47"/>
        <item x="59"/>
        <item x="330"/>
        <item x="442"/>
        <item x="564"/>
        <item x="55"/>
        <item x="37"/>
        <item x="46"/>
        <item x="827"/>
        <item x="255"/>
        <item x="828"/>
        <item x="478"/>
        <item x="359"/>
        <item x="345"/>
        <item x="53"/>
        <item x="245"/>
        <item x="586"/>
        <item x="831"/>
        <item x="830"/>
        <item x="12"/>
        <item x="233"/>
        <item x="673"/>
        <item x="246"/>
        <item x="823"/>
        <item x="479"/>
        <item x="331"/>
        <item x="587"/>
        <item x="846"/>
        <item x="256"/>
        <item x="52"/>
        <item x="841"/>
        <item x="843"/>
        <item x="36"/>
        <item x="29"/>
        <item x="842"/>
        <item x="360"/>
        <item x="340"/>
        <item x="736"/>
        <item x="477"/>
        <item x="26"/>
        <item x="733"/>
        <item x="244"/>
        <item x="473"/>
        <item x="476"/>
        <item x="657"/>
        <item x="656"/>
        <item x="238"/>
        <item x="734"/>
        <item x="735"/>
        <item x="527"/>
        <item x="528"/>
        <item x="351"/>
        <item x="61"/>
        <item x="856"/>
        <item x="701"/>
        <item x="855"/>
        <item x="702"/>
        <item x="699"/>
        <item x="480"/>
        <item x="54"/>
        <item x="700"/>
        <item x="474"/>
        <item x="472"/>
        <item x="341"/>
        <item x="475"/>
        <item x="470"/>
        <item x="467"/>
        <item x="468"/>
        <item x="339"/>
        <item x="471"/>
        <item x="469"/>
        <item x="332"/>
        <item x="685"/>
        <item x="454"/>
        <item x="449"/>
        <item x="808"/>
        <item x="452"/>
        <item x="333"/>
        <item x="453"/>
        <item x="239"/>
        <item x="459"/>
        <item x="663"/>
        <item x="438"/>
        <item x="439"/>
        <item x="23"/>
        <item x="24"/>
        <item x="683"/>
        <item x="187"/>
        <item x="805"/>
        <item x="34"/>
        <item x="803"/>
        <item x="35"/>
        <item x="804"/>
        <item x="655"/>
        <item x="822"/>
        <item x="660"/>
        <item x="346"/>
        <item x="234"/>
        <item x="664"/>
        <item x="857"/>
        <item x="530"/>
        <item x="560"/>
        <item x="561"/>
        <item x="361"/>
        <item x="362"/>
        <item x="462"/>
        <item x="334"/>
        <item x="240"/>
        <item x="31"/>
        <item x="802"/>
        <item x="820"/>
        <item x="347"/>
        <item x="460"/>
        <item x="484"/>
        <item x="483"/>
        <item x="499"/>
        <item x="498"/>
        <item x="520"/>
        <item x="519"/>
        <item x="489"/>
        <item x="497"/>
        <item x="486"/>
        <item x="369"/>
        <item x="496"/>
        <item x="490"/>
        <item x="501"/>
        <item x="348"/>
        <item x="349"/>
        <item x="488"/>
        <item x="569"/>
        <item x="485"/>
        <item x="236"/>
        <item x="525"/>
        <item x="487"/>
        <item x="504"/>
        <item x="506"/>
        <item x="502"/>
        <item x="505"/>
        <item x="521"/>
        <item x="523"/>
        <item x="481"/>
        <item x="522"/>
        <item x="518"/>
        <item x="514"/>
        <item x="512"/>
        <item x="511"/>
        <item x="513"/>
        <item x="500"/>
        <item x="492"/>
        <item x="493"/>
        <item x="482"/>
        <item x="494"/>
        <item x="503"/>
        <item x="509"/>
        <item x="508"/>
        <item x="517"/>
        <item x="21"/>
        <item x="526"/>
        <item x="22"/>
        <item x="237"/>
        <item x="18"/>
        <item x="19"/>
        <item x="20"/>
        <item x="510"/>
        <item x="491"/>
        <item x="524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495"/>
        <item x="507"/>
        <item x="188"/>
        <item x="759"/>
        <item x="32"/>
        <item x="819"/>
        <item x="33"/>
        <item x="818"/>
        <item x="84"/>
        <item m="1" x="1280"/>
        <item m="1" x="1198"/>
        <item m="1" x="1205"/>
        <item m="1" x="1199"/>
        <item m="1" x="1206"/>
        <item m="1" x="1200"/>
        <item m="1" x="1207"/>
        <item m="1" x="1197"/>
        <item m="1" x="1201"/>
        <item x="375"/>
        <item m="1" x="1351"/>
        <item m="1" x="1352"/>
        <item m="1" x="1363"/>
        <item m="1" x="1202"/>
        <item m="1" x="1353"/>
        <item m="1" x="1354"/>
        <item m="1" x="1364"/>
        <item m="1" x="1365"/>
        <item x="377"/>
        <item m="1" x="1337"/>
        <item m="1" x="1341"/>
        <item m="1" x="1355"/>
        <item m="1" x="1338"/>
        <item m="1" x="1339"/>
        <item m="1" x="1340"/>
        <item m="1" x="1356"/>
        <item x="378"/>
        <item m="1" x="1332"/>
        <item m="1" x="1336"/>
        <item m="1" x="1333"/>
        <item m="1" x="1334"/>
        <item m="1" x="1335"/>
        <item x="376"/>
        <item m="1" x="1342"/>
        <item m="1" x="1345"/>
        <item m="1" x="1357"/>
        <item m="1" x="1203"/>
        <item m="1" x="1343"/>
        <item m="1" x="1344"/>
        <item m="1" x="1358"/>
        <item m="1" x="1359"/>
        <item x="379"/>
        <item m="1" x="1346"/>
        <item m="1" x="1350"/>
        <item m="1" x="1360"/>
        <item m="1" x="1347"/>
        <item m="1" x="1348"/>
        <item m="1" x="1349"/>
        <item m="1" x="1361"/>
        <item m="1" x="1362"/>
        <item x="115"/>
        <item x="116"/>
        <item x="108"/>
        <item x="109"/>
        <item x="111"/>
        <item m="1" x="1294"/>
        <item x="138"/>
        <item x="139"/>
        <item x="140"/>
        <item x="141"/>
        <item x="110"/>
        <item m="1" x="1274"/>
        <item x="384"/>
        <item x="385"/>
        <item x="275"/>
        <item x="393"/>
        <item x="276"/>
        <item m="1" x="985"/>
        <item m="1" x="1291"/>
        <item m="1" x="1290"/>
        <item m="1" x="1296"/>
        <item m="1" x="1297"/>
        <item m="1" x="1293"/>
        <item x="662"/>
        <item x="688"/>
        <item x="325"/>
        <item x="555"/>
        <item x="363"/>
        <item x="693"/>
        <item x="691"/>
        <item x="350"/>
        <item x="873"/>
        <item x="874"/>
        <item x="56"/>
        <item x="297"/>
        <item x="850"/>
        <item x="642"/>
        <item x="844"/>
        <item x="58"/>
        <item x="849"/>
        <item x="845"/>
        <item x="588"/>
        <item x="839"/>
        <item x="824"/>
        <item x="57"/>
        <item x="848"/>
        <item x="829"/>
        <item x="812"/>
        <item x="409"/>
        <item x="556"/>
        <item x="335"/>
        <item x="322"/>
        <item x="323"/>
        <item x="319"/>
        <item x="320"/>
        <item x="321"/>
        <item m="1" x="1037"/>
        <item x="324"/>
        <item x="821"/>
        <item x="338"/>
        <item x="799"/>
        <item m="1" x="1070"/>
        <item x="352"/>
        <item m="1" x="1141"/>
        <item m="1" x="1177"/>
        <item m="1" x="1178"/>
        <item m="1" x="1179"/>
        <item m="1" x="1180"/>
        <item m="1" x="1142"/>
        <item m="1" x="1143"/>
        <item x="13"/>
        <item x="355"/>
        <item x="465"/>
        <item x="659"/>
        <item x="796"/>
        <item m="1" x="990"/>
        <item m="1" x="986"/>
        <item m="1" x="991"/>
        <item m="1" x="987"/>
        <item m="1" x="988"/>
        <item m="1" x="992"/>
        <item m="1" x="1304"/>
        <item m="1" x="989"/>
        <item m="1" x="993"/>
        <item m="1" x="1069"/>
        <item x="192"/>
        <item m="1" x="1159"/>
        <item x="386"/>
        <item x="387"/>
        <item m="1" x="975"/>
        <item m="1" x="1160"/>
        <item x="215"/>
        <item m="1" x="1161"/>
        <item m="1" x="968"/>
        <item x="388"/>
        <item m="1" x="1162"/>
        <item x="193"/>
        <item m="1" x="1163"/>
        <item x="389"/>
        <item x="390"/>
        <item m="1" x="1164"/>
        <item x="427"/>
        <item m="1" x="1188"/>
        <item x="574"/>
        <item x="575"/>
        <item m="1" x="1042"/>
        <item x="428"/>
        <item m="1" x="1189"/>
        <item x="577"/>
        <item x="578"/>
        <item m="1" x="1303"/>
        <item m="1" x="1043"/>
        <item x="214"/>
        <item m="1" x="1165"/>
        <item x="391"/>
        <item x="392"/>
        <item m="1" x="1166"/>
        <item x="593"/>
        <item m="1" x="1208"/>
        <item x="921"/>
        <item m="1" x="1236"/>
        <item x="195"/>
        <item m="1" x="1167"/>
        <item m="1" x="1168"/>
        <item x="120"/>
        <item x="121"/>
        <item x="122"/>
        <item x="123"/>
        <item x="124"/>
        <item x="125"/>
        <item x="73"/>
        <item x="418"/>
        <item x="421"/>
        <item x="312"/>
        <item x="405"/>
        <item m="1" x="1041"/>
        <item x="422"/>
        <item x="98"/>
        <item x="99"/>
        <item m="1" x="1068"/>
        <item m="1" x="1071"/>
        <item x="371"/>
        <item x="74"/>
        <item x="902"/>
        <item x="903"/>
        <item x="905"/>
        <item x="906"/>
        <item x="907"/>
        <item x="904"/>
        <item x="908"/>
        <item x="0"/>
        <item x="118"/>
        <item x="117"/>
        <item x="126"/>
        <item x="129"/>
        <item x="130"/>
        <item x="119"/>
        <item x="85"/>
        <item x="9"/>
        <item x="82"/>
        <item x="10"/>
        <item x="90"/>
        <item x="91"/>
        <item x="86"/>
        <item x="11"/>
        <item x="92"/>
        <item x="434"/>
        <item x="435"/>
        <item x="436"/>
        <item x="437"/>
        <item x="533"/>
        <item x="431"/>
        <item x="432"/>
        <item x="433"/>
        <item x="286"/>
        <item x="291"/>
        <item x="287"/>
        <item x="290"/>
        <item m="1" x="1150"/>
        <item x="288"/>
        <item x="292"/>
        <item m="1" x="1151"/>
        <item x="289"/>
        <item x="293"/>
        <item m="1" x="1088"/>
        <item m="1" x="1089"/>
        <item m="1" x="1090"/>
        <item m="1" x="1091"/>
        <item m="1" x="1092"/>
        <item m="1" x="1093"/>
        <item m="1" x="1094"/>
        <item x="610"/>
        <item m="1" x="1095"/>
        <item x="131"/>
        <item x="929"/>
        <item x="925"/>
        <item x="133"/>
        <item x="930"/>
        <item x="272"/>
        <item x="134"/>
        <item x="931"/>
        <item x="273"/>
        <item x="926"/>
        <item x="135"/>
        <item x="132"/>
        <item x="928"/>
        <item x="927"/>
        <item x="922"/>
        <item x="892"/>
        <item x="628"/>
        <item x="629"/>
        <item x="894"/>
        <item x="923"/>
        <item x="924"/>
        <item x="412"/>
        <item x="414"/>
        <item x="413"/>
        <item x="415"/>
        <item x="410"/>
        <item x="411"/>
        <item x="416"/>
        <item x="417"/>
        <item x="919"/>
        <item x="611"/>
        <item x="615"/>
        <item x="612"/>
        <item x="616"/>
        <item x="613"/>
        <item x="617"/>
        <item x="614"/>
        <item x="618"/>
        <item x="933"/>
        <item x="934"/>
        <item x="935"/>
        <item x="893"/>
        <item x="939"/>
        <item x="961"/>
        <item x="962"/>
        <item x="963"/>
        <item x="964"/>
        <item x="960"/>
        <item x="965"/>
        <item x="220"/>
        <item x="917"/>
        <item x="920"/>
        <item x="221"/>
        <item x="918"/>
        <item x="178"/>
        <item x="639"/>
        <item x="644"/>
        <item x="936"/>
        <item x="940"/>
        <item x="941"/>
        <item x="942"/>
        <item x="943"/>
        <item x="944"/>
        <item x="945"/>
        <item x="946"/>
        <item x="947"/>
        <item x="948"/>
        <item m="1" x="1009"/>
        <item m="1" x="1010"/>
        <item m="1" x="1011"/>
        <item m="1" x="1012"/>
        <item m="1" x="1013"/>
        <item x="136"/>
        <item x="258"/>
        <item x="259"/>
        <item x="260"/>
        <item x="914"/>
        <item x="915"/>
        <item x="573"/>
        <item x="211"/>
        <item x="212"/>
        <item m="1" x="1253"/>
        <item x="937"/>
        <item x="202"/>
        <item x="218"/>
        <item x="209"/>
        <item x="210"/>
        <item m="1" x="1066"/>
        <item m="1" x="1065"/>
        <item m="1" x="1067"/>
        <item x="219"/>
        <item x="898"/>
        <item x="895"/>
        <item x="900"/>
        <item x="901"/>
        <item x="897"/>
        <item x="896"/>
        <item x="81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177"/>
        <item x="207"/>
        <item x="208"/>
        <item x="172"/>
        <item x="173"/>
        <item x="174"/>
        <item x="175"/>
        <item x="176"/>
        <item x="217"/>
        <item m="1" x="1031"/>
        <item m="1" x="1032"/>
        <item m="1" x="1033"/>
        <item m="1" x="1034"/>
        <item m="1" x="1035"/>
        <item m="1" x="1036"/>
        <item x="100"/>
        <item m="1" x="1190"/>
        <item x="101"/>
        <item m="1" x="1191"/>
        <item x="102"/>
        <item m="1" x="1192"/>
        <item x="103"/>
        <item m="1" x="1193"/>
        <item x="104"/>
        <item m="1" x="1194"/>
        <item x="105"/>
        <item m="1" x="1195"/>
        <item x="106"/>
        <item m="1" x="1182"/>
        <item x="107"/>
        <item m="1" x="1183"/>
        <item x="337"/>
        <item x="306"/>
        <item x="307"/>
        <item x="302"/>
        <item m="1" x="1185"/>
        <item x="303"/>
        <item sd="0" m="1" x="1186"/>
        <item x="304"/>
        <item m="1" x="1187"/>
        <item x="305"/>
        <item m="1" x="1230"/>
        <item m="1" x="1176"/>
        <item m="1" x="1169"/>
        <item m="1" x="1153"/>
        <item x="308"/>
        <item m="1" x="1154"/>
        <item x="373"/>
        <item m="1" x="1155"/>
        <item x="374"/>
        <item m="1" x="1156"/>
        <item x="309"/>
        <item m="1" x="1157"/>
        <item x="75"/>
        <item x="76"/>
        <item x="77"/>
        <item x="78"/>
        <item x="79"/>
        <item x="80"/>
        <item x="81"/>
        <item m="1" x="1237"/>
        <item m="1" x="1238"/>
        <item x="300"/>
        <item x="299"/>
        <item x="298"/>
        <item x="311"/>
        <item x="301"/>
        <item x="310"/>
        <item x="566"/>
        <item x="315"/>
        <item m="1" x="1239"/>
        <item m="1" x="1240"/>
        <item m="1" x="1241"/>
        <item m="1" x="1242"/>
        <item x="640"/>
        <item m="1" x="1243"/>
        <item m="1" x="1244"/>
        <item m="1" x="1204"/>
        <item m="1" x="1245"/>
        <item m="1" x="1246"/>
        <item x="316"/>
        <item x="68"/>
        <item x="65"/>
        <item x="62"/>
        <item x="63"/>
        <item x="64"/>
        <item x="66"/>
        <item m="1" x="1118"/>
        <item m="1" x="1119"/>
        <item m="1" x="1120"/>
        <item m="1" x="1121"/>
        <item m="1" x="1122"/>
        <item m="1" x="1123"/>
        <item m="1" x="1124"/>
        <item x="67"/>
        <item x="877"/>
        <item x="878"/>
        <item x="879"/>
        <item x="198"/>
        <item x="199"/>
        <item x="200"/>
        <item x="201"/>
        <item m="1" x="1170"/>
        <item x="419"/>
        <item m="1" x="1171"/>
        <item x="420"/>
        <item m="1" x="1172"/>
        <item m="1" x="1173"/>
        <item m="1" x="1174"/>
        <item x="911"/>
        <item x="912"/>
        <item x="910"/>
        <item x="881"/>
        <item x="882"/>
        <item m="1" x="1184"/>
        <item x="883"/>
        <item x="884"/>
        <item x="144"/>
        <item x="145"/>
        <item x="148"/>
        <item x="149"/>
        <item x="89"/>
        <item m="1" x="1152"/>
        <item x="3"/>
        <item x="4"/>
        <item x="5"/>
        <item x="6"/>
        <item x="7"/>
        <item x="8"/>
        <item x="885"/>
        <item x="168"/>
        <item x="169"/>
        <item x="170"/>
        <item x="167"/>
        <item x="913"/>
        <item m="1" x="1196"/>
        <item x="641"/>
        <item x="152"/>
        <item x="737"/>
        <item x="147"/>
        <item x="886"/>
        <item x="171"/>
        <item x="150"/>
        <item x="151"/>
        <item x="146"/>
        <item x="2"/>
        <item x="284"/>
        <item x="1"/>
        <item x="317"/>
        <item x="318"/>
        <item x="394"/>
        <item x="395"/>
        <item x="396"/>
        <item x="397"/>
        <item x="398"/>
        <item x="399"/>
        <item x="400"/>
        <item x="401"/>
        <item x="402"/>
        <item x="404"/>
        <item m="1" x="1210"/>
        <item x="403"/>
        <item m="1" x="1211"/>
        <item m="1" x="1212"/>
        <item x="313"/>
        <item m="1" x="1131"/>
        <item m="1" x="1126"/>
        <item m="1" x="1136"/>
        <item x="595"/>
        <item m="1" x="1132"/>
        <item m="1" x="1129"/>
        <item m="1" x="1137"/>
        <item x="594"/>
        <item m="1" x="1134"/>
        <item m="1" x="1128"/>
        <item m="1" x="1139"/>
        <item m="1" x="1084"/>
        <item m="1" x="1133"/>
        <item m="1" x="1127"/>
        <item m="1" x="1138"/>
        <item x="314"/>
        <item m="1" x="1135"/>
        <item m="1" x="1130"/>
        <item m="1" x="1140"/>
        <item m="1" x="1085"/>
        <item m="1" x="1086"/>
        <item x="580"/>
        <item x="271"/>
        <item x="270"/>
        <item x="645"/>
        <item x="646"/>
        <item x="647"/>
        <item x="83"/>
        <item x="213"/>
        <item m="1" x="1275"/>
        <item m="1" x="1268"/>
        <item m="1" x="1271"/>
        <item x="87"/>
        <item m="1" x="1247"/>
        <item m="1" x="1248"/>
        <item x="643"/>
        <item m="1" x="1276"/>
        <item m="1" x="1266"/>
        <item m="1" x="1269"/>
        <item x="88"/>
        <item m="1" x="1251"/>
        <item m="1" x="1252"/>
        <item x="285"/>
        <item m="1" x="977"/>
        <item m="1" x="1250"/>
        <item m="1" x="1249"/>
        <item x="909"/>
        <item m="1" x="1277"/>
        <item m="1" x="1267"/>
        <item m="1" x="1270"/>
        <item x="932"/>
        <item m="1" x="1306"/>
        <item m="1" x="1307"/>
        <item x="143"/>
        <item m="1" x="1305"/>
        <item x="638"/>
        <item x="634"/>
        <item x="635"/>
        <item x="636"/>
        <item x="637"/>
        <item x="156"/>
        <item x="153"/>
        <item x="938"/>
        <item x="265"/>
        <item x="263"/>
        <item x="266"/>
        <item x="264"/>
        <item x="269"/>
        <item x="267"/>
        <item x="268"/>
        <item x="191"/>
        <item m="1" x="1278"/>
        <item m="1" x="1101"/>
        <item x="185"/>
        <item m="1" x="1087"/>
        <item m="1" x="1098"/>
        <item x="189"/>
        <item m="1" x="1047"/>
        <item m="1" x="1048"/>
        <item x="190"/>
        <item m="1" x="1058"/>
        <item m="1" x="1221"/>
        <item m="1" x="1049"/>
        <item m="1" x="1222"/>
        <item m="1" x="1050"/>
        <item m="1" x="1223"/>
        <item m="1" x="1051"/>
        <item m="1" x="1052"/>
        <item m="1" x="1224"/>
        <item m="1" x="1053"/>
        <item m="1" x="1106"/>
        <item m="1" x="1099"/>
        <item m="1" x="1104"/>
        <item x="113"/>
        <item m="1" x="1232"/>
        <item m="1" x="1234"/>
        <item x="112"/>
        <item m="1" x="1100"/>
        <item m="1" x="1105"/>
        <item m="1" x="1097"/>
        <item m="1" x="1103"/>
        <item m="1" x="1096"/>
        <item m="1" x="1102"/>
        <item x="137"/>
        <item m="1" x="1233"/>
        <item m="1" x="1235"/>
        <item m="1" x="1004"/>
        <item m="1" x="1056"/>
        <item m="1" x="1057"/>
        <item m="1" x="1054"/>
        <item m="1" x="1055"/>
        <item x="631"/>
        <item x="227"/>
        <item x="257"/>
        <item x="534"/>
        <item x="222"/>
        <item x="429"/>
        <item m="1" x="1254"/>
        <item m="1" x="1258"/>
        <item x="223"/>
        <item m="1" x="1255"/>
        <item m="1" x="1259"/>
        <item x="535"/>
        <item x="224"/>
        <item x="228"/>
        <item x="536"/>
        <item x="225"/>
        <item x="229"/>
        <item x="632"/>
        <item x="226"/>
        <item x="230"/>
        <item m="1" x="1256"/>
        <item x="430"/>
        <item x="262"/>
        <item m="1" x="1257"/>
        <item m="1" x="1260"/>
        <item x="891"/>
        <item x="423"/>
        <item m="1" x="1072"/>
        <item m="1" x="1225"/>
        <item m="1" x="1073"/>
        <item x="424"/>
        <item m="1" x="1074"/>
        <item x="916"/>
        <item m="1" x="978"/>
        <item m="1" x="1302"/>
        <item x="425"/>
        <item m="1" x="1209"/>
        <item x="179"/>
        <item x="180"/>
        <item x="181"/>
        <item x="182"/>
        <item x="183"/>
        <item x="184"/>
        <item x="426"/>
        <item m="1" x="979"/>
        <item x="620"/>
        <item x="621"/>
        <item x="622"/>
        <item x="623"/>
        <item x="624"/>
        <item x="625"/>
        <item x="626"/>
        <item x="619"/>
        <item x="633"/>
        <item x="627"/>
        <item m="1" x="1227"/>
        <item m="1" x="1075"/>
        <item m="1" x="1228"/>
        <item m="1" x="1076"/>
        <item m="1" x="1229"/>
        <item m="1" x="1077"/>
        <item m="1" x="1226"/>
        <item m="1" x="980"/>
        <item x="114"/>
        <item m="1" x="1149"/>
        <item m="1" x="1144"/>
        <item m="1" x="1145"/>
        <item m="1" x="1148"/>
        <item m="1" x="1273"/>
        <item m="1" x="1272"/>
        <item m="1" x="1279"/>
        <item m="1" x="1146"/>
        <item m="1" x="1213"/>
        <item m="1" x="1216"/>
        <item m="1" x="1215"/>
        <item m="1" x="1298"/>
        <item m="1" x="1147"/>
        <item m="1" x="1214"/>
        <item m="1" x="1218"/>
        <item m="1" x="1217"/>
        <item m="1" x="1078"/>
        <item x="368"/>
        <item x="283"/>
        <item m="1" x="1017"/>
        <item x="280"/>
        <item x="579"/>
        <item m="1" x="1016"/>
        <item x="281"/>
        <item x="282"/>
        <item m="1" x="1023"/>
        <item m="1" x="1219"/>
        <item m="1" x="1024"/>
        <item m="1" x="1300"/>
        <item m="1" x="1029"/>
        <item m="1" x="1301"/>
        <item m="1" x="1025"/>
        <item m="1" x="1079"/>
        <item m="1" x="1026"/>
        <item m="1" x="1080"/>
        <item m="1" x="1027"/>
        <item m="1" x="1081"/>
        <item m="1" x="1028"/>
        <item m="1" x="1220"/>
        <item x="97"/>
        <item x="540"/>
        <item m="1" x="1125"/>
        <item x="537"/>
        <item x="538"/>
        <item x="539"/>
        <item x="541"/>
        <item x="542"/>
        <item x="543"/>
        <item x="544"/>
        <item x="545"/>
        <item x="546"/>
        <item x="547"/>
        <item x="406"/>
        <item x="407"/>
        <item x="408"/>
        <item x="596"/>
        <item x="590"/>
        <item x="592"/>
        <item x="164"/>
        <item x="165"/>
        <item x="162"/>
        <item x="591"/>
        <item x="589"/>
        <item x="142"/>
        <item x="163"/>
        <item x="166"/>
        <item x="127"/>
        <item x="128"/>
        <item x="899"/>
        <item x="216"/>
        <item m="1" x="1261"/>
        <item m="1" x="1265"/>
        <item m="1" x="1262"/>
        <item m="1" x="1263"/>
        <item m="1" x="1264"/>
        <item m="1" x="970"/>
        <item m="1" x="969"/>
        <item x="380"/>
        <item m="1" x="1308"/>
        <item m="1" x="1309"/>
        <item m="1" x="1311"/>
        <item m="1" x="1312"/>
        <item m="1" x="1319"/>
        <item m="1" x="1310"/>
        <item m="1" x="972"/>
        <item m="1" x="973"/>
        <item x="381"/>
        <item m="1" x="1313"/>
        <item m="1" x="1314"/>
        <item m="1" x="1316"/>
        <item m="1" x="1317"/>
        <item m="1" x="1318"/>
        <item m="1" x="1315"/>
        <item x="382"/>
        <item m="1" x="1320"/>
        <item m="1" x="1322"/>
        <item m="1" x="1323"/>
        <item m="1" x="1324"/>
        <item m="1" x="1325"/>
        <item m="1" x="1321"/>
        <item x="383"/>
        <item m="1" x="1326"/>
        <item m="1" x="1328"/>
        <item m="1" x="1329"/>
        <item m="1" x="1330"/>
        <item m="1" x="1331"/>
        <item m="1" x="1327"/>
        <item x="815"/>
        <item x="582"/>
        <item x="296"/>
        <item x="813"/>
        <item x="336"/>
        <item x="807"/>
        <item x="806"/>
        <item x="241"/>
        <item x="45"/>
        <item x="866"/>
        <item x="247"/>
        <item x="867"/>
        <item x="440"/>
        <item x="681"/>
        <item m="1" x="1038"/>
        <item x="364"/>
        <item x="552"/>
        <item m="1" x="1059"/>
        <item x="194"/>
        <item x="682"/>
        <item x="277"/>
        <item x="278"/>
        <item x="279"/>
        <item x="817"/>
        <item x="242"/>
        <item x="814"/>
        <item x="235"/>
        <item x="649"/>
        <item x="648"/>
        <item x="15"/>
        <item x="672"/>
        <item x="14"/>
        <item x="69"/>
        <item x="243"/>
        <item x="798"/>
        <item x="797"/>
        <item x="27"/>
        <item x="28"/>
        <item x="800"/>
        <item x="870"/>
        <item x="248"/>
        <item x="869"/>
        <item x="41"/>
        <item x="862"/>
        <item x="42"/>
        <item x="43"/>
        <item x="863"/>
        <item x="249"/>
        <item x="864"/>
        <item x="865"/>
        <item x="871"/>
        <item x="463"/>
        <item m="1" x="1003"/>
        <item m="1" x="1181"/>
        <item m="1" x="983"/>
        <item m="1" x="1002"/>
        <item m="1" x="981"/>
        <item m="1" x="1015"/>
        <item m="1" x="1014"/>
        <item m="1" x="982"/>
        <item m="1" x="984"/>
        <item m="1" x="1000"/>
        <item m="1" x="1001"/>
        <item x="441"/>
        <item m="1" x="1060"/>
        <item x="630"/>
        <item m="1" x="1061"/>
        <item m="1" x="976"/>
        <item m="1" x="1062"/>
        <item m="1" x="1063"/>
        <item m="1" x="1299"/>
        <item m="1" x="1064"/>
        <item m="1" x="1292"/>
        <item m="1" x="1295"/>
        <item m="1" x="1022"/>
        <item m="1" x="1082"/>
        <item m="1" x="1231"/>
        <item m="1" x="1083"/>
        <item x="39"/>
        <item x="858"/>
        <item x="40"/>
        <item x="861"/>
        <item x="581"/>
        <item x="354"/>
        <item x="890"/>
        <item x="694"/>
        <item x="811"/>
        <item x="30"/>
        <item x="801"/>
        <item x="872"/>
        <item x="676"/>
        <item x="679"/>
        <item x="677"/>
        <item x="678"/>
        <item m="1" x="971"/>
        <item x="809"/>
        <item x="44"/>
        <item x="562"/>
        <item x="366"/>
        <item x="205"/>
        <item x="204"/>
        <item x="196"/>
        <item x="203"/>
        <item x="206"/>
        <item x="186"/>
        <item x="197"/>
        <item x="557"/>
        <item x="671"/>
        <item x="570"/>
        <item x="572"/>
        <item x="571"/>
        <item x="661"/>
        <item x="875"/>
        <item x="365"/>
        <item x="876"/>
        <item m="1" x="1175"/>
        <item x="689"/>
        <item x="665"/>
        <item x="461"/>
        <item m="1" x="1046"/>
        <item m="1" x="1045"/>
        <item x="690"/>
        <item x="810"/>
        <item x="749"/>
        <item x="750"/>
        <item m="1" x="974"/>
        <item m="1" x="1005"/>
        <item m="1" x="1006"/>
        <item x="751"/>
        <item x="765"/>
        <item x="670"/>
        <item x="888"/>
        <item x="695"/>
        <item x="889"/>
        <item x="696"/>
        <item x="697"/>
        <item x="70"/>
        <item x="698"/>
        <item x="887"/>
        <item x="692"/>
        <item x="261"/>
        <item x="72"/>
        <item x="71"/>
        <item x="455"/>
        <item x="651"/>
        <item x="653"/>
        <item x="674"/>
        <item x="67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40">
        <item m="1" x="1025"/>
        <item m="1" x="1021"/>
        <item m="1" x="1017"/>
        <item m="1" x="1018"/>
        <item m="1" x="1019"/>
        <item m="1" x="914"/>
        <item m="1" x="913"/>
        <item m="1" x="915"/>
        <item m="1" x="1022"/>
        <item m="1" x="1016"/>
        <item m="1" x="1023"/>
        <item m="1" x="1024"/>
        <item m="1" x="916"/>
        <item m="1" x="1020"/>
        <item m="1" x="991"/>
        <item m="1" x="890"/>
        <item m="1" x="934"/>
        <item m="1" x="1175"/>
        <item m="1" x="935"/>
        <item m="1" x="1176"/>
        <item m="1" x="1177"/>
        <item m="1" x="936"/>
        <item m="1" x="1178"/>
        <item m="1" x="1179"/>
        <item m="1" x="937"/>
        <item m="1" x="1180"/>
        <item m="1" x="1181"/>
        <item m="1" x="1182"/>
        <item m="1" x="1183"/>
        <item m="1" x="990"/>
        <item m="1" x="895"/>
        <item m="1" x="896"/>
        <item m="1" x="1060"/>
        <item m="1" x="1061"/>
        <item m="1" x="1096"/>
        <item m="1" x="1097"/>
        <item m="1" x="1168"/>
        <item m="1" x="1195"/>
        <item m="1" x="989"/>
        <item m="1" x="908"/>
        <item m="1" x="1202"/>
        <item m="1" x="980"/>
        <item m="1" x="1214"/>
        <item m="1" x="1218"/>
        <item m="1" x="1211"/>
        <item m="1" x="1222"/>
        <item m="1" x="1210"/>
        <item m="1" x="1206"/>
        <item m="1" x="1238"/>
        <item m="1" x="1213"/>
        <item m="1" x="1233"/>
        <item m="1" x="1234"/>
        <item m="1" x="1209"/>
        <item m="1" x="1228"/>
        <item m="1" x="1236"/>
        <item m="1" x="1215"/>
        <item m="1" x="1203"/>
        <item m="1" x="1219"/>
        <item m="1" x="1207"/>
        <item m="1" x="1212"/>
        <item m="1" x="1216"/>
        <item m="1" x="1208"/>
        <item m="1" x="1205"/>
        <item m="1" x="1225"/>
        <item m="1" x="1232"/>
        <item m="1" x="1230"/>
        <item m="1" x="1217"/>
        <item m="1" x="1065"/>
        <item m="1" x="891"/>
        <item m="1" x="1067"/>
        <item m="1" x="1069"/>
        <item m="1" x="955"/>
        <item m="1" x="1197"/>
        <item m="1" x="956"/>
        <item m="1" x="1071"/>
        <item m="1" x="1130"/>
        <item m="1" x="1073"/>
        <item m="1" x="1072"/>
        <item m="1" x="1147"/>
        <item m="1" x="1124"/>
        <item m="1" x="1063"/>
        <item m="1" x="1131"/>
        <item m="1" x="1132"/>
        <item m="1" x="1133"/>
        <item m="1" x="1134"/>
        <item m="1" x="1135"/>
        <item m="1" x="1136"/>
        <item m="1" x="1137"/>
        <item m="1" x="1138"/>
        <item m="1" x="1099"/>
        <item m="1" x="1139"/>
        <item m="1" x="1140"/>
        <item m="1" x="1039"/>
        <item m="1" x="1034"/>
        <item m="1" x="1044"/>
        <item m="1" x="1040"/>
        <item m="1" x="1042"/>
        <item m="1" x="1047"/>
        <item m="1" x="1041"/>
        <item m="1" x="1035"/>
        <item m="1" x="1046"/>
        <item m="1" x="1043"/>
        <item m="1" x="1038"/>
        <item m="1" x="1048"/>
        <item m="1" x="1169"/>
        <item m="1" x="1162"/>
        <item m="1" x="1165"/>
        <item m="1" x="1141"/>
        <item m="1" x="1142"/>
        <item m="1" x="1170"/>
        <item m="1" x="1160"/>
        <item m="1" x="1163"/>
        <item m="1" x="1145"/>
        <item m="1" x="1146"/>
        <item m="1" x="1144"/>
        <item m="1" x="900"/>
        <item m="1" x="1143"/>
        <item m="1" x="1171"/>
        <item m="1" x="1161"/>
        <item m="1" x="1164"/>
        <item m="1" x="1200"/>
        <item m="1" x="1201"/>
        <item m="1" x="1199"/>
        <item m="1" x="1172"/>
        <item m="1" x="1010"/>
        <item m="1" x="1007"/>
        <item m="1" x="959"/>
        <item m="1" x="970"/>
        <item m="1" x="961"/>
        <item m="1" x="962"/>
        <item m="1" x="963"/>
        <item m="1" x="965"/>
        <item m="1" x="1015"/>
        <item m="1" x="1008"/>
        <item m="1" x="1013"/>
        <item m="1" x="1126"/>
        <item m="1" x="1128"/>
        <item m="1" x="1009"/>
        <item m="1" x="1014"/>
        <item m="1" x="1006"/>
        <item m="1" x="1012"/>
        <item m="1" x="1005"/>
        <item m="1" x="1011"/>
        <item m="1" x="1127"/>
        <item m="1" x="1129"/>
        <item m="1" x="968"/>
        <item m="1" x="966"/>
        <item m="1" x="1152"/>
        <item m="1" x="1148"/>
        <item m="1" x="1153"/>
        <item m="1" x="1149"/>
        <item m="1" x="1150"/>
        <item m="1" x="1154"/>
        <item m="1" x="1151"/>
        <item m="1" x="982"/>
        <item m="1" x="983"/>
        <item m="1" x="984"/>
        <item m="1" x="901"/>
        <item m="1" x="1196"/>
        <item m="1" x="1104"/>
        <item m="1" x="902"/>
        <item m="1" x="985"/>
        <item m="1" x="986"/>
        <item m="1" x="987"/>
        <item m="1" x="903"/>
        <item m="1" x="1056"/>
        <item m="1" x="1053"/>
        <item m="1" x="1052"/>
        <item m="1" x="1167"/>
        <item m="1" x="1166"/>
        <item m="1" x="1108"/>
        <item m="1" x="1111"/>
        <item m="1" x="1110"/>
        <item m="1" x="1054"/>
        <item m="1" x="1109"/>
        <item m="1" x="1113"/>
        <item m="1" x="1055"/>
        <item m="1" x="988"/>
        <item m="1" x="1114"/>
        <item m="1" x="1115"/>
        <item m="1" x="1033"/>
        <item m="1" x="1158"/>
        <item m="1" x="1156"/>
        <item m="1" x="1157"/>
        <item m="1" x="1155"/>
        <item m="1" x="1159"/>
        <item m="1" x="893"/>
        <item m="1" x="892"/>
        <item m="1" x="1194"/>
        <item m="1" x="971"/>
        <item m="1" x="1062"/>
        <item m="1" x="1037"/>
        <item m="1" x="1036"/>
        <item m="1" x="997"/>
        <item m="1" x="1084"/>
        <item m="1" x="904"/>
        <item m="1" x="1198"/>
        <item m="1" x="911"/>
        <item m="1" x="979"/>
        <item m="1" x="1091"/>
        <item m="1" x="1204"/>
        <item m="1" x="1045"/>
        <item m="1" x="899"/>
        <item m="1" x="992"/>
        <item m="1" x="993"/>
        <item m="1" x="894"/>
        <item m="1" x="1074"/>
        <item m="1" x="1059"/>
        <item m="1" x="1221"/>
        <item m="1" x="1239"/>
        <item m="1" x="1227"/>
        <item m="1" x="1235"/>
        <item m="1" x="1229"/>
        <item m="1" x="1224"/>
        <item m="1" x="1237"/>
        <item m="1" x="1220"/>
        <item m="1" x="958"/>
        <item m="1" x="957"/>
        <item m="1" x="1112"/>
        <item m="1" x="912"/>
        <item x="70"/>
        <item x="72"/>
        <item x="248"/>
        <item x="71"/>
        <item x="318"/>
        <item x="482"/>
        <item x="477"/>
        <item x="94"/>
        <item x="154"/>
        <item m="1" x="1026"/>
        <item x="533"/>
        <item x="192"/>
        <item x="173"/>
        <item x="191"/>
        <item x="682"/>
        <item x="183"/>
        <item x="595"/>
        <item x="874"/>
        <item x="882"/>
        <item x="497"/>
        <item x="496"/>
        <item x="483"/>
        <item x="798"/>
        <item x="805"/>
        <item x="464"/>
        <item x="12"/>
        <item x="609"/>
        <item x="552"/>
        <item x="325"/>
        <item x="648"/>
        <item x="335"/>
        <item x="516"/>
        <item x="517"/>
        <item x="336"/>
        <item m="1" x="925"/>
        <item x="633"/>
        <item x="17"/>
        <item x="386"/>
        <item m="1" x="1079"/>
        <item x="844"/>
        <item x="488"/>
        <item x="868"/>
        <item x="867"/>
        <item x="378"/>
        <item m="1" x="1106"/>
        <item x="869"/>
        <item x="871"/>
        <item x="870"/>
        <item x="375"/>
        <item x="376"/>
        <item x="377"/>
        <item x="493"/>
        <item x="421"/>
        <item x="422"/>
        <item x="581"/>
        <item x="569"/>
        <item m="1" x="998"/>
        <item m="1" x="1004"/>
        <item x="851"/>
        <item x="824"/>
        <item m="1" x="1001"/>
        <item x="564"/>
        <item m="1" x="942"/>
        <item x="612"/>
        <item x="221"/>
        <item x="160"/>
        <item x="521"/>
        <item m="1" x="1107"/>
        <item m="1" x="1058"/>
        <item x="765"/>
        <item x="645"/>
        <item x="644"/>
        <item x="406"/>
        <item x="262"/>
        <item m="1" x="951"/>
        <item x="159"/>
        <item x="121"/>
        <item x="275"/>
        <item x="180"/>
        <item x="586"/>
        <item x="11"/>
        <item x="85"/>
        <item x="831"/>
        <item x="177"/>
        <item x="397"/>
        <item x="628"/>
        <item x="227"/>
        <item x="31"/>
        <item x="391"/>
        <item m="1" x="996"/>
        <item m="1" x="952"/>
        <item x="334"/>
        <item x="337"/>
        <item x="343"/>
        <item x="515"/>
        <item x="514"/>
        <item x="60"/>
        <item x="791"/>
        <item x="646"/>
        <item x="772"/>
        <item x="453"/>
        <item x="580"/>
        <item m="1" x="1003"/>
        <item x="273"/>
        <item x="470"/>
        <item x="331"/>
        <item x="302"/>
        <item x="170"/>
        <item x="171"/>
        <item m="1" x="1119"/>
        <item x="291"/>
        <item x="76"/>
        <item x="77"/>
        <item x="290"/>
        <item x="398"/>
        <item x="289"/>
        <item x="551"/>
        <item x="529"/>
        <item x="317"/>
        <item x="837"/>
        <item x="124"/>
        <item x="510"/>
        <item x="283"/>
        <item x="270"/>
        <item x="401"/>
        <item x="835"/>
        <item x="99"/>
        <item m="1" x="1002"/>
        <item x="455"/>
        <item x="660"/>
        <item x="537"/>
        <item x="203"/>
        <item m="1" x="1185"/>
        <item x="876"/>
        <item x="878"/>
        <item x="22"/>
        <item x="629"/>
        <item x="54"/>
        <item x="734"/>
        <item x="780"/>
        <item x="468"/>
        <item x="668"/>
        <item x="650"/>
        <item x="651"/>
        <item x="622"/>
        <item x="49"/>
        <item x="779"/>
        <item x="768"/>
        <item x="683"/>
        <item x="778"/>
        <item x="776"/>
        <item x="771"/>
        <item x="769"/>
        <item x="242"/>
        <item x="240"/>
        <item x="53"/>
        <item x="792"/>
        <item x="339"/>
        <item x="385"/>
        <item x="344"/>
        <item x="234"/>
        <item x="478"/>
        <item x="311"/>
        <item x="316"/>
        <item x="512"/>
        <item x="9"/>
        <item x="578"/>
        <item x="272"/>
        <item x="392"/>
        <item x="181"/>
        <item m="1" x="922"/>
        <item m="1" x="923"/>
        <item m="1" x="1174"/>
        <item m="1" x="1093"/>
        <item m="1" x="1100"/>
        <item m="1" x="1094"/>
        <item m="1" x="1101"/>
        <item m="1" x="1095"/>
        <item m="1" x="1102"/>
        <item m="1" x="1092"/>
        <item m="1" x="1231"/>
        <item m="1" x="1223"/>
        <item m="1" x="1226"/>
        <item m="1" x="1098"/>
        <item m="1" x="944"/>
        <item x="368"/>
        <item x="407"/>
        <item x="409"/>
        <item m="1" x="994"/>
        <item x="359"/>
        <item x="709"/>
        <item x="572"/>
        <item x="576"/>
        <item x="573"/>
        <item x="577"/>
        <item x="846"/>
        <item x="571"/>
        <item x="575"/>
        <item x="132"/>
        <item x="534"/>
        <item x="842"/>
        <item x="843"/>
        <item x="861"/>
        <item x="169"/>
        <item x="246"/>
        <item x="245"/>
        <item x="247"/>
        <item x="594"/>
        <item x="825"/>
        <item x="196"/>
        <item x="886"/>
        <item x="887"/>
        <item x="888"/>
        <item x="885"/>
        <item x="889"/>
        <item x="884"/>
        <item x="864"/>
        <item x="189"/>
        <item x="570"/>
        <item x="574"/>
        <item x="205"/>
        <item x="845"/>
        <item x="848"/>
        <item x="250"/>
        <item x="252"/>
        <item x="255"/>
        <item x="254"/>
        <item x="253"/>
        <item x="251"/>
        <item x="256"/>
        <item x="860"/>
        <item x="858"/>
        <item x="859"/>
        <item x="589"/>
        <item x="208"/>
        <item x="207"/>
        <item m="1" x="978"/>
        <item m="1" x="977"/>
        <item m="1" x="976"/>
        <item x="829"/>
        <item x="828"/>
        <item x="832"/>
        <item x="833"/>
        <item x="830"/>
        <item x="827"/>
        <item x="197"/>
        <item x="206"/>
        <item x="812"/>
        <item x="480"/>
        <item x="599"/>
        <item x="466"/>
        <item x="532"/>
        <item x="567"/>
        <item m="1" x="1031"/>
        <item m="1" x="1032"/>
        <item m="1" x="1030"/>
        <item m="1" x="1125"/>
        <item x="555"/>
        <item m="1" x="1028"/>
        <item m="1" x="1029"/>
        <item m="1" x="1027"/>
        <item x="388"/>
        <item x="558"/>
        <item x="278"/>
        <item x="117"/>
        <item x="118"/>
        <item x="509"/>
        <item x="813"/>
        <item m="1" x="1076"/>
        <item m="1" x="1184"/>
        <item m="1" x="1190"/>
        <item x="585"/>
        <item x="492"/>
        <item m="1" x="945"/>
        <item x="126"/>
        <item m="1" x="941"/>
        <item x="565"/>
        <item x="526"/>
        <item x="506"/>
        <item m="1" x="1188"/>
        <item x="282"/>
        <item m="1" x="954"/>
        <item x="356"/>
        <item x="357"/>
        <item x="358"/>
        <item x="355"/>
        <item x="299"/>
        <item x="79"/>
        <item x="300"/>
        <item x="80"/>
        <item x="81"/>
        <item x="474"/>
        <item x="91"/>
        <item x="86"/>
        <item x="92"/>
        <item x="444"/>
        <item x="563"/>
        <item x="522"/>
        <item x="523"/>
        <item x="490"/>
        <item x="856"/>
        <item x="131"/>
        <item m="1" x="953"/>
        <item x="128"/>
        <item x="133"/>
        <item m="1" x="921"/>
        <item x="64"/>
        <item x="63"/>
        <item x="62"/>
        <item x="66"/>
        <item x="112"/>
        <item x="113"/>
        <item x="65"/>
        <item x="68"/>
        <item x="296"/>
        <item x="499"/>
        <item x="212"/>
        <item x="213"/>
        <item x="211"/>
        <item x="209"/>
        <item x="210"/>
        <item x="214"/>
        <item x="137"/>
        <item x="135"/>
        <item x="134"/>
        <item x="175"/>
        <item x="865"/>
        <item x="369"/>
        <item x="370"/>
        <item x="371"/>
        <item x="561"/>
        <item x="82"/>
        <item x="866"/>
        <item x="881"/>
        <item x="883"/>
        <item x="875"/>
        <item x="372"/>
        <item x="373"/>
        <item x="374"/>
        <item x="462"/>
        <item x="817"/>
        <item x="560"/>
        <item m="1" x="1049"/>
        <item x="163"/>
        <item x="164"/>
        <item x="165"/>
        <item x="166"/>
        <item m="1" x="1051"/>
        <item x="167"/>
        <item m="1" x="1050"/>
        <item x="261"/>
        <item x="562"/>
        <item x="556"/>
        <item x="168"/>
        <item x="195"/>
        <item x="194"/>
        <item x="447"/>
        <item x="446"/>
        <item x="777"/>
        <item x="775"/>
        <item x="238"/>
        <item x="452"/>
        <item x="435"/>
        <item x="96"/>
        <item x="872"/>
        <item x="685"/>
        <item x="686"/>
        <item x="649"/>
        <item x="691"/>
        <item x="579"/>
        <item x="395"/>
        <item m="1" x="910"/>
        <item x="74"/>
        <item x="550"/>
        <item m="1" x="1064"/>
        <item x="361"/>
        <item x="362"/>
        <item m="1" x="898"/>
        <item m="1" x="1066"/>
        <item x="363"/>
        <item m="1" x="1068"/>
        <item x="364"/>
        <item x="365"/>
        <item m="1" x="1089"/>
        <item x="535"/>
        <item x="536"/>
        <item m="1" x="1090"/>
        <item x="538"/>
        <item x="539"/>
        <item m="1" x="1070"/>
        <item x="366"/>
        <item x="367"/>
        <item m="1" x="1103"/>
        <item x="849"/>
        <item m="1" x="981"/>
        <item x="583"/>
        <item x="277"/>
        <item x="554"/>
        <item x="260"/>
        <item x="279"/>
        <item x="634"/>
        <item m="1" x="939"/>
        <item x="332"/>
        <item x="486"/>
        <item x="487"/>
        <item x="793"/>
        <item x="445"/>
        <item x="518"/>
        <item x="216"/>
        <item x="217"/>
        <item x="215"/>
        <item x="402"/>
        <item x="244"/>
        <item m="1" x="1116"/>
        <item x="111"/>
        <item x="115"/>
        <item m="1" x="949"/>
        <item m="1" x="948"/>
        <item x="106"/>
        <item x="127"/>
        <item m="1" x="1000"/>
        <item x="850"/>
        <item x="188"/>
        <item x="187"/>
        <item x="186"/>
        <item x="185"/>
        <item x="815"/>
        <item x="816"/>
        <item x="814"/>
        <item x="136"/>
        <item x="329"/>
        <item x="50"/>
        <item x="178"/>
        <item m="1" x="1121"/>
        <item x="540"/>
        <item x="130"/>
        <item x="223"/>
        <item x="491"/>
        <item x="449"/>
        <item x="346"/>
        <item x="781"/>
        <item m="1" x="938"/>
        <item x="390"/>
        <item x="511"/>
        <item x="469"/>
        <item x="485"/>
        <item x="304"/>
        <item x="147"/>
        <item x="162"/>
        <item x="841"/>
        <item x="89"/>
        <item m="1" x="1087"/>
        <item x="591"/>
        <item x="4"/>
        <item x="7"/>
        <item x="5"/>
        <item x="161"/>
        <item x="8"/>
        <item x="6"/>
        <item x="3"/>
        <item x="838"/>
        <item x="142"/>
        <item x="143"/>
        <item x="146"/>
        <item x="144"/>
        <item x="819"/>
        <item x="145"/>
        <item x="818"/>
        <item x="140"/>
        <item x="840"/>
        <item x="141"/>
        <item x="839"/>
        <item x="443"/>
        <item x="129"/>
        <item x="853"/>
        <item x="733"/>
        <item x="432"/>
        <item x="288"/>
        <item m="1" x="940"/>
        <item x="157"/>
        <item x="669"/>
        <item x="451"/>
        <item x="460"/>
        <item x="297"/>
        <item x="298"/>
        <item x="383"/>
        <item x="199"/>
        <item x="198"/>
        <item m="1" x="1080"/>
        <item m="1" x="1081"/>
        <item m="1" x="1082"/>
        <item m="1" x="1083"/>
        <item x="158"/>
        <item x="442"/>
        <item x="90"/>
        <item m="1" x="1118"/>
        <item m="1" x="924"/>
        <item x="182"/>
        <item x="155"/>
        <item x="257"/>
        <item x="258"/>
        <item x="156"/>
        <item x="671"/>
        <item x="456"/>
        <item x="530"/>
        <item x="458"/>
        <item x="328"/>
        <item x="327"/>
        <item x="330"/>
        <item x="457"/>
        <item m="1" x="897"/>
        <item x="502"/>
        <item x="500"/>
        <item x="501"/>
        <item x="172"/>
        <item m="1" x="1077"/>
        <item x="674"/>
        <item x="666"/>
        <item x="1"/>
        <item x="265"/>
        <item x="266"/>
        <item x="114"/>
        <item m="1" x="1173"/>
        <item m="1" x="1122"/>
        <item m="1" x="1192"/>
        <item m="1" x="1123"/>
        <item x="149"/>
        <item x="150"/>
        <item x="717"/>
        <item x="718"/>
        <item x="319"/>
        <item x="441"/>
        <item x="640"/>
        <item x="821"/>
        <item x="822"/>
        <item x="823"/>
        <item x="662"/>
        <item x="820"/>
        <item x="695"/>
        <item x="694"/>
        <item x="624"/>
        <item x="617"/>
        <item x="806"/>
        <item x="626"/>
        <item x="794"/>
        <item x="61"/>
        <item x="235"/>
        <item x="69"/>
        <item x="657"/>
        <item x="663"/>
        <item x="20"/>
        <item x="119"/>
        <item x="179"/>
        <item m="1" x="933"/>
        <item x="294"/>
        <item x="408"/>
        <item x="719"/>
        <item x="720"/>
        <item x="545"/>
        <item m="1" x="1057"/>
        <item m="1" x="930"/>
        <item m="1" x="929"/>
        <item m="1" x="927"/>
        <item m="1" x="928"/>
        <item m="1" x="926"/>
        <item x="2"/>
        <item x="176"/>
        <item m="1" x="1120"/>
        <item x="200"/>
        <item x="584"/>
        <item x="23"/>
        <item x="24"/>
        <item x="93"/>
        <item m="1" x="946"/>
        <item x="481"/>
        <item x="673"/>
        <item x="315"/>
        <item x="862"/>
        <item x="863"/>
        <item x="588"/>
        <item x="42"/>
        <item x="647"/>
        <item x="46"/>
        <item x="770"/>
        <item x="767"/>
        <item x="623"/>
        <item m="1" x="920"/>
        <item m="1" x="906"/>
        <item m="1" x="919"/>
        <item m="1" x="932"/>
        <item m="1" x="931"/>
        <item m="1" x="905"/>
        <item m="1" x="907"/>
        <item m="1" x="917"/>
        <item m="1" x="918"/>
        <item x="808"/>
        <item x="148"/>
        <item x="151"/>
        <item x="295"/>
        <item x="104"/>
        <item x="105"/>
        <item x="103"/>
        <item x="102"/>
        <item x="101"/>
        <item x="476"/>
        <item x="84"/>
        <item x="809"/>
        <item m="1" x="960"/>
        <item m="1" x="964"/>
        <item m="1" x="969"/>
        <item m="1" x="967"/>
        <item m="1" x="1193"/>
        <item x="879"/>
        <item x="433"/>
        <item x="744"/>
        <item x="30"/>
        <item x="520"/>
        <item x="269"/>
        <item m="1" x="1086"/>
        <item x="404"/>
        <item x="88"/>
        <item x="268"/>
        <item x="593"/>
        <item x="87"/>
        <item m="1" x="1088"/>
        <item x="286"/>
        <item x="381"/>
        <item x="590"/>
        <item x="287"/>
        <item x="382"/>
        <item m="1" x="995"/>
        <item x="108"/>
        <item x="597"/>
        <item x="656"/>
        <item x="239"/>
        <item x="48"/>
        <item x="774"/>
        <item x="773"/>
        <item x="547"/>
        <item x="692"/>
        <item x="531"/>
        <item x="393"/>
        <item x="484"/>
        <item x="557"/>
        <item x="724"/>
        <item x="403"/>
        <item x="405"/>
        <item x="292"/>
        <item x="782"/>
        <item x="795"/>
        <item x="52"/>
        <item x="783"/>
        <item x="687"/>
        <item x="263"/>
        <item x="587"/>
        <item x="98"/>
        <item x="271"/>
        <item x="400"/>
        <item x="75"/>
        <item x="353"/>
        <item x="857"/>
        <item x="51"/>
        <item x="811"/>
        <item x="631"/>
        <item x="321"/>
        <item x="438"/>
        <item x="465"/>
        <item x="413"/>
        <item x="527"/>
        <item x="680"/>
        <item x="679"/>
        <item x="225"/>
        <item x="553"/>
        <item x="264"/>
        <item m="1" x="999"/>
        <item x="125"/>
        <item x="0"/>
        <item x="139"/>
        <item x="350"/>
        <item x="33"/>
        <item x="32"/>
        <item x="56"/>
        <item x="281"/>
        <item x="430"/>
        <item x="231"/>
        <item x="232"/>
        <item x="546"/>
        <item x="745"/>
        <item x="763"/>
        <item x="654"/>
        <item x="653"/>
        <item x="57"/>
        <item x="762"/>
        <item x="761"/>
        <item x="789"/>
        <item x="592"/>
        <item x="689"/>
        <item x="725"/>
        <item x="726"/>
        <item x="784"/>
        <item x="619"/>
        <item x="737"/>
        <item x="786"/>
        <item x="601"/>
        <item x="738"/>
        <item x="801"/>
        <item x="788"/>
        <item x="756"/>
        <item x="757"/>
        <item x="418"/>
        <item x="229"/>
        <item x="58"/>
        <item x="280"/>
        <item x="37"/>
        <item x="243"/>
        <item x="307"/>
        <item x="513"/>
        <item x="226"/>
        <item x="415"/>
        <item x="308"/>
        <item x="414"/>
        <item x="14"/>
        <item x="416"/>
        <item x="417"/>
        <item x="727"/>
        <item x="728"/>
        <item x="752"/>
        <item x="615"/>
        <item x="605"/>
        <item x="604"/>
        <item x="729"/>
        <item x="620"/>
        <item x="751"/>
        <item x="636"/>
        <item x="637"/>
        <item x="47"/>
        <item x="34"/>
        <item x="29"/>
        <item x="549"/>
        <item x="218"/>
        <item x="19"/>
        <item x="655"/>
        <item x="742"/>
        <item x="803"/>
        <item x="746"/>
        <item x="748"/>
        <item x="632"/>
        <item x="621"/>
        <item x="607"/>
        <item x="739"/>
        <item x="721"/>
        <item x="722"/>
        <item x="641"/>
        <item x="696"/>
        <item x="706"/>
        <item x="707"/>
        <item x="747"/>
        <item x="237"/>
        <item x="35"/>
        <item x="310"/>
        <item x="41"/>
        <item x="800"/>
        <item x="600"/>
        <item x="602"/>
        <item x="495"/>
        <item x="732"/>
        <item x="606"/>
        <item x="544"/>
        <item x="436"/>
        <item x="341"/>
        <item x="233"/>
        <item x="38"/>
        <item x="699"/>
        <item x="690"/>
        <item x="697"/>
        <item x="684"/>
        <item x="711"/>
        <item x="661"/>
        <item x="710"/>
        <item x="664"/>
        <item x="665"/>
        <item x="13"/>
        <item x="425"/>
        <item x="228"/>
        <item x="45"/>
        <item x="222"/>
        <item x="241"/>
        <item x="26"/>
        <item x="750"/>
        <item x="749"/>
        <item x="714"/>
        <item x="700"/>
        <item x="804"/>
        <item x="796"/>
        <item x="715"/>
        <item x="716"/>
        <item x="701"/>
        <item x="678"/>
        <item x="616"/>
        <item x="681"/>
        <item x="423"/>
        <item x="424"/>
        <item x="15"/>
        <item x="313"/>
        <item x="731"/>
        <item x="18"/>
        <item x="461"/>
        <item x="764"/>
        <item x="28"/>
        <item x="27"/>
        <item x="528"/>
        <item x="230"/>
        <item x="25"/>
        <item x="426"/>
        <item x="730"/>
        <item x="702"/>
        <item x="712"/>
        <item x="703"/>
        <item x="610"/>
        <item x="754"/>
        <item x="755"/>
        <item x="759"/>
        <item x="758"/>
        <item x="704"/>
        <item x="713"/>
        <item x="785"/>
        <item x="787"/>
        <item x="705"/>
        <item x="740"/>
        <item x="743"/>
        <item x="741"/>
        <item x="676"/>
        <item x="677"/>
        <item x="760"/>
        <item x="753"/>
        <item x="542"/>
        <item x="59"/>
        <item x="736"/>
        <item x="419"/>
        <item x="220"/>
        <item x="543"/>
        <item x="16"/>
        <item x="427"/>
        <item x="434"/>
        <item x="429"/>
        <item x="598"/>
        <item x="596"/>
        <item x="614"/>
        <item x="642"/>
        <item x="643"/>
        <item x="639"/>
        <item x="797"/>
        <item x="306"/>
        <item x="799"/>
        <item x="489"/>
        <item x="450"/>
        <item x="340"/>
        <item x="39"/>
        <item x="40"/>
        <item x="43"/>
        <item x="44"/>
        <item x="766"/>
        <item x="475"/>
        <item x="55"/>
        <item x="463"/>
        <item x="635"/>
        <item x="410"/>
        <item x="524"/>
        <item x="320"/>
        <item x="448"/>
        <item x="274"/>
        <item x="498"/>
        <item x="174"/>
        <item x="83"/>
        <item x="802"/>
        <item x="236"/>
        <item x="608"/>
        <item x="312"/>
        <item x="428"/>
        <item x="525"/>
        <item x="411"/>
        <item x="519"/>
        <item x="420"/>
        <item x="322"/>
        <item x="73"/>
        <item m="1" x="1085"/>
        <item m="1" x="1075"/>
        <item m="1" x="1078"/>
        <item x="360"/>
        <item x="293"/>
        <item x="852"/>
        <item x="348"/>
        <item x="672"/>
        <item x="439"/>
        <item x="303"/>
        <item x="122"/>
        <item x="201"/>
        <item m="1" x="950"/>
        <item x="259"/>
        <item x="855"/>
        <item x="284"/>
        <item x="503"/>
        <item x="508"/>
        <item x="854"/>
        <item x="153"/>
        <item x="193"/>
        <item x="190"/>
        <item x="138"/>
        <item x="467"/>
        <item x="611"/>
        <item x="323"/>
        <item x="505"/>
        <item x="618"/>
        <item x="627"/>
        <item m="1" x="943"/>
        <item x="224"/>
        <item x="384"/>
        <item x="396"/>
        <item m="1" x="1117"/>
        <item x="285"/>
        <item x="380"/>
        <item x="847"/>
        <item x="326"/>
        <item x="324"/>
        <item x="471"/>
        <item x="675"/>
        <item x="670"/>
        <item x="472"/>
        <item x="473"/>
        <item x="97"/>
        <item m="1" x="909"/>
        <item x="836"/>
        <item x="351"/>
        <item x="352"/>
        <item x="354"/>
        <item x="568"/>
        <item x="658"/>
        <item x="708"/>
        <item x="688"/>
        <item x="603"/>
        <item x="698"/>
        <item x="693"/>
        <item x="638"/>
        <item x="613"/>
        <item x="459"/>
        <item x="345"/>
        <item x="479"/>
        <item x="807"/>
        <item x="338"/>
        <item x="333"/>
        <item x="630"/>
        <item x="625"/>
        <item x="723"/>
        <item x="342"/>
        <item m="1" x="1187"/>
        <item m="1" x="1191"/>
        <item x="440"/>
        <item x="314"/>
        <item x="548"/>
        <item x="431"/>
        <item x="735"/>
        <item x="566"/>
        <item x="123"/>
        <item m="1" x="1189"/>
        <item x="184"/>
        <item x="219"/>
        <item x="305"/>
        <item x="652"/>
        <item x="667"/>
        <item x="790"/>
        <item x="659"/>
        <item x="394"/>
        <item m="1" x="1186"/>
        <item x="116"/>
        <item x="437"/>
        <item x="10"/>
        <item x="152"/>
        <item m="1" x="947"/>
        <item x="204"/>
        <item x="873"/>
        <item x="267"/>
        <item x="95"/>
        <item x="880"/>
        <item x="349"/>
        <item x="120"/>
        <item x="276"/>
        <item x="202"/>
        <item m="1" x="973"/>
        <item m="1" x="975"/>
        <item x="582"/>
        <item m="1" x="972"/>
        <item m="1" x="974"/>
        <item x="67"/>
        <item x="249"/>
        <item x="100"/>
        <item x="810"/>
        <item x="309"/>
        <item x="412"/>
        <item x="21"/>
        <item x="387"/>
        <item x="347"/>
        <item x="834"/>
        <item x="826"/>
        <item x="494"/>
        <item x="454"/>
        <item x="559"/>
        <item x="389"/>
        <item x="541"/>
        <item x="379"/>
        <item m="1" x="1105"/>
        <item x="110"/>
        <item x="109"/>
        <item x="301"/>
        <item x="78"/>
        <item x="504"/>
        <item x="507"/>
        <item x="107"/>
        <item x="36"/>
        <item x="877"/>
        <item x="39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967">
    <i>
      <x v="710"/>
      <x v="455"/>
    </i>
    <i>
      <x v="996"/>
      <x v="817"/>
    </i>
    <i>
      <x v="919"/>
      <x v="703"/>
    </i>
    <i>
      <x v="740"/>
      <x v="707"/>
    </i>
    <i>
      <x v="771"/>
      <x v="573"/>
    </i>
    <i>
      <x v="752"/>
      <x v="463"/>
    </i>
    <i>
      <x v="737"/>
      <x v="420"/>
    </i>
    <i>
      <x v="1150"/>
      <x v="1149"/>
    </i>
    <i>
      <x v="869"/>
      <x v="645"/>
    </i>
    <i>
      <x v="711"/>
      <x v="441"/>
    </i>
    <i>
      <x v="734"/>
      <x v="425"/>
    </i>
    <i>
      <x v="910"/>
      <x v="682"/>
    </i>
    <i>
      <x v="907"/>
      <x v="672"/>
    </i>
    <i>
      <x v="715"/>
      <x v="423"/>
    </i>
    <i>
      <x v="754"/>
      <x v="461"/>
    </i>
    <i>
      <x v="920"/>
      <x v="704"/>
    </i>
    <i>
      <x v="753"/>
      <x v="464"/>
    </i>
    <i>
      <x v="870"/>
      <x v="644"/>
    </i>
    <i>
      <x v="733"/>
      <x v="418"/>
    </i>
    <i>
      <x v="866"/>
      <x v="648"/>
    </i>
    <i>
      <x v="958"/>
      <x v="720"/>
    </i>
    <i>
      <x v="712"/>
      <x v="442"/>
    </i>
    <i>
      <x v="745"/>
      <x v="440"/>
    </i>
    <i>
      <x v="747"/>
      <x v="465"/>
    </i>
    <i>
      <x v="909"/>
      <x v="234"/>
    </i>
    <i>
      <x v="744"/>
      <x v="437"/>
    </i>
    <i>
      <x v="755"/>
      <x v="462"/>
    </i>
    <i>
      <x v="751"/>
      <x v="466"/>
    </i>
    <i>
      <x v="702"/>
      <x v="428"/>
    </i>
    <i>
      <x v="713"/>
      <x v="454"/>
    </i>
    <i>
      <x v="746"/>
      <x v="429"/>
    </i>
    <i>
      <x v="738"/>
      <x v="421"/>
    </i>
    <i>
      <x v="714"/>
      <x v="415"/>
    </i>
    <i>
      <x v="763"/>
      <x v="561"/>
    </i>
    <i>
      <x v="764"/>
      <x v="550"/>
    </i>
    <i>
      <x v="761"/>
      <x v="482"/>
    </i>
    <i>
      <x v="760"/>
      <x v="863"/>
    </i>
    <i>
      <x v="739"/>
      <x v="419"/>
    </i>
    <i>
      <x v="762"/>
      <x v="1225"/>
    </i>
    <i>
      <x v="759"/>
      <x v="572"/>
    </i>
    <i>
      <x v="596"/>
      <x v="875"/>
    </i>
    <i>
      <x v="1060"/>
      <x v="630"/>
    </i>
    <i>
      <x v="1326"/>
      <x v="860"/>
    </i>
    <i>
      <x v="717"/>
      <x v="427"/>
    </i>
    <i>
      <x v="708"/>
      <x v="435"/>
    </i>
    <i>
      <x v="474"/>
      <x v="544"/>
    </i>
    <i>
      <x v="997"/>
      <x v="816"/>
    </i>
    <i>
      <x v="476"/>
      <x v="649"/>
    </i>
    <i>
      <x v="475"/>
      <x v="543"/>
    </i>
    <i>
      <x v="477"/>
      <x v="542"/>
    </i>
    <i>
      <x v="804"/>
      <x v="333"/>
    </i>
    <i>
      <x v="1063"/>
      <x v="628"/>
    </i>
    <i>
      <x v="716"/>
      <x v="453"/>
    </i>
    <i>
      <x v="688"/>
      <x v="662"/>
    </i>
    <i>
      <x v="811"/>
      <x v="697"/>
    </i>
    <i>
      <x v="1176"/>
      <x v="285"/>
    </i>
    <i>
      <x v="705"/>
      <x v="430"/>
    </i>
    <i>
      <x v="1066"/>
      <x v="629"/>
    </i>
    <i>
      <x v="756"/>
      <x v="459"/>
    </i>
    <i>
      <x v="803"/>
      <x v="335"/>
    </i>
    <i>
      <x v="684"/>
      <x v="1219"/>
    </i>
    <i>
      <x v="709"/>
      <x v="434"/>
    </i>
    <i>
      <x v="871"/>
      <x v="643"/>
    </i>
    <i>
      <x v="682"/>
      <x v="257"/>
    </i>
    <i>
      <x v="592"/>
      <x v="771"/>
    </i>
    <i>
      <x v="1097"/>
      <x v="346"/>
    </i>
    <i>
      <x v="741"/>
      <x v="706"/>
    </i>
    <i>
      <x v="1065"/>
      <x v="537"/>
    </i>
    <i>
      <x v="707"/>
      <x v="432"/>
    </i>
    <i>
      <x v="792"/>
      <x v="821"/>
    </i>
    <i>
      <x v="683"/>
      <x v="481"/>
    </i>
    <i>
      <x v="704"/>
      <x v="433"/>
    </i>
    <i>
      <x v="805"/>
      <x v="1139"/>
    </i>
    <i>
      <x v="1162"/>
      <x v="341"/>
    </i>
    <i>
      <x v="597"/>
      <x v="346"/>
    </i>
    <i>
      <x v="595"/>
      <x v="1115"/>
    </i>
    <i>
      <x v="790"/>
      <x v="822"/>
    </i>
    <i>
      <x v="1159"/>
      <x v="1235"/>
    </i>
    <i>
      <x v="1059"/>
      <x v="538"/>
    </i>
    <i>
      <x v="470"/>
      <x v="851"/>
    </i>
    <i>
      <x v="472"/>
      <x v="634"/>
    </i>
    <i>
      <x v="788"/>
      <x v="823"/>
    </i>
    <i>
      <x v="809"/>
      <x v="848"/>
    </i>
    <i>
      <x v="1002"/>
      <x v="448"/>
    </i>
    <i>
      <x v="687"/>
      <x v="378"/>
    </i>
    <i>
      <x v="593"/>
      <x v="1204"/>
    </i>
    <i>
      <x v="1062"/>
      <x v="536"/>
    </i>
    <i>
      <x v="685"/>
      <x v="1226"/>
    </i>
    <i>
      <x v="1170"/>
      <x v="295"/>
    </i>
    <i>
      <x v="1171"/>
      <x v="721"/>
    </i>
    <i>
      <x v="1160"/>
      <x v="1122"/>
    </i>
    <i>
      <x v="1151"/>
      <x v="1121"/>
    </i>
    <i>
      <x v="686"/>
      <x v="1136"/>
    </i>
    <i>
      <x v="689"/>
      <x v="308"/>
    </i>
    <i>
      <x v="471"/>
      <x v="1231"/>
    </i>
    <i>
      <x v="794"/>
      <x v="819"/>
    </i>
    <i>
      <x v="1003"/>
      <x v="449"/>
    </i>
    <i>
      <x v="1068"/>
      <x v="1213"/>
    </i>
    <i>
      <x v="1174"/>
      <x v="1127"/>
    </i>
    <i>
      <x v="1001"/>
      <x v="447"/>
    </i>
    <i>
      <x v="1166"/>
      <x v="477"/>
    </i>
    <i>
      <x v="610"/>
      <x v="592"/>
    </i>
    <i>
      <x v="1058"/>
      <x v="538"/>
    </i>
    <i>
      <x v="796"/>
      <x v="820"/>
    </i>
    <i>
      <x v="1029"/>
      <x v="531"/>
    </i>
    <i>
      <x v="1169"/>
      <x v="712"/>
    </i>
    <i>
      <x v="827"/>
      <x v="1233"/>
    </i>
    <i>
      <x v="1061"/>
      <x v="536"/>
    </i>
    <i>
      <x v="1173"/>
      <x v="638"/>
    </i>
    <i>
      <x v="1322"/>
      <x v="1092"/>
    </i>
    <i>
      <x v="1168"/>
      <x v="247"/>
    </i>
    <i>
      <x v="1154"/>
      <x v="733"/>
    </i>
    <i>
      <x v="706"/>
      <x v="431"/>
    </i>
    <i>
      <x v="1204"/>
      <x v="503"/>
    </i>
    <i>
      <x v="807"/>
      <x v="845"/>
    </i>
    <i>
      <x v="598"/>
      <x v="1104"/>
    </i>
    <i>
      <x v="640"/>
      <x v="839"/>
    </i>
    <i>
      <x v="1155"/>
      <x v="731"/>
    </i>
    <i>
      <x v="999"/>
      <x v="444"/>
    </i>
    <i>
      <x v="1093"/>
      <x v="1204"/>
    </i>
    <i>
      <x v="1096"/>
      <x v="875"/>
    </i>
    <i>
      <x v="1211"/>
      <x v="504"/>
    </i>
    <i>
      <x v="1172"/>
      <x v="336"/>
    </i>
    <i>
      <x v="1069"/>
      <x v="1213"/>
    </i>
    <i>
      <x v="1055"/>
      <x v="540"/>
    </i>
    <i>
      <x v="1064"/>
      <x v="537"/>
    </i>
    <i>
      <x v="1095"/>
      <x v="1115"/>
    </i>
    <i>
      <x v="1092"/>
      <x v="771"/>
    </i>
    <i>
      <x v="1167"/>
      <x v="593"/>
    </i>
    <i>
      <x v="1175"/>
      <x v="699"/>
    </i>
    <i>
      <x v="1156"/>
      <x v="1234"/>
    </i>
    <i>
      <x v="1032"/>
      <x v="530"/>
    </i>
    <i>
      <x v="629"/>
      <x v="714"/>
    </i>
    <i>
      <x v="800"/>
      <x v="1236"/>
    </i>
    <i>
      <x v="1004"/>
      <x v="446"/>
    </i>
    <i>
      <x v="594"/>
      <x v="296"/>
    </i>
    <i>
      <x v="605"/>
      <x v="875"/>
    </i>
    <i>
      <x v="736"/>
      <x v="426"/>
    </i>
    <i>
      <x v="1157"/>
      <x v="1131"/>
    </i>
    <i>
      <x v="639"/>
      <x v="865"/>
    </i>
    <i>
      <x v="1177"/>
      <x v="340"/>
    </i>
    <i>
      <x v="1197"/>
      <x v="502"/>
    </i>
    <i>
      <x v="1158"/>
      <x v="498"/>
    </i>
    <i>
      <x v="1161"/>
      <x v="486"/>
    </i>
    <i>
      <x v="633"/>
      <x v="514"/>
    </i>
    <i>
      <x v="468"/>
      <x v="1230"/>
    </i>
    <i>
      <x v="900"/>
      <x v="676"/>
    </i>
    <i>
      <x v="1153"/>
      <x v="732"/>
    </i>
    <i>
      <x v="469"/>
      <x v="635"/>
    </i>
    <i>
      <x v="1005"/>
      <x v="445"/>
    </i>
    <i>
      <x v="786"/>
      <x v="1214"/>
    </i>
    <i>
      <x v="798"/>
      <x v="638"/>
    </i>
    <i>
      <x v="611"/>
      <x v="1221"/>
    </i>
    <i>
      <x v="589"/>
      <x v="717"/>
    </i>
    <i>
      <x v="444"/>
      <x v="879"/>
    </i>
    <i>
      <x v="553"/>
      <x v="772"/>
    </i>
    <i>
      <x v="436"/>
      <x v="1153"/>
    </i>
    <i>
      <x v="857"/>
      <x v="529"/>
    </i>
    <i>
      <x v="612"/>
      <x v="1206"/>
    </i>
    <i>
      <x v="614"/>
      <x v="877"/>
    </i>
    <i>
      <x v="1000"/>
      <x v="443"/>
    </i>
    <i>
      <x v="600"/>
      <x v="590"/>
    </i>
    <i>
      <x v="1052"/>
      <x v="631"/>
    </i>
    <i>
      <x v="1101"/>
      <x v="589"/>
    </i>
    <i>
      <x v="615"/>
      <x v="344"/>
    </i>
    <i>
      <x v="735"/>
      <x v="424"/>
    </i>
    <i>
      <x v="427"/>
      <x v="898"/>
    </i>
    <i>
      <x v="450"/>
      <x v="1152"/>
    </i>
    <i>
      <x v="856"/>
      <x v="526"/>
    </i>
    <i>
      <x v="606"/>
      <x v="346"/>
    </i>
    <i>
      <x v="678"/>
      <x v="274"/>
    </i>
    <i>
      <x v="664"/>
      <x v="693"/>
    </i>
    <i>
      <x v="666"/>
      <x v="1118"/>
    </i>
    <i>
      <x v="480"/>
      <x v="409"/>
    </i>
    <i>
      <x v="896"/>
      <x v="675"/>
    </i>
    <i>
      <x v="855"/>
      <x v="527"/>
    </i>
    <i>
      <x v="1094"/>
      <x v="296"/>
    </i>
    <i>
      <x v="1178"/>
      <x v="895"/>
    </i>
    <i>
      <x v="628"/>
      <x v="1195"/>
    </i>
    <i>
      <x v="778"/>
      <x v="568"/>
    </i>
    <i>
      <x v="625"/>
      <x v="301"/>
    </i>
    <i>
      <x v="774"/>
      <x v="563"/>
    </i>
    <i>
      <x v="867"/>
      <x v="646"/>
    </i>
    <i>
      <x v="459"/>
      <x v="1154"/>
    </i>
    <i>
      <x v="872"/>
      <x v="642"/>
    </i>
    <i>
      <x v="1188"/>
      <x v="505"/>
    </i>
    <i>
      <x v="642"/>
      <x v="343"/>
    </i>
    <i>
      <x v="1051"/>
      <x v="539"/>
    </i>
    <i>
      <x v="1073"/>
      <x v="1137"/>
    </i>
    <i>
      <x v="757"/>
      <x v="460"/>
    </i>
    <i>
      <x v="672"/>
      <x v="523"/>
    </i>
    <i>
      <x v="634"/>
      <x v="292"/>
    </i>
    <i>
      <x v="644"/>
      <x v="876"/>
    </i>
    <i>
      <x v="616"/>
      <x v="345"/>
    </i>
    <i>
      <x v="897"/>
      <x v="678"/>
    </i>
    <i>
      <x v="1110"/>
      <x v="741"/>
    </i>
    <i>
      <x v="1098"/>
      <x v="1104"/>
    </i>
    <i>
      <x v="968"/>
      <x v="843"/>
    </i>
    <i>
      <x v="690"/>
      <x v="1141"/>
    </i>
    <i>
      <x v="854"/>
      <x v="528"/>
    </i>
    <i>
      <x v="580"/>
      <x v="1116"/>
    </i>
    <i>
      <x v="1079"/>
      <x v="259"/>
    </i>
    <i>
      <x v="1085"/>
      <x v="327"/>
    </i>
    <i>
      <x v="868"/>
      <x v="647"/>
    </i>
    <i>
      <x v="601"/>
      <x v="771"/>
    </i>
    <i>
      <x v="626"/>
      <x v="385"/>
    </i>
    <i>
      <x v="743"/>
      <x v="797"/>
    </i>
    <i>
      <x v="481"/>
      <x v="1108"/>
    </i>
    <i>
      <x v="894"/>
      <x v="679"/>
    </i>
    <i>
      <x v="1049"/>
      <x v="632"/>
    </i>
    <i>
      <x v="667"/>
      <x v="655"/>
    </i>
    <i>
      <x v="853"/>
      <x v="532"/>
    </i>
    <i>
      <x v="482"/>
      <x v="293"/>
    </i>
    <i>
      <x v="635"/>
      <x v="406"/>
    </i>
    <i>
      <x v="636"/>
      <x v="775"/>
    </i>
    <i>
      <x v="1100"/>
      <x v="615"/>
    </i>
    <i>
      <x v="840"/>
      <x v="818"/>
    </i>
    <i>
      <x v="1050"/>
      <x v="535"/>
    </i>
    <i>
      <x v="1087"/>
      <x v="734"/>
    </i>
    <i>
      <x v="26"/>
      <x v="718"/>
    </i>
    <i>
      <x v="483"/>
      <x v="405"/>
    </i>
    <i>
      <x v="669"/>
      <x v="618"/>
    </i>
    <i>
      <x v="887"/>
      <x v="686"/>
    </i>
    <i>
      <x v="648"/>
      <x v="1205"/>
    </i>
    <i>
      <x v="105"/>
      <x v="227"/>
    </i>
    <i>
      <x v="917"/>
      <x v="841"/>
    </i>
    <i>
      <x v="700"/>
      <x v="452"/>
    </i>
    <i>
      <x v="998"/>
      <x v="798"/>
    </i>
    <i>
      <x v="1164"/>
      <x v="846"/>
    </i>
    <i>
      <x v="641"/>
      <x v="866"/>
    </i>
    <i>
      <x v="865"/>
      <x v="1212"/>
    </i>
    <i>
      <x v="621"/>
      <x v="1182"/>
    </i>
    <i>
      <x v="886"/>
      <x v="684"/>
    </i>
    <i>
      <x v="895"/>
      <x v="673"/>
    </i>
    <i>
      <x v="836"/>
      <x v="1104"/>
    </i>
    <i>
      <x v="103"/>
      <x v="570"/>
    </i>
    <i>
      <x v="699"/>
      <x v="451"/>
    </i>
    <i>
      <x v="1163"/>
      <x v="1140"/>
    </i>
    <i>
      <x v="839"/>
      <x v="888"/>
    </i>
    <i>
      <x v="613"/>
      <x v="298"/>
    </i>
    <i>
      <x v="777"/>
      <x v="566"/>
    </i>
    <i>
      <x v="676"/>
      <x v="279"/>
    </i>
    <i>
      <x v="1239"/>
      <x v="739"/>
    </i>
    <i>
      <x v="1099"/>
      <x v="386"/>
    </i>
    <i>
      <x v="1039"/>
      <x v="524"/>
    </i>
    <i>
      <x v="701"/>
      <x v="450"/>
    </i>
    <i>
      <x v="776"/>
      <x v="565"/>
    </i>
    <i>
      <x v="718"/>
      <x v="422"/>
    </i>
    <i>
      <x v="1129"/>
      <x v="346"/>
    </i>
    <i>
      <x v="632"/>
      <x v="300"/>
    </i>
    <i>
      <x v="837"/>
      <x v="1120"/>
    </i>
    <i>
      <x v="564"/>
      <x v="298"/>
    </i>
    <i>
      <x v="959"/>
      <x v="719"/>
    </i>
    <i>
      <x v="975"/>
      <x v="840"/>
    </i>
    <i>
      <x v="1089"/>
      <x v="509"/>
    </i>
    <i>
      <x v="916"/>
      <x v="785"/>
    </i>
    <i>
      <x v="637"/>
      <x v="407"/>
    </i>
    <i>
      <x v="1077"/>
      <x v="304"/>
    </i>
    <i>
      <x v="1082"/>
      <x v="334"/>
    </i>
    <i>
      <x v="779"/>
      <x v="1198"/>
    </i>
    <i>
      <x v="852"/>
      <x v="533"/>
    </i>
    <i>
      <x v="559"/>
      <x v="1206"/>
    </i>
    <i>
      <x v="911"/>
      <x v="668"/>
    </i>
    <i>
      <x v="775"/>
      <x v="564"/>
    </i>
    <i>
      <x v="1088"/>
      <x v="507"/>
    </i>
    <i>
      <x v="643"/>
      <x v="297"/>
    </i>
    <i>
      <x v="1009"/>
      <x v="232"/>
    </i>
    <i>
      <x v="822"/>
      <x v="509"/>
    </i>
    <i>
      <x v="680"/>
      <x v="278"/>
    </i>
    <i>
      <x v="650"/>
      <x v="323"/>
    </i>
    <i>
      <x v="693"/>
      <x v="416"/>
    </i>
    <i>
      <x v="694"/>
      <x v="417"/>
    </i>
    <i>
      <x v="903"/>
      <x v="677"/>
    </i>
    <i>
      <x v="901"/>
      <x v="678"/>
    </i>
    <i>
      <x v="904"/>
      <x v="676"/>
    </i>
    <i>
      <x v="902"/>
      <x v="674"/>
    </i>
    <i>
      <x v="1180"/>
      <x v="351"/>
    </i>
    <i>
      <x v="1327"/>
      <x v="230"/>
    </i>
    <i>
      <x v="692"/>
      <x v="439"/>
    </i>
    <i>
      <x v="1047"/>
      <x v="541"/>
    </i>
    <i>
      <x v="1323"/>
      <x v="1184"/>
    </i>
    <i>
      <x v="627"/>
      <x v="551"/>
    </i>
    <i>
      <x v="691"/>
      <x v="438"/>
    </i>
    <i>
      <x v="1090"/>
      <x v="1239"/>
    </i>
    <i>
      <x v="1048"/>
      <x v="541"/>
    </i>
    <i>
      <x v="898"/>
      <x v="674"/>
    </i>
    <i>
      <x v="899"/>
      <x v="677"/>
    </i>
    <i>
      <x v="816"/>
      <x v="330"/>
    </i>
    <i>
      <x v="604"/>
      <x v="1115"/>
    </i>
    <i>
      <x v="1328"/>
      <x v="471"/>
    </i>
    <i>
      <x v="94"/>
      <x v="555"/>
    </i>
    <i>
      <x v="824"/>
      <x v="878"/>
    </i>
    <i>
      <x v="1084"/>
      <x v="878"/>
    </i>
    <i>
      <x v="963"/>
      <x v="1093"/>
    </i>
    <i>
      <x v="888"/>
      <x v="688"/>
    </i>
    <i>
      <x v="889"/>
      <x v="690"/>
    </i>
    <i>
      <x v="891"/>
      <x v="686"/>
    </i>
    <i>
      <x v="890"/>
      <x v="684"/>
    </i>
    <i>
      <x v="1086"/>
      <x v="328"/>
    </i>
    <i>
      <x v="696"/>
      <x v="412"/>
    </i>
    <i>
      <x v="695"/>
      <x v="411"/>
    </i>
    <i>
      <x v="574"/>
      <x v="344"/>
    </i>
    <i>
      <x v="617"/>
      <x v="1151"/>
    </i>
    <i>
      <x v="523"/>
      <x v="1232"/>
    </i>
    <i>
      <x v="638"/>
      <x v="1091"/>
    </i>
    <i>
      <x v="957"/>
      <x v="1227"/>
    </i>
    <i>
      <x v="720"/>
      <x v="552"/>
    </i>
    <i>
      <x v="1165"/>
      <x v="849"/>
    </i>
    <i>
      <x v="31"/>
      <x v="792"/>
    </i>
    <i>
      <x v="719"/>
      <x v="546"/>
    </i>
    <i>
      <x v="569"/>
      <x v="877"/>
    </i>
    <i>
      <x v="101"/>
      <x v="1124"/>
    </i>
    <i>
      <x v="651"/>
      <x v="616"/>
    </i>
    <i>
      <x v="661"/>
      <x v="639"/>
    </i>
    <i>
      <x v="908"/>
      <x v="667"/>
    </i>
    <i>
      <x v="769"/>
      <x v="1181"/>
    </i>
    <i>
      <x v="765"/>
      <x v="571"/>
    </i>
    <i>
      <x v="766"/>
      <x v="516"/>
    </i>
    <i>
      <x v="767"/>
      <x v="281"/>
    </i>
    <i>
      <x v="768"/>
      <x v="496"/>
    </i>
    <i>
      <x v="770"/>
      <x v="472"/>
    </i>
    <i>
      <x v="884"/>
      <x v="685"/>
    </i>
    <i>
      <x v="918"/>
      <x v="738"/>
    </i>
    <i>
      <x v="1240"/>
      <x v="740"/>
    </i>
    <i>
      <x v="1131"/>
      <x v="875"/>
    </i>
    <i>
      <x v="659"/>
      <x v="275"/>
    </i>
    <i>
      <x v="145"/>
      <x v="237"/>
    </i>
    <i>
      <x v="883"/>
      <x v="687"/>
    </i>
    <i>
      <x v="989"/>
      <x v="897"/>
    </i>
    <i>
      <x v="677"/>
      <x v="321"/>
    </i>
    <i>
      <x v="623"/>
      <x v="494"/>
    </i>
    <i>
      <x v="106"/>
      <x v="228"/>
    </i>
    <i>
      <x v="484"/>
      <x v="873"/>
    </i>
    <i>
      <x v="818"/>
      <x v="331"/>
    </i>
    <i>
      <x v="698"/>
      <x v="414"/>
    </i>
    <i>
      <x v="697"/>
      <x v="413"/>
    </i>
    <i>
      <x v="820"/>
      <x v="507"/>
    </i>
    <i>
      <x v="992"/>
      <x v="789"/>
    </i>
    <i>
      <x v="585"/>
      <x v="717"/>
    </i>
    <i>
      <x v="830"/>
      <x v="510"/>
    </i>
    <i>
      <x v="602"/>
      <x v="1204"/>
    </i>
    <i>
      <x v="874"/>
      <x v="861"/>
    </i>
    <i>
      <x v="962"/>
      <x v="236"/>
    </i>
    <i>
      <x v="829"/>
      <x v="509"/>
    </i>
    <i>
      <x v="828"/>
      <x v="507"/>
    </i>
    <i>
      <x v="971"/>
      <x v="842"/>
    </i>
    <i>
      <x v="1238"/>
      <x v="893"/>
    </i>
    <i>
      <x v="960"/>
      <x v="771"/>
    </i>
    <i>
      <x v="1072"/>
      <x v="1212"/>
    </i>
    <i>
      <x v="609"/>
      <x v="1104"/>
    </i>
    <i>
      <x v="964"/>
      <x v="788"/>
    </i>
    <i>
      <x v="913"/>
      <x v="683"/>
    </i>
    <i>
      <x v="647"/>
      <x v="387"/>
    </i>
    <i>
      <x v="826"/>
      <x v="332"/>
    </i>
    <i>
      <x v="671"/>
      <x v="521"/>
    </i>
    <i>
      <x v="521"/>
      <x v="506"/>
    </i>
    <i>
      <x v="951"/>
      <x v="774"/>
    </i>
    <i>
      <x v="620"/>
      <x v="1193"/>
    </i>
    <i>
      <x v="825"/>
      <x v="331"/>
    </i>
    <i>
      <x v="70"/>
      <x v="1155"/>
    </i>
    <i>
      <x v="961"/>
      <x v="342"/>
    </i>
    <i>
      <x v="991"/>
      <x v="799"/>
    </i>
    <i>
      <x v="618"/>
      <x v="896"/>
    </i>
    <i>
      <x v="835"/>
      <x v="500"/>
    </i>
    <i>
      <x v="935"/>
      <x v="1109"/>
    </i>
    <i>
      <x v="555"/>
      <x v="595"/>
    </i>
    <i>
      <x v="556"/>
      <x v="596"/>
    </i>
    <i>
      <x v="915"/>
      <x v="681"/>
    </i>
    <i>
      <x v="631"/>
      <x v="513"/>
    </i>
    <i>
      <x v="630"/>
      <x v="512"/>
    </i>
    <i>
      <x v="833"/>
      <x v="342"/>
    </i>
    <i>
      <x v="681"/>
      <x v="1110"/>
    </i>
    <i>
      <x v="516"/>
      <x v="705"/>
    </i>
    <i>
      <x v="1135"/>
      <x v="1104"/>
    </i>
    <i>
      <x v="302"/>
      <x v="545"/>
    </i>
    <i>
      <x v="986"/>
      <x v="880"/>
    </i>
    <i>
      <x v="619"/>
      <x v="484"/>
    </i>
    <i>
      <x v="773"/>
      <x v="574"/>
    </i>
    <i>
      <x v="772"/>
      <x v="575"/>
    </i>
    <i>
      <x v="876"/>
      <x v="1191"/>
    </i>
    <i>
      <x v="1179"/>
      <x v="302"/>
    </i>
    <i>
      <x v="109"/>
      <x v="353"/>
    </i>
    <i>
      <x v="727"/>
      <x v="1199"/>
    </i>
    <i>
      <x v="1319"/>
      <x v="235"/>
    </i>
    <i>
      <x v="207"/>
      <x v="560"/>
    </i>
    <i>
      <x v="995"/>
      <x v="874"/>
    </i>
    <i>
      <x v="982"/>
      <x v="339"/>
    </i>
    <i>
      <x v="99"/>
      <x v="354"/>
    </i>
    <i>
      <x v="599"/>
      <x v="388"/>
    </i>
    <i>
      <x v="1128"/>
      <x v="1220"/>
    </i>
    <i>
      <x v="43"/>
      <x v="583"/>
    </i>
    <i>
      <x v="723"/>
      <x v="265"/>
    </i>
    <i>
      <x v="939"/>
      <x v="617"/>
    </i>
    <i>
      <x v="583"/>
      <x v="611"/>
    </i>
    <i>
      <x v="582"/>
      <x v="610"/>
    </i>
    <i>
      <x v="562"/>
      <x v="599"/>
    </i>
    <i>
      <x v="34"/>
      <x v="1201"/>
    </i>
    <i>
      <x v="994"/>
      <x v="299"/>
    </i>
    <i>
      <x v="726"/>
      <x v="584"/>
    </i>
    <i>
      <x v="721"/>
      <x v="262"/>
    </i>
    <i>
      <x v="722"/>
      <x v="261"/>
    </i>
    <i>
      <x v="107"/>
      <x v="555"/>
    </i>
    <i>
      <x v="624"/>
      <x v="485"/>
    </i>
    <i>
      <x v="622"/>
      <x v="638"/>
    </i>
    <i>
      <x v="703"/>
      <x v="436"/>
    </i>
    <i>
      <x v="29"/>
      <x v="792"/>
    </i>
    <i>
      <x v="912"/>
      <x v="668"/>
    </i>
    <i>
      <x v="892"/>
      <x v="670"/>
    </i>
    <i>
      <x v="1320"/>
      <x v="1126"/>
    </i>
    <i>
      <x v="1318"/>
      <x v="233"/>
    </i>
    <i>
      <x v="943"/>
      <x v="892"/>
    </i>
    <i>
      <x v="566"/>
      <x v="601"/>
    </i>
    <i>
      <x v="567"/>
      <x v="602"/>
    </i>
    <i>
      <x v="993"/>
      <x v="491"/>
    </i>
    <i>
      <x v="41"/>
      <x v="483"/>
    </i>
    <i>
      <x v="218"/>
      <x v="979"/>
    </i>
    <i>
      <x v="914"/>
      <x v="670"/>
    </i>
    <i>
      <x v="978"/>
      <x v="837"/>
    </i>
    <i>
      <x v="1321"/>
      <x v="1125"/>
    </i>
    <i>
      <x v="725"/>
      <x v="266"/>
    </i>
    <i>
      <x v="679"/>
      <x v="1222"/>
    </i>
    <i>
      <x v="1132"/>
      <x v="654"/>
    </i>
    <i>
      <x v="838"/>
      <x v="867"/>
    </i>
    <i>
      <x v="491"/>
      <x v="1038"/>
    </i>
    <i>
      <x v="1134"/>
      <x v="1200"/>
    </i>
    <i>
      <x v="724"/>
      <x v="267"/>
    </i>
    <i>
      <x v="39"/>
      <x v="1196"/>
    </i>
    <i>
      <x v="851"/>
      <x v="534"/>
    </i>
    <i>
      <x v="577"/>
      <x v="608"/>
    </i>
    <i>
      <x v="576"/>
      <x v="607"/>
    </i>
    <i>
      <x v="309"/>
      <x v="289"/>
    </i>
    <i>
      <x v="291"/>
      <x v="1020"/>
    </i>
    <i>
      <x v="571"/>
      <x v="604"/>
    </i>
    <i>
      <x v="572"/>
      <x v="605"/>
    </i>
    <i>
      <x v="675"/>
      <x v="641"/>
    </i>
    <i>
      <x v="155"/>
      <x v="1058"/>
    </i>
    <i>
      <x v="478"/>
      <x v="1230"/>
    </i>
    <i>
      <x v="645"/>
      <x v="1090"/>
    </i>
    <i>
      <x v="494"/>
      <x v="627"/>
    </i>
    <i>
      <x v="83"/>
      <x v="272"/>
    </i>
    <i>
      <x v="293"/>
      <x v="1021"/>
    </i>
    <i>
      <x v="125"/>
      <x v="940"/>
    </i>
    <i>
      <x v="1317"/>
      <x v="231"/>
    </i>
    <i>
      <x v="1349"/>
      <x v="753"/>
    </i>
    <i>
      <x v="32"/>
      <x v="832"/>
    </i>
    <i>
      <x v="587"/>
      <x v="613"/>
    </i>
    <i>
      <x v="111"/>
      <x v="1061"/>
    </i>
    <i>
      <x v="1230"/>
      <x v="1217"/>
    </i>
    <i>
      <x v="196"/>
      <x v="1063"/>
    </i>
    <i>
      <x v="297"/>
      <x v="1086"/>
    </i>
    <i>
      <x v="1252"/>
      <x v="1050"/>
    </i>
    <i>
      <x v="845"/>
      <x v="847"/>
    </i>
    <i>
      <x v="126"/>
      <x v="938"/>
    </i>
    <i>
      <x v="307"/>
      <x v="976"/>
    </i>
    <i>
      <x v="96"/>
      <x v="227"/>
    </i>
    <i>
      <x v="1283"/>
      <x v="1209"/>
    </i>
    <i>
      <x v="1329"/>
      <x v="246"/>
    </i>
    <i>
      <x v="123"/>
      <x v="1024"/>
    </i>
    <i>
      <x v="1253"/>
      <x v="1048"/>
    </i>
    <i>
      <x v="148"/>
      <x v="942"/>
    </i>
    <i>
      <x v="1355"/>
      <x v="290"/>
    </i>
    <i>
      <x v="417"/>
      <x v="825"/>
    </i>
    <i>
      <x v="1341"/>
      <x v="759"/>
    </i>
    <i>
      <x v="1351"/>
      <x v="754"/>
    </i>
    <i>
      <x v="33"/>
      <x v="1203"/>
    </i>
    <i>
      <x v="367"/>
      <x v="324"/>
    </i>
    <i>
      <x v="290"/>
      <x v="952"/>
    </i>
    <i>
      <x v="358"/>
      <x v="794"/>
    </i>
    <i>
      <x v="187"/>
      <x v="921"/>
    </i>
    <i>
      <x v="14"/>
      <x v="1172"/>
    </i>
    <i>
      <x v="131"/>
      <x v="1064"/>
    </i>
    <i>
      <x v="184"/>
      <x v="936"/>
    </i>
    <i>
      <x v="141"/>
      <x v="1057"/>
    </i>
    <i>
      <x v="541"/>
      <x v="968"/>
    </i>
    <i>
      <x v="351"/>
      <x v="664"/>
    </i>
    <i>
      <x v="414"/>
      <x v="912"/>
    </i>
    <i>
      <x v="499"/>
      <x v="1215"/>
    </i>
    <i>
      <x v="69"/>
      <x v="225"/>
    </i>
    <i>
      <x v="159"/>
      <x v="243"/>
    </i>
    <i>
      <x v="404"/>
      <x v="1111"/>
    </i>
    <i>
      <x v="72"/>
      <x v="929"/>
    </i>
    <i>
      <x v="138"/>
      <x v="918"/>
    </i>
    <i>
      <x/>
      <x v="1014"/>
    </i>
    <i>
      <x v="369"/>
      <x v="1082"/>
    </i>
    <i>
      <x v="10"/>
      <x v="996"/>
    </i>
    <i>
      <x v="71"/>
      <x v="988"/>
    </i>
    <i>
      <x v="132"/>
      <x v="985"/>
    </i>
    <i>
      <x v="390"/>
      <x v="1190"/>
    </i>
    <i>
      <x v="1307"/>
      <x v="826"/>
    </i>
    <i>
      <x v="154"/>
      <x v="497"/>
    </i>
    <i>
      <x v="174"/>
      <x v="1036"/>
    </i>
    <i>
      <x v="387"/>
      <x v="853"/>
    </i>
    <i>
      <x v="149"/>
      <x v="943"/>
    </i>
    <i>
      <x v="1299"/>
      <x v="1073"/>
    </i>
    <i>
      <x v="496"/>
      <x v="752"/>
    </i>
    <i>
      <x v="84"/>
      <x v="273"/>
    </i>
    <i>
      <x v="362"/>
      <x v="1130"/>
    </i>
    <i>
      <x v="129"/>
      <x v="366"/>
    </i>
    <i>
      <x v="1237"/>
      <x v="356"/>
    </i>
    <i>
      <x v="1264"/>
      <x v="925"/>
    </i>
    <i>
      <x v="76"/>
      <x v="651"/>
    </i>
    <i>
      <x v="163"/>
      <x v="663"/>
    </i>
    <i>
      <x v="834"/>
      <x v="875"/>
    </i>
    <i>
      <x v="517"/>
      <x v="1101"/>
    </i>
    <i>
      <x v="164"/>
      <x v="1065"/>
    </i>
    <i>
      <x v="46"/>
      <x v="586"/>
    </i>
    <i>
      <x v="81"/>
      <x v="883"/>
    </i>
    <i>
      <x v="366"/>
      <x v="1084"/>
    </i>
    <i>
      <x v="188"/>
      <x v="924"/>
    </i>
    <i>
      <x v="257"/>
      <x v="692"/>
    </i>
    <i>
      <x v="135"/>
      <x v="1047"/>
    </i>
    <i>
      <x v="1281"/>
      <x v="887"/>
    </i>
    <i>
      <x v="1315"/>
      <x v="1087"/>
    </i>
    <i>
      <x v="277"/>
      <x v="713"/>
    </i>
    <i>
      <x v="150"/>
      <x v="1223"/>
    </i>
    <i>
      <x v="310"/>
      <x v="1096"/>
    </i>
    <i>
      <x v="340"/>
      <x v="248"/>
    </i>
    <i>
      <x v="500"/>
      <x v="882"/>
    </i>
    <i>
      <x v="226"/>
      <x v="1089"/>
    </i>
    <i>
      <x v="172"/>
      <x v="384"/>
    </i>
    <i>
      <x v="315"/>
      <x v="984"/>
    </i>
    <i>
      <x v="114"/>
      <x v="1098"/>
    </i>
    <i>
      <x v="1332"/>
      <x v="487"/>
    </i>
    <i>
      <x v="295"/>
      <x v="903"/>
    </i>
    <i>
      <x v="85"/>
      <x v="1163"/>
    </i>
    <i>
      <x v="325"/>
      <x v="908"/>
    </i>
    <i>
      <x v="118"/>
      <x v="747"/>
    </i>
    <i>
      <x v="38"/>
      <x v="1238"/>
    </i>
    <i>
      <x v="305"/>
      <x v="964"/>
    </i>
    <i>
      <x v="219"/>
      <x v="1078"/>
    </i>
    <i>
      <x v="1350"/>
      <x v="1068"/>
    </i>
    <i>
      <x v="301"/>
      <x v="1170"/>
    </i>
    <i>
      <x v="334"/>
      <x v="1164"/>
    </i>
    <i>
      <x v="65"/>
      <x v="1035"/>
    </i>
    <i>
      <x v="400"/>
      <x v="361"/>
    </i>
    <i>
      <x v="399"/>
      <x v="1218"/>
    </i>
    <i>
      <x v="45"/>
      <x v="1158"/>
    </i>
    <i>
      <x v="142"/>
      <x v="238"/>
    </i>
    <i>
      <x v="289"/>
      <x v="1102"/>
    </i>
    <i>
      <x v="416"/>
      <x v="913"/>
    </i>
    <i>
      <x v="264"/>
      <x v="492"/>
    </i>
    <i>
      <x v="285"/>
      <x v="1113"/>
    </i>
    <i>
      <x v="268"/>
      <x v="764"/>
    </i>
    <i>
      <x v="13"/>
      <x v="242"/>
    </i>
    <i>
      <x v="1346"/>
      <x v="973"/>
    </i>
    <i>
      <x v="1"/>
      <x v="1015"/>
    </i>
    <i>
      <x v="178"/>
      <x v="286"/>
    </i>
    <i>
      <x v="8"/>
      <x v="864"/>
    </i>
    <i>
      <x v="284"/>
      <x v="751"/>
    </i>
    <i>
      <x v="1297"/>
      <x v="1013"/>
    </i>
    <i>
      <x v="382"/>
      <x v="363"/>
    </i>
    <i>
      <x v="66"/>
      <x v="1071"/>
    </i>
    <i>
      <x v="130"/>
      <x v="1062"/>
    </i>
    <i>
      <x v="663"/>
      <x v="694"/>
    </i>
    <i>
      <x v="23"/>
      <x v="553"/>
    </i>
    <i>
      <x v="348"/>
      <x v="729"/>
    </i>
    <i>
      <x v="1336"/>
      <x v="1179"/>
    </i>
    <i>
      <x v="80"/>
      <x v="252"/>
    </i>
    <i>
      <x v="394"/>
      <x v="769"/>
    </i>
    <i>
      <x v="140"/>
      <x v="917"/>
    </i>
    <i>
      <x v="68"/>
      <x v="317"/>
    </i>
    <i>
      <x v="1313"/>
      <x v="946"/>
    </i>
    <i>
      <x v="670"/>
      <x v="1123"/>
    </i>
    <i>
      <x v="303"/>
      <x v="965"/>
    </i>
    <i>
      <x v="381"/>
      <x v="362"/>
    </i>
    <i>
      <x v="170"/>
      <x v="947"/>
    </i>
    <i>
      <x v="116"/>
      <x v="746"/>
    </i>
    <i>
      <x v="359"/>
      <x v="1166"/>
    </i>
    <i>
      <x v="276"/>
      <x v="515"/>
    </i>
    <i>
      <x v="361"/>
      <x v="468"/>
    </i>
    <i>
      <x v="352"/>
      <x v="1147"/>
    </i>
    <i>
      <x v="28"/>
      <x v="1202"/>
    </i>
    <i>
      <x v="662"/>
      <x v="639"/>
    </i>
    <i>
      <x v="360"/>
      <x v="381"/>
    </i>
    <i>
      <x v="1302"/>
      <x v="755"/>
    </i>
    <i>
      <x v="120"/>
      <x v="971"/>
    </i>
    <i>
      <x v="136"/>
      <x v="944"/>
    </i>
    <i>
      <x v="1342"/>
      <x v="758"/>
    </i>
    <i>
      <x v="1266"/>
      <x v="1094"/>
    </i>
    <i>
      <x v="320"/>
      <x v="696"/>
    </i>
    <i>
      <x v="9"/>
      <x v="1180"/>
    </i>
    <i>
      <x v="74"/>
      <x v="358"/>
    </i>
    <i>
      <x v="1361"/>
      <x v="1033"/>
    </i>
    <i>
      <x v="668"/>
      <x v="655"/>
    </i>
    <i>
      <x v="1356"/>
      <x v="757"/>
    </i>
    <i>
      <x v="357"/>
      <x v="665"/>
    </i>
    <i>
      <x v="398"/>
      <x v="1188"/>
    </i>
    <i>
      <x v="1353"/>
      <x v="291"/>
    </i>
    <i>
      <x v="78"/>
      <x v="251"/>
    </i>
    <i>
      <x v="372"/>
      <x v="1218"/>
    </i>
    <i>
      <x v="122"/>
      <x v="950"/>
    </i>
    <i>
      <x v="540"/>
      <x v="582"/>
    </i>
    <i>
      <x v="1335"/>
      <x v="283"/>
    </i>
    <i>
      <x v="279"/>
      <x v="626"/>
    </i>
    <i>
      <x v="317"/>
      <x v="518"/>
    </i>
    <i>
      <x v="253"/>
      <x v="576"/>
    </i>
    <i>
      <x v="56"/>
      <x v="255"/>
    </i>
    <i>
      <x v="363"/>
      <x v="650"/>
    </i>
    <i>
      <x v="665"/>
      <x v="693"/>
    </i>
    <i>
      <x v="674"/>
      <x v="1119"/>
    </i>
    <i>
      <x v="332"/>
      <x v="624"/>
    </i>
    <i>
      <x v="7"/>
      <x v="983"/>
    </i>
    <i>
      <x v="673"/>
      <x v="520"/>
    </i>
    <i>
      <x v="1352"/>
      <x v="1069"/>
    </i>
    <i>
      <x v="503"/>
      <x v="914"/>
    </i>
    <i>
      <x v="57"/>
      <x v="620"/>
    </i>
    <i>
      <x v="330"/>
      <x v="360"/>
    </i>
    <i>
      <x v="1267"/>
      <x v="963"/>
    </i>
    <i>
      <x v="508"/>
      <x v="1045"/>
    </i>
    <i>
      <x v="273"/>
      <x v="1075"/>
    </i>
    <i>
      <x v="402"/>
      <x v="1146"/>
    </i>
    <i>
      <x v="11"/>
      <x v="240"/>
    </i>
    <i>
      <x v="64"/>
      <x v="777"/>
    </i>
    <i>
      <x v="343"/>
      <x v="725"/>
    </i>
    <i>
      <x v="15"/>
      <x v="1037"/>
    </i>
    <i>
      <x v="388"/>
      <x v="768"/>
    </i>
    <i>
      <x v="225"/>
      <x v="371"/>
    </i>
    <i>
      <x v="1304"/>
      <x v="1039"/>
    </i>
    <i>
      <x v="316"/>
      <x v="517"/>
    </i>
    <i>
      <x v="168"/>
      <x v="1018"/>
    </i>
    <i>
      <x v="406"/>
      <x v="795"/>
    </i>
    <i>
      <x v="386"/>
      <x v="961"/>
    </i>
    <i>
      <x v="1224"/>
      <x v="1009"/>
    </i>
    <i>
      <x v="1221"/>
      <x v="927"/>
    </i>
    <i>
      <x v="239"/>
      <x v="658"/>
    </i>
    <i>
      <x v="313"/>
      <x v="284"/>
    </i>
    <i>
      <x v="86"/>
      <x v="1168"/>
    </i>
    <i>
      <x v="161"/>
      <x v="1099"/>
    </i>
    <i>
      <x v="52"/>
      <x v="872"/>
    </i>
    <i>
      <x v="50"/>
      <x v="916"/>
    </i>
    <i>
      <x v="336"/>
      <x v="723"/>
    </i>
    <i>
      <x v="1261"/>
      <x v="981"/>
    </i>
    <i>
      <x v="409"/>
      <x v="244"/>
    </i>
    <i>
      <x v="134"/>
      <x v="1010"/>
    </i>
    <i>
      <x v="335"/>
      <x v="470"/>
    </i>
    <i>
      <x v="137"/>
      <x v="945"/>
    </i>
    <i>
      <x v="265"/>
      <x v="271"/>
    </i>
    <i>
      <x v="272"/>
      <x v="318"/>
    </i>
    <i>
      <x v="1243"/>
      <x v="928"/>
    </i>
    <i>
      <x v="59"/>
      <x v="1016"/>
    </i>
    <i>
      <x v="288"/>
      <x v="1002"/>
    </i>
    <i>
      <x v="1231"/>
      <x v="305"/>
    </i>
    <i>
      <x v="1330"/>
      <x v="467"/>
    </i>
    <i>
      <x v="403"/>
      <x v="722"/>
    </i>
    <i>
      <x v="408"/>
      <x v="1145"/>
    </i>
    <i>
      <x v="162"/>
      <x v="695"/>
    </i>
    <i>
      <x v="1334"/>
      <x v="953"/>
    </i>
    <i>
      <x v="281"/>
      <x v="1194"/>
    </i>
    <i>
      <x v="139"/>
      <x v="1034"/>
    </i>
    <i>
      <x v="91"/>
      <x v="986"/>
    </i>
    <i>
      <x v="364"/>
      <x v="559"/>
    </i>
    <i>
      <x v="190"/>
      <x v="241"/>
    </i>
    <i>
      <x v="1303"/>
      <x v="972"/>
    </i>
    <i>
      <x v="287"/>
      <x v="966"/>
    </i>
    <i>
      <x v="380"/>
      <x v="316"/>
    </i>
    <i>
      <x v="349"/>
      <x v="1144"/>
    </i>
    <i>
      <x v="133"/>
      <x v="776"/>
    </i>
    <i>
      <x v="1229"/>
      <x v="380"/>
    </i>
    <i>
      <x v="395"/>
      <x v="999"/>
    </i>
    <i>
      <x v="269"/>
      <x v="249"/>
    </i>
    <i>
      <x v="333"/>
      <x v="623"/>
    </i>
    <i>
      <x v="507"/>
      <x v="926"/>
    </i>
    <i>
      <x v="370"/>
      <x v="862"/>
    </i>
    <i>
      <x v="93"/>
      <x v="315"/>
    </i>
    <i>
      <x v="393"/>
      <x v="756"/>
    </i>
    <i>
      <x v="347"/>
      <x v="657"/>
    </i>
    <i>
      <x v="282"/>
      <x v="885"/>
    </i>
    <i>
      <x v="1256"/>
      <x v="1049"/>
    </i>
    <i>
      <x v="119"/>
      <x v="970"/>
    </i>
    <i>
      <x v="275"/>
      <x v="801"/>
    </i>
    <i>
      <x v="1227"/>
      <x v="1012"/>
    </i>
    <i>
      <x v="345"/>
      <x v="348"/>
    </i>
    <i>
      <x v="12"/>
      <x v="239"/>
    </i>
    <i>
      <x v="186"/>
      <x v="854"/>
    </i>
    <i>
      <x v="223"/>
      <x v="803"/>
    </i>
    <i>
      <x v="6"/>
      <x v="982"/>
    </i>
    <i>
      <x v="350"/>
      <x v="1148"/>
    </i>
    <i>
      <x v="166"/>
      <x v="1051"/>
    </i>
    <i>
      <x v="176"/>
      <x v="656"/>
    </i>
    <i>
      <x v="1234"/>
      <x v="314"/>
    </i>
    <i>
      <x v="412"/>
      <x v="1043"/>
    </i>
    <i>
      <x v="391"/>
      <x v="349"/>
    </i>
    <i>
      <x v="355"/>
      <x v="701"/>
    </i>
    <i>
      <x v="156"/>
      <x v="1044"/>
    </i>
    <i>
      <x v="199"/>
      <x v="372"/>
    </i>
    <i>
      <x v="22"/>
      <x v="554"/>
    </i>
    <i>
      <x v="1259"/>
      <x v="762"/>
    </i>
    <i>
      <x v="271"/>
      <x v="587"/>
    </i>
    <i>
      <x v="298"/>
      <x v="1100"/>
    </i>
    <i>
      <x v="252"/>
      <x v="1019"/>
    </i>
    <i>
      <x v="236"/>
      <x v="951"/>
    </i>
    <i>
      <x v="405"/>
      <x v="1112"/>
    </i>
    <i>
      <x v="115"/>
      <x v="748"/>
    </i>
    <i>
      <x v="368"/>
      <x v="824"/>
    </i>
    <i>
      <x v="153"/>
      <x v="922"/>
    </i>
    <i>
      <x v="127"/>
      <x v="585"/>
    </i>
    <i>
      <x v="324"/>
      <x v="907"/>
    </i>
    <i>
      <x v="338"/>
      <x v="886"/>
    </i>
    <i>
      <x v="117"/>
      <x v="749"/>
    </i>
    <i>
      <x v="401"/>
      <x v="700"/>
    </i>
    <i>
      <x v="180"/>
      <x v="855"/>
    </i>
    <i>
      <x v="397"/>
      <x v="737"/>
    </i>
    <i>
      <x v="1340"/>
      <x v="1054"/>
    </i>
    <i>
      <x v="515"/>
      <x v="1040"/>
    </i>
    <i>
      <x v="528"/>
      <x v="962"/>
    </i>
    <i>
      <x v="1339"/>
      <x v="954"/>
    </i>
    <i>
      <x v="1248"/>
      <x v="920"/>
    </i>
    <i>
      <x v="62"/>
      <x v="975"/>
    </i>
    <i>
      <x v="1348"/>
      <x v="761"/>
    </i>
    <i>
      <x v="48"/>
      <x v="992"/>
    </i>
    <i>
      <x v="1347"/>
      <x v="998"/>
    </i>
    <i>
      <x v="53"/>
      <x v="368"/>
    </i>
    <i>
      <x v="1241"/>
      <x v="1053"/>
    </i>
    <i>
      <x v="1223"/>
      <x v="1008"/>
    </i>
    <i>
      <x v="383"/>
      <x v="1187"/>
    </i>
    <i>
      <x v="379"/>
      <x v="1026"/>
    </i>
    <i>
      <x v="47"/>
      <x v="995"/>
    </i>
    <i>
      <x v="262"/>
      <x v="890"/>
    </i>
    <i>
      <x v="1269"/>
      <x v="833"/>
    </i>
    <i>
      <x v="258"/>
      <x v="577"/>
    </i>
    <i>
      <x v="121"/>
      <x v="410"/>
    </i>
    <i>
      <x v="411"/>
      <x v="1218"/>
    </i>
    <i>
      <x v="51"/>
      <x v="994"/>
    </i>
    <i>
      <x v="220"/>
      <x v="1083"/>
    </i>
    <i>
      <x v="113"/>
      <x v="1011"/>
    </i>
    <i>
      <x v="5"/>
      <x v="1157"/>
    </i>
    <i>
      <x v="504"/>
      <x v="915"/>
    </i>
    <i>
      <x v="378"/>
      <x v="226"/>
    </i>
    <i>
      <x v="354"/>
      <x v="519"/>
    </i>
    <i>
      <x v="242"/>
      <x v="1178"/>
    </i>
    <i>
      <x v="280"/>
      <x v="1176"/>
    </i>
    <i>
      <x v="410"/>
      <x v="511"/>
    </i>
    <i>
      <x v="413"/>
      <x v="900"/>
    </i>
    <i>
      <x v="385"/>
      <x v="909"/>
    </i>
    <i>
      <x v="233"/>
      <x v="857"/>
    </i>
    <i>
      <x v="339"/>
      <x v="702"/>
    </i>
    <i>
      <x v="1245"/>
      <x v="852"/>
    </i>
    <i>
      <x v="356"/>
      <x v="1074"/>
    </i>
    <i>
      <x v="255"/>
      <x v="1017"/>
    </i>
    <i>
      <x v="1363"/>
      <x v="923"/>
    </i>
    <i>
      <x v="392"/>
      <x v="997"/>
    </i>
    <i>
      <x v="82"/>
      <x v="1061"/>
    </i>
    <i>
      <x v="758"/>
      <x v="1041"/>
    </i>
    <i>
      <x v="511"/>
      <x v="804"/>
    </i>
    <i>
      <x v="505"/>
      <x v="919"/>
    </i>
    <i>
      <x v="296"/>
      <x v="1129"/>
    </i>
    <i>
      <x v="329"/>
      <x v="320"/>
    </i>
    <i>
      <x v="327"/>
      <x v="1177"/>
    </i>
    <i>
      <x v="1218"/>
      <x v="1042"/>
    </i>
    <i>
      <x v="274"/>
      <x v="357"/>
    </i>
    <i>
      <x v="1311"/>
      <x v="1171"/>
    </i>
    <i>
      <x v="1324"/>
      <x v="836"/>
    </i>
    <i>
      <x v="407"/>
      <x v="736"/>
    </i>
    <i>
      <x v="232"/>
      <x v="856"/>
    </i>
    <i>
      <x v="1357"/>
      <x v="1070"/>
    </i>
    <i>
      <x v="510"/>
      <x v="359"/>
    </i>
    <i>
      <x v="18"/>
      <x v="1161"/>
    </i>
    <i>
      <x v="331"/>
      <x v="1128"/>
    </i>
    <i>
      <x v="246"/>
      <x v="871"/>
    </i>
    <i>
      <x v="183"/>
      <x v="579"/>
    </i>
    <i>
      <x v="1365"/>
      <x v="364"/>
    </i>
    <i>
      <x v="518"/>
      <x v="796"/>
    </i>
    <i>
      <x v="384"/>
      <x v="910"/>
    </i>
    <i>
      <x v="238"/>
      <x v="1081"/>
    </i>
    <i>
      <x v="263"/>
      <x v="889"/>
    </i>
    <i>
      <x v="925"/>
      <x v="557"/>
    </i>
    <i>
      <x v="922"/>
      <x v="548"/>
    </i>
    <i>
      <x v="921"/>
      <x v="547"/>
    </i>
    <i>
      <x v="1359"/>
      <x v="221"/>
    </i>
    <i>
      <x v="923"/>
      <x v="549"/>
    </i>
    <i>
      <x v="924"/>
      <x v="556"/>
    </i>
    <i>
      <x v="926"/>
      <x v="558"/>
    </i>
    <i>
      <x v="328"/>
      <x v="1224"/>
    </i>
    <i>
      <x v="169"/>
      <x v="1067"/>
    </i>
    <i>
      <x v="1268"/>
      <x v="815"/>
    </i>
    <i>
      <x v="1306"/>
      <x v="834"/>
    </i>
    <i>
      <x v="1364"/>
      <x v="967"/>
    </i>
    <i>
      <x v="513"/>
      <x v="1046"/>
    </i>
    <i>
      <x v="514"/>
      <x v="319"/>
    </i>
    <i>
      <x v="542"/>
      <x v="969"/>
    </i>
    <i>
      <x v="249"/>
      <x v="868"/>
    </i>
    <i>
      <x v="497"/>
      <x v="1162"/>
    </i>
    <i>
      <x v="189"/>
      <x v="369"/>
    </i>
    <i>
      <x v="158"/>
      <x v="376"/>
    </i>
    <i>
      <x v="1251"/>
      <x v="1031"/>
    </i>
    <i>
      <x v="1254"/>
      <x v="1029"/>
    </i>
    <i>
      <x v="526"/>
      <x v="1027"/>
    </i>
    <i>
      <x v="270"/>
      <x v="625"/>
    </i>
    <i>
      <x v="160"/>
      <x v="370"/>
    </i>
    <i>
      <x v="1316"/>
      <x v="1165"/>
    </i>
    <i>
      <x v="147"/>
      <x v="1052"/>
    </i>
    <i>
      <x v="1262"/>
      <x v="800"/>
    </i>
    <i>
      <x v="1362"/>
      <x v="469"/>
    </i>
    <i>
      <x v="1255"/>
      <x v="1028"/>
    </i>
    <i>
      <x v="17"/>
      <x v="1160"/>
    </i>
    <i>
      <x v="197"/>
      <x v="367"/>
    </i>
    <i>
      <x v="1263"/>
      <x v="1079"/>
    </i>
    <i>
      <x v="61"/>
      <x v="974"/>
    </i>
    <i>
      <x v="245"/>
      <x v="870"/>
    </i>
    <i>
      <x v="306"/>
      <x v="978"/>
    </i>
    <i>
      <x v="492"/>
      <x v="1085"/>
    </i>
    <i>
      <x v="353"/>
      <x v="260"/>
    </i>
    <i>
      <x v="4"/>
      <x v="588"/>
    </i>
    <i>
      <x v="1325"/>
      <x v="1132"/>
    </i>
    <i>
      <x v="1360"/>
      <x v="223"/>
    </i>
    <i>
      <x v="927"/>
      <x v="268"/>
    </i>
    <i>
      <x v="932"/>
      <x v="263"/>
    </i>
    <i>
      <x v="929"/>
      <x v="270"/>
    </i>
    <i>
      <x v="930"/>
      <x v="1228"/>
    </i>
    <i>
      <x v="928"/>
      <x v="269"/>
    </i>
    <i>
      <x v="802"/>
      <x v="338"/>
    </i>
    <i>
      <x v="58"/>
      <x v="1133"/>
    </i>
    <i>
      <x v="1257"/>
      <x v="1167"/>
    </i>
    <i>
      <x v="365"/>
      <x v="581"/>
    </i>
    <i>
      <x v="217"/>
      <x v="979"/>
    </i>
    <i>
      <x v="259"/>
      <x v="948"/>
    </i>
    <i>
      <x v="1296"/>
      <x v="1077"/>
    </i>
    <i>
      <x v="1246"/>
      <x v="1066"/>
    </i>
    <i>
      <x v="248"/>
      <x v="957"/>
    </i>
    <i>
      <x v="216"/>
      <x v="1056"/>
    </i>
    <i>
      <x v="308"/>
      <x v="1159"/>
    </i>
    <i>
      <x v="1309"/>
      <x v="763"/>
    </i>
    <i>
      <x v="1314"/>
      <x v="1080"/>
    </i>
    <i>
      <x v="371"/>
      <x v="1218"/>
    </i>
    <i>
      <x v="1222"/>
      <x v="383"/>
    </i>
    <i>
      <x v="415"/>
      <x v="899"/>
    </i>
    <i>
      <x v="221"/>
      <x v="933"/>
    </i>
    <i>
      <x v="3"/>
      <x v="859"/>
    </i>
    <i>
      <x v="167"/>
      <x v="660"/>
    </i>
    <i>
      <x v="294"/>
      <x v="937"/>
    </i>
    <i>
      <x v="1310"/>
      <x v="760"/>
    </i>
    <i>
      <x v="1249"/>
      <x v="941"/>
    </i>
    <i>
      <x v="1265"/>
      <x v="1095"/>
    </i>
    <i>
      <x v="389"/>
      <x v="1156"/>
    </i>
    <i>
      <x v="396"/>
      <x v="1000"/>
    </i>
    <i>
      <x v="292"/>
      <x v="1023"/>
    </i>
    <i>
      <x v="337"/>
      <x v="1111"/>
    </i>
    <i>
      <x v="1358"/>
      <x v="222"/>
    </i>
    <i>
      <x v="1233"/>
      <x v="313"/>
    </i>
    <i>
      <x v="1354"/>
      <x v="220"/>
    </i>
    <i>
      <x v="175"/>
      <x v="578"/>
    </i>
    <i>
      <x v="173"/>
      <x v="659"/>
    </i>
    <i>
      <x v="54"/>
      <x v="619"/>
    </i>
    <i>
      <x v="1260"/>
      <x v="980"/>
    </i>
    <i>
      <x v="1298"/>
      <x v="1078"/>
    </i>
    <i>
      <x v="501"/>
      <x v="901"/>
    </i>
    <i>
      <x v="506"/>
      <x v="931"/>
    </i>
    <i>
      <x v="67"/>
      <x v="316"/>
    </i>
    <i>
      <x v="49"/>
      <x v="993"/>
    </i>
    <i>
      <x v="283"/>
      <x v="750"/>
    </i>
    <i>
      <x v="260"/>
      <x v="949"/>
    </i>
    <i>
      <x v="266"/>
      <x v="728"/>
    </i>
    <i>
      <x v="112"/>
      <x v="1189"/>
    </i>
    <i>
      <x v="215"/>
      <x v="955"/>
    </i>
    <i>
      <x v="375"/>
      <x v="1025"/>
    </i>
    <i>
      <x v="55"/>
      <x v="256"/>
    </i>
    <i>
      <x v="75"/>
      <x v="651"/>
    </i>
    <i>
      <x v="124"/>
      <x v="939"/>
    </i>
    <i>
      <x v="304"/>
      <x v="956"/>
    </i>
    <i>
      <x v="16"/>
      <x v="1030"/>
    </i>
    <i>
      <x v="323"/>
      <x v="307"/>
    </i>
    <i>
      <x v="267"/>
      <x v="765"/>
    </i>
    <i>
      <x v="1247"/>
      <x v="1022"/>
    </i>
    <i>
      <x v="1305"/>
      <x v="835"/>
    </i>
    <i>
      <x v="1242"/>
      <x v="930"/>
    </i>
    <i>
      <x v="1308"/>
      <x v="805"/>
    </i>
    <i>
      <x v="1300"/>
      <x v="1055"/>
    </i>
    <i>
      <x v="373"/>
      <x v="355"/>
    </i>
    <i>
      <x v="314"/>
      <x v="869"/>
    </i>
    <i>
      <x v="128"/>
      <x v="365"/>
    </i>
    <i>
      <x v="92"/>
      <x v="312"/>
    </i>
    <i>
      <x v="90"/>
      <x v="1185"/>
    </i>
    <i>
      <x v="177"/>
      <x v="991"/>
    </i>
    <i>
      <x v="79"/>
      <x v="253"/>
    </i>
    <i>
      <x v="312"/>
      <x v="284"/>
    </i>
    <i>
      <x v="256"/>
      <x v="904"/>
    </i>
    <i>
      <x v="227"/>
      <x v="1168"/>
    </i>
    <i>
      <x v="88"/>
      <x v="881"/>
    </i>
    <i>
      <x v="1258"/>
      <x v="766"/>
    </i>
    <i>
      <x v="1236"/>
      <x v="389"/>
    </i>
    <i>
      <x v="1219"/>
      <x v="1060"/>
    </i>
    <i>
      <x v="1228"/>
      <x v="380"/>
    </i>
    <i>
      <x v="1226"/>
      <x v="1004"/>
    </i>
    <i>
      <x v="1244"/>
      <x v="1005"/>
    </i>
    <i>
      <x v="502"/>
      <x v="902"/>
    </i>
    <i>
      <x v="376"/>
      <x v="960"/>
    </i>
    <i>
      <x v="527"/>
      <x v="224"/>
    </i>
    <i>
      <x v="538"/>
      <x v="1001"/>
    </i>
    <i>
      <x v="374"/>
      <x v="1135"/>
    </i>
    <i>
      <x v="512"/>
      <x v="911"/>
    </i>
    <i>
      <x v="495"/>
      <x v="1173"/>
    </i>
    <i>
      <x v="539"/>
      <x v="311"/>
    </i>
    <i>
      <x v="214"/>
      <x v="1006"/>
    </i>
    <i>
      <x v="241"/>
      <x v="1178"/>
    </i>
    <i>
      <x v="299"/>
      <x v="790"/>
    </i>
    <i>
      <x v="179"/>
      <x v="855"/>
    </i>
    <i>
      <x v="243"/>
      <x v="934"/>
    </i>
    <i>
      <x v="222"/>
      <x v="802"/>
    </i>
    <i>
      <x v="185"/>
      <x v="854"/>
    </i>
    <i>
      <x v="181"/>
      <x v="1216"/>
    </i>
    <i>
      <x v="237"/>
      <x v="990"/>
    </i>
    <i>
      <x v="224"/>
      <x v="373"/>
    </i>
    <i>
      <x v="87"/>
      <x v="977"/>
    </i>
    <i>
      <x v="182"/>
      <x v="580"/>
    </i>
    <i>
      <x v="244"/>
      <x v="870"/>
    </i>
    <i>
      <x v="229"/>
      <x v="375"/>
    </i>
    <i>
      <x v="230"/>
      <x v="905"/>
    </i>
    <i>
      <x v="231"/>
      <x v="858"/>
    </i>
    <i>
      <x v="1301"/>
      <x v="1169"/>
    </i>
    <i>
      <x v="1006"/>
      <x v="652"/>
    </i>
    <i>
      <x v="881"/>
      <x v="689"/>
    </i>
    <i>
      <x v="882"/>
      <x v="680"/>
    </i>
    <i>
      <x v="905"/>
      <x v="669"/>
    </i>
    <i>
      <x v="1220"/>
      <x v="932"/>
    </i>
    <i>
      <x v="1250"/>
      <x v="767"/>
    </i>
    <i>
      <x v="1012"/>
      <x v="786"/>
    </i>
    <i>
      <x v="1225"/>
      <x v="1003"/>
    </i>
    <i>
      <x v="1015"/>
      <x v="303"/>
    </i>
    <i>
      <x v="1331"/>
      <x v="379"/>
    </i>
    <i>
      <x v="880"/>
      <x v="691"/>
    </i>
    <i>
      <x v="498"/>
      <x v="650"/>
    </i>
    <i>
      <x v="519"/>
      <x v="326"/>
    </i>
    <i>
      <x v="522"/>
      <x v="508"/>
    </i>
    <i>
      <x v="377"/>
      <x v="770"/>
    </i>
    <i>
      <x v="525"/>
      <x v="666"/>
    </i>
    <i>
      <x v="493"/>
      <x v="1186"/>
    </i>
    <i>
      <x v="520"/>
      <x v="1114"/>
    </i>
    <i>
      <x v="509"/>
      <x v="958"/>
    </i>
    <i>
      <x v="530"/>
      <x v="325"/>
    </i>
    <i>
      <x v="254"/>
      <x v="1007"/>
    </i>
    <i>
      <x v="171"/>
      <x v="622"/>
    </i>
    <i>
      <x v="318"/>
      <x v="1076"/>
    </i>
    <i>
      <x v="278"/>
      <x v="884"/>
    </i>
    <i>
      <x v="321"/>
      <x v="1177"/>
    </i>
    <i>
      <x v="326"/>
      <x v="1142"/>
    </i>
    <i>
      <x v="250"/>
      <x v="377"/>
    </i>
    <i>
      <x v="191"/>
      <x v="350"/>
    </i>
    <i>
      <x v="198"/>
      <x v="374"/>
    </i>
    <i>
      <x v="195"/>
      <x v="987"/>
    </i>
    <i>
      <x v="319"/>
      <x v="989"/>
    </i>
    <i>
      <x v="73"/>
      <x v="337"/>
    </i>
    <i>
      <x v="77"/>
      <x v="250"/>
    </i>
    <i>
      <x v="165"/>
      <x v="1032"/>
    </i>
    <i>
      <x v="63"/>
      <x v="935"/>
    </i>
    <i>
      <x v="228"/>
      <x v="1143"/>
    </i>
    <i>
      <x v="89"/>
      <x v="778"/>
    </i>
    <i>
      <x v="2"/>
      <x v="316"/>
    </i>
    <i>
      <x v="344"/>
      <x v="724"/>
    </i>
    <i>
      <x v="151"/>
      <x v="1103"/>
    </i>
    <i>
      <x v="346"/>
      <x v="656"/>
    </i>
    <i>
      <x v="152"/>
      <x v="906"/>
    </i>
    <i>
      <x v="240"/>
      <x v="382"/>
    </i>
    <i>
      <x v="19"/>
      <x v="959"/>
    </i>
    <i>
      <x v="60"/>
      <x v="1072"/>
    </i>
    <i>
      <x v="157"/>
      <x v="1130"/>
    </i>
    <i>
      <x v="322"/>
      <x v="306"/>
    </i>
    <i>
      <x v="300"/>
      <x v="791"/>
    </i>
    <i>
      <x v="311"/>
      <x v="248"/>
    </i>
    <i>
      <x v="234"/>
      <x v="245"/>
    </i>
    <i>
      <x v="247"/>
      <x v="1237"/>
    </i>
    <i>
      <x v="235"/>
      <x v="1059"/>
    </i>
    <i>
      <x v="286"/>
      <x v="1097"/>
    </i>
    <i>
      <x v="261"/>
      <x v="891"/>
    </i>
    <i>
      <x v="251"/>
      <x v="1088"/>
    </i>
    <i>
      <x v="341"/>
      <x v="727"/>
    </i>
    <i>
      <x v="342"/>
      <x v="726"/>
    </i>
    <i t="grand">
      <x/>
    </i>
  </rowItems>
  <colItems count="1">
    <i/>
  </colItems>
  <dataFields count="1">
    <dataField name="Sum of Quantity" fld="4" baseField="0" baseItem="0"/>
  </dataFields>
  <formats count="1">
    <format dxfId="39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CD48C-A82B-4A5E-9DD0-F8D6E182BB2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2" firstHeaderRow="1" firstDataRow="1" firstDataCol="1"/>
  <pivotFields count="9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19">
        <item x="4"/>
        <item m="1" x="117"/>
        <item x="47"/>
        <item x="76"/>
        <item x="5"/>
        <item x="63"/>
        <item x="15"/>
        <item x="65"/>
        <item x="34"/>
        <item x="77"/>
        <item x="35"/>
        <item m="1" x="110"/>
        <item x="26"/>
        <item x="36"/>
        <item x="64"/>
        <item x="58"/>
        <item m="1" x="103"/>
        <item m="1" x="116"/>
        <item m="1" x="100"/>
        <item x="6"/>
        <item x="67"/>
        <item x="1"/>
        <item x="44"/>
        <item x="68"/>
        <item x="20"/>
        <item x="80"/>
        <item m="1" x="113"/>
        <item x="50"/>
        <item x="72"/>
        <item x="53"/>
        <item m="1" x="107"/>
        <item x="84"/>
        <item x="3"/>
        <item x="56"/>
        <item x="33"/>
        <item x="54"/>
        <item x="29"/>
        <item m="1" x="106"/>
        <item x="78"/>
        <item x="31"/>
        <item x="87"/>
        <item x="70"/>
        <item x="62"/>
        <item m="1" x="105"/>
        <item x="61"/>
        <item x="96"/>
        <item x="7"/>
        <item x="27"/>
        <item x="14"/>
        <item m="1" x="111"/>
        <item m="1" x="108"/>
        <item m="1" x="115"/>
        <item m="1" x="109"/>
        <item m="1" x="102"/>
        <item m="1" x="114"/>
        <item x="8"/>
        <item x="41"/>
        <item m="1" x="101"/>
        <item x="52"/>
        <item x="75"/>
        <item x="42"/>
        <item m="1" x="99"/>
        <item x="17"/>
        <item x="85"/>
        <item x="66"/>
        <item x="24"/>
        <item x="9"/>
        <item x="45"/>
        <item x="46"/>
        <item x="48"/>
        <item x="97"/>
        <item x="40"/>
        <item x="23"/>
        <item x="81"/>
        <item x="18"/>
        <item x="93"/>
        <item x="55"/>
        <item m="1" x="98"/>
        <item x="10"/>
        <item x="22"/>
        <item x="37"/>
        <item x="57"/>
        <item x="88"/>
        <item x="43"/>
        <item x="91"/>
        <item x="86"/>
        <item x="94"/>
        <item x="73"/>
        <item x="39"/>
        <item x="92"/>
        <item m="1" x="112"/>
        <item x="11"/>
        <item x="90"/>
        <item x="79"/>
        <item x="12"/>
        <item x="82"/>
        <item x="89"/>
        <item x="83"/>
        <item x="95"/>
        <item x="32"/>
        <item x="60"/>
        <item x="13"/>
        <item m="1" x="104"/>
        <item x="69"/>
        <item x="59"/>
        <item x="2"/>
        <item x="71"/>
        <item x="74"/>
        <item x="25"/>
        <item x="21"/>
        <item x="51"/>
        <item x="16"/>
        <item x="30"/>
        <item x="49"/>
        <item x="28"/>
        <item x="38"/>
        <item x="0"/>
        <item x="19"/>
        <item t="default"/>
      </items>
    </pivotField>
  </pivotFields>
  <rowFields count="1">
    <field x="8"/>
  </rowFields>
  <rowItems count="99">
    <i>
      <x v="27"/>
    </i>
    <i>
      <x v="105"/>
    </i>
    <i>
      <x v="71"/>
    </i>
    <i>
      <x v="89"/>
    </i>
    <i>
      <x v="60"/>
    </i>
    <i>
      <x v="33"/>
    </i>
    <i>
      <x v="72"/>
    </i>
    <i>
      <x v="34"/>
    </i>
    <i>
      <x v="111"/>
    </i>
    <i>
      <x v="35"/>
    </i>
    <i>
      <x v="48"/>
    </i>
    <i>
      <x v="22"/>
    </i>
    <i>
      <x v="47"/>
    </i>
    <i>
      <x v="104"/>
    </i>
    <i>
      <x v="117"/>
    </i>
    <i>
      <x v="8"/>
    </i>
    <i>
      <x v="45"/>
    </i>
    <i>
      <x v="65"/>
    </i>
    <i>
      <x v="106"/>
    </i>
    <i>
      <x v="95"/>
    </i>
    <i>
      <x v="12"/>
    </i>
    <i>
      <x v="42"/>
    </i>
    <i>
      <x v="81"/>
    </i>
    <i>
      <x v="73"/>
    </i>
    <i>
      <x v="100"/>
    </i>
    <i>
      <x v="75"/>
    </i>
    <i>
      <x v="114"/>
    </i>
    <i>
      <x v="109"/>
    </i>
    <i>
      <x v="24"/>
    </i>
    <i>
      <x v="32"/>
    </i>
    <i>
      <x v="83"/>
    </i>
    <i>
      <x v="31"/>
    </i>
    <i>
      <x v="44"/>
    </i>
    <i>
      <x v="23"/>
    </i>
    <i>
      <x v="112"/>
    </i>
    <i>
      <x v="62"/>
    </i>
    <i>
      <x v="79"/>
    </i>
    <i>
      <x v="108"/>
    </i>
    <i>
      <x v="103"/>
    </i>
    <i>
      <x v="36"/>
    </i>
    <i>
      <x v="67"/>
    </i>
    <i>
      <x v="28"/>
    </i>
    <i>
      <x v="21"/>
    </i>
    <i>
      <x v="10"/>
    </i>
    <i>
      <x v="99"/>
    </i>
    <i>
      <x v="40"/>
    </i>
    <i>
      <x v="68"/>
    </i>
    <i>
      <x v="115"/>
    </i>
    <i>
      <x v="59"/>
    </i>
    <i>
      <x v="82"/>
    </i>
    <i>
      <x v="39"/>
    </i>
    <i>
      <x v="96"/>
    </i>
    <i>
      <x v="97"/>
    </i>
    <i>
      <x v="70"/>
    </i>
    <i>
      <x v="80"/>
    </i>
    <i>
      <x v="2"/>
    </i>
    <i>
      <x v="92"/>
    </i>
    <i>
      <x v="15"/>
    </i>
    <i>
      <x v="4"/>
    </i>
    <i>
      <x v="85"/>
    </i>
    <i>
      <x v="113"/>
    </i>
    <i>
      <x v="63"/>
    </i>
    <i>
      <x v="13"/>
    </i>
    <i>
      <x v="74"/>
    </i>
    <i>
      <x v="87"/>
    </i>
    <i>
      <x v="25"/>
    </i>
    <i>
      <x v="88"/>
    </i>
    <i>
      <x v="98"/>
    </i>
    <i>
      <x v="56"/>
    </i>
    <i>
      <x v="19"/>
    </i>
    <i>
      <x v="84"/>
    </i>
    <i>
      <x v="116"/>
    </i>
    <i>
      <x v="41"/>
    </i>
    <i>
      <x v="76"/>
    </i>
    <i>
      <x v="69"/>
    </i>
    <i>
      <x v="66"/>
    </i>
    <i>
      <x v="58"/>
    </i>
    <i>
      <x v="20"/>
    </i>
    <i>
      <x v="110"/>
    </i>
    <i>
      <x v="6"/>
    </i>
    <i>
      <x v="94"/>
    </i>
    <i>
      <x v="29"/>
    </i>
    <i>
      <x v="14"/>
    </i>
    <i>
      <x v="101"/>
    </i>
    <i>
      <x v="86"/>
    </i>
    <i>
      <x v="3"/>
    </i>
    <i>
      <x v="9"/>
    </i>
    <i>
      <x v="38"/>
    </i>
    <i>
      <x v="55"/>
    </i>
    <i>
      <x v="93"/>
    </i>
    <i>
      <x v="7"/>
    </i>
    <i>
      <x v="91"/>
    </i>
    <i>
      <x v="64"/>
    </i>
    <i>
      <x v="5"/>
    </i>
    <i>
      <x v="46"/>
    </i>
    <i>
      <x/>
    </i>
    <i>
      <x v="78"/>
    </i>
    <i>
      <x v="107"/>
    </i>
    <i t="grand">
      <x/>
    </i>
  </rowItems>
  <colItems count="1">
    <i/>
  </colItems>
  <dataFields count="1">
    <dataField name="Sum of Quantity" fld="4" baseField="0" baseItem="0"/>
  </dataFields>
  <formats count="39">
    <format dxfId="38">
      <pivotArea dataOnly="0" labelOnly="1" fieldPosition="0">
        <references count="1">
          <reference field="8" count="1">
            <x v="90"/>
          </reference>
        </references>
      </pivotArea>
    </format>
    <format dxfId="37">
      <pivotArea dataOnly="0" labelOnly="1" fieldPosition="0">
        <references count="1">
          <reference field="8" count="1">
            <x v="26"/>
          </reference>
        </references>
      </pivotArea>
    </format>
    <format dxfId="36">
      <pivotArea dataOnly="0" labelOnly="1" fieldPosition="0">
        <references count="1">
          <reference field="8" count="1">
            <x v="50"/>
          </reference>
        </references>
      </pivotArea>
    </format>
    <format dxfId="35">
      <pivotArea dataOnly="0" labelOnly="1" fieldPosition="0">
        <references count="1">
          <reference field="8" count="1">
            <x v="53"/>
          </reference>
        </references>
      </pivotArea>
    </format>
    <format dxfId="34">
      <pivotArea dataOnly="0" labelOnly="1" fieldPosition="0">
        <references count="1">
          <reference field="8" count="1">
            <x v="52"/>
          </reference>
        </references>
      </pivotArea>
    </format>
    <format dxfId="33">
      <pivotArea dataOnly="0" labelOnly="1" fieldPosition="0">
        <references count="1">
          <reference field="8" count="1">
            <x v="54"/>
          </reference>
        </references>
      </pivotArea>
    </format>
    <format dxfId="32">
      <pivotArea dataOnly="0" labelOnly="1" fieldPosition="0">
        <references count="1">
          <reference field="8" count="1">
            <x v="51"/>
          </reference>
        </references>
      </pivotArea>
    </format>
    <format dxfId="31">
      <pivotArea dataOnly="0" labelOnly="1" fieldPosition="0">
        <references count="1">
          <reference field="8" count="1">
            <x v="49"/>
          </reference>
        </references>
      </pivotArea>
    </format>
    <format dxfId="30">
      <pivotArea dataOnly="0" labelOnly="1" fieldPosition="0">
        <references count="1">
          <reference field="8" count="1">
            <x v="17"/>
          </reference>
        </references>
      </pivotArea>
    </format>
    <format dxfId="29">
      <pivotArea dataOnly="0" labelOnly="1" fieldPosition="0">
        <references count="1">
          <reference field="8" count="1">
            <x v="27"/>
          </reference>
        </references>
      </pivotArea>
    </format>
    <format dxfId="28">
      <pivotArea dataOnly="0" labelOnly="1" fieldPosition="0">
        <references count="1">
          <reference field="8" count="1">
            <x v="71"/>
          </reference>
        </references>
      </pivotArea>
    </format>
    <format dxfId="27">
      <pivotArea dataOnly="0" labelOnly="1" fieldPosition="0">
        <references count="1">
          <reference field="8" count="1">
            <x v="105"/>
          </reference>
        </references>
      </pivotArea>
    </format>
    <format dxfId="26">
      <pivotArea dataOnly="0" labelOnly="1" fieldPosition="0">
        <references count="1">
          <reference field="8" count="1">
            <x v="89"/>
          </reference>
        </references>
      </pivotArea>
    </format>
    <format dxfId="25">
      <pivotArea dataOnly="0" labelOnly="1" fieldPosition="0">
        <references count="1">
          <reference field="8" count="1">
            <x v="60"/>
          </reference>
        </references>
      </pivotArea>
    </format>
    <format dxfId="24">
      <pivotArea dataOnly="0" labelOnly="1" fieldPosition="0">
        <references count="1">
          <reference field="8" count="1">
            <x v="33"/>
          </reference>
        </references>
      </pivotArea>
    </format>
    <format dxfId="23">
      <pivotArea dataOnly="0" labelOnly="1" fieldPosition="0">
        <references count="1">
          <reference field="8" count="1">
            <x v="72"/>
          </reference>
        </references>
      </pivotArea>
    </format>
    <format dxfId="22">
      <pivotArea dataOnly="0" labelOnly="1" fieldPosition="0">
        <references count="1">
          <reference field="8" count="1">
            <x v="34"/>
          </reference>
        </references>
      </pivotArea>
    </format>
    <format dxfId="21">
      <pivotArea dataOnly="0" labelOnly="1" fieldPosition="0">
        <references count="1">
          <reference field="8" count="1">
            <x v="35"/>
          </reference>
        </references>
      </pivotArea>
    </format>
    <format dxfId="20">
      <pivotArea dataOnly="0" labelOnly="1" fieldPosition="0">
        <references count="1">
          <reference field="8" count="1">
            <x v="104"/>
          </reference>
        </references>
      </pivotArea>
    </format>
    <format dxfId="19">
      <pivotArea dataOnly="0" labelOnly="1" fieldPosition="0">
        <references count="1">
          <reference field="8" count="1">
            <x v="45"/>
          </reference>
        </references>
      </pivotArea>
    </format>
    <format dxfId="18">
      <pivotArea dataOnly="0" labelOnly="1" fieldPosition="0">
        <references count="1">
          <reference field="8" count="1">
            <x v="81"/>
          </reference>
        </references>
      </pivotArea>
    </format>
    <format dxfId="17">
      <pivotArea dataOnly="0" labelOnly="1" fieldPosition="0">
        <references count="1">
          <reference field="8" count="1">
            <x v="75"/>
          </reference>
        </references>
      </pivotArea>
    </format>
    <format dxfId="16">
      <pivotArea dataOnly="0" labelOnly="1" fieldPosition="0">
        <references count="1">
          <reference field="8" count="1">
            <x v="109"/>
          </reference>
        </references>
      </pivotArea>
    </format>
    <format dxfId="15">
      <pivotArea dataOnly="0" labelOnly="1" fieldPosition="0">
        <references count="1">
          <reference field="8" count="1">
            <x v="83"/>
          </reference>
        </references>
      </pivotArea>
    </format>
    <format dxfId="14">
      <pivotArea dataOnly="0" labelOnly="1" fieldPosition="0">
        <references count="1">
          <reference field="8" count="1">
            <x v="31"/>
          </reference>
        </references>
      </pivotArea>
    </format>
    <format dxfId="13">
      <pivotArea dataOnly="0" labelOnly="1" fieldPosition="0">
        <references count="1">
          <reference field="8" count="1">
            <x v="36"/>
          </reference>
        </references>
      </pivotArea>
    </format>
    <format dxfId="12">
      <pivotArea dataOnly="0" labelOnly="1" fieldPosition="0">
        <references count="1">
          <reference field="8" count="1">
            <x v="10"/>
          </reference>
        </references>
      </pivotArea>
    </format>
    <format dxfId="11">
      <pivotArea dataOnly="0" labelOnly="1" fieldPosition="0">
        <references count="1">
          <reference field="8" count="1">
            <x v="115"/>
          </reference>
        </references>
      </pivotArea>
    </format>
    <format dxfId="10">
      <pivotArea dataOnly="0" labelOnly="1" fieldPosition="0">
        <references count="1">
          <reference field="8" count="1">
            <x v="82"/>
          </reference>
        </references>
      </pivotArea>
    </format>
    <format dxfId="9">
      <pivotArea dataOnly="0" labelOnly="1" fieldPosition="0">
        <references count="1">
          <reference field="8" count="1">
            <x v="80"/>
          </reference>
        </references>
      </pivotArea>
    </format>
    <format dxfId="8">
      <pivotArea dataOnly="0" labelOnly="1" fieldPosition="0">
        <references count="1">
          <reference field="8" count="1">
            <x v="85"/>
          </reference>
        </references>
      </pivotArea>
    </format>
    <format dxfId="7">
      <pivotArea dataOnly="0" labelOnly="1" fieldPosition="0">
        <references count="1">
          <reference field="8" count="1">
            <x v="63"/>
          </reference>
        </references>
      </pivotArea>
    </format>
    <format dxfId="6">
      <pivotArea dataOnly="0" labelOnly="1" fieldPosition="0">
        <references count="1">
          <reference field="8" count="1">
            <x v="113"/>
          </reference>
        </references>
      </pivotArea>
    </format>
    <format dxfId="5">
      <pivotArea dataOnly="0" labelOnly="1" fieldPosition="0">
        <references count="1">
          <reference field="8" count="1">
            <x v="88"/>
          </reference>
        </references>
      </pivotArea>
    </format>
    <format dxfId="4">
      <pivotArea dataOnly="0" labelOnly="1" fieldPosition="0">
        <references count="1">
          <reference field="8" count="1">
            <x v="84"/>
          </reference>
        </references>
      </pivotArea>
    </format>
    <format dxfId="3">
      <pivotArea dataOnly="0" labelOnly="1" fieldPosition="0">
        <references count="1">
          <reference field="8" count="1">
            <x v="41"/>
          </reference>
        </references>
      </pivotArea>
    </format>
    <format dxfId="2">
      <pivotArea dataOnly="0" labelOnly="1" fieldPosition="0">
        <references count="1">
          <reference field="8" count="1">
            <x v="76"/>
          </reference>
        </references>
      </pivotArea>
    </format>
    <format dxfId="1">
      <pivotArea dataOnly="0" labelOnly="1" fieldPosition="0">
        <references count="1">
          <reference field="8" count="1">
            <x v="69"/>
          </reference>
        </references>
      </pivotArea>
    </format>
    <format dxfId="0">
      <pivotArea dataOnly="0" labelOnly="1" fieldPosition="0">
        <references count="1">
          <reference field="8" count="1">
            <x v="5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5475B20E-7EEA-4BE1-985B-878687797762}" name="Table180" displayName="Table180" ref="A3:J109" totalsRowShown="0">
  <autoFilter ref="A3:J109" xr:uid="{5475B20E-7EEA-4BE1-985B-878687797762}"/>
  <tableColumns count="10">
    <tableColumn id="1" xr3:uid="{42183DD0-D01C-48AA-B92C-A075C8FD7235}" name="Purchase Order  Number"/>
    <tableColumn id="2" xr3:uid="{3C22D21B-859B-42FF-B7F0-ECEEBE040476}" name="Item Being Procured: Item Number"/>
    <tableColumn id="3" xr3:uid="{1FDC0E59-4685-4781-8C9F-D01269DC65E3}" name="Item Description"/>
    <tableColumn id="10" xr3:uid="{A33B383B-F46A-43A0-B6DE-04DA26C6E3AA}" name="Column1"/>
    <tableColumn id="4" xr3:uid="{A33A7912-257C-4994-B687-DCF3FC51658A}" name="Item Description2"/>
    <tableColumn id="5" xr3:uid="{00A5EE4E-EB56-4F49-B50E-3428674AAE03}" name="Quantity"/>
    <tableColumn id="6" xr3:uid="{030DEF09-DB96-42C4-81EF-4936C63F3EF5}" name="Quantity Received"/>
    <tableColumn id="7" xr3:uid="{756AD914-5E1F-46E7-9722-C34C0964767B}" name="Status"/>
    <tableColumn id="8" xr3:uid="{6DE1B6E8-211A-48B4-908A-9ABD99FFE45F}" name="Purchase Order Date"/>
    <tableColumn id="9" xr3:uid="{F1EC7BE9-7F53-4DC8-940A-FFE7FBA735DA}" name="Supplier Site: Supplier Site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B53D3D3B-753B-404C-A1DF-FD339CB9FF48}" name="Table181" displayName="Table181" ref="A3:I16" totalsRowShown="0">
  <autoFilter ref="A3:I16" xr:uid="{B53D3D3B-753B-404C-A1DF-FD339CB9FF48}"/>
  <tableColumns count="9">
    <tableColumn id="1" xr3:uid="{86D94646-5463-460F-9EE4-F2B5FAF15021}" name="Purchase Order  Number"/>
    <tableColumn id="2" xr3:uid="{79086166-DFF8-4943-82D7-6A9D475309A0}" name="Item Being Procured: Item Number"/>
    <tableColumn id="3" xr3:uid="{7CE5604B-9CA9-41CF-96F4-BE871DEB10A2}" name="Item Description"/>
    <tableColumn id="4" xr3:uid="{733FB810-27A1-4722-B319-F57453C34C1E}" name="Item Description2"/>
    <tableColumn id="5" xr3:uid="{DC397FDE-E6F4-458D-BB7A-42C6DF669568}" name="Quantity"/>
    <tableColumn id="6" xr3:uid="{7FDD089D-5637-4DB1-8917-2C3108419CC5}" name="Quantity Received"/>
    <tableColumn id="7" xr3:uid="{290A6487-5F2D-49D9-AC9B-D87997C34253}" name="Status"/>
    <tableColumn id="8" xr3:uid="{0179ABDF-00D4-4B84-965A-3F4CA03D5BC4}" name="Purchase Order Date"/>
    <tableColumn id="9" xr3:uid="{FF8F4737-9CBC-4A32-8977-42778AB341BA}" name="Supplier Site: Supplier Site 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E004162C-8339-471B-A11F-47C6CAFAFBED}" name="Table182" displayName="Table182" ref="A3:I13" totalsRowShown="0">
  <autoFilter ref="A3:I13" xr:uid="{E004162C-8339-471B-A11F-47C6CAFAFBED}"/>
  <tableColumns count="9">
    <tableColumn id="1" xr3:uid="{2AFE7271-40C0-4CE0-9FAA-763263329658}" name="Purchase Order  Number"/>
    <tableColumn id="2" xr3:uid="{CD6D3759-3E49-45A6-8508-D95BE294F1A2}" name="Item Being Procured: Item Number"/>
    <tableColumn id="3" xr3:uid="{689A2F32-8FCB-476D-AE98-B0BDFC05EE80}" name="Item Description"/>
    <tableColumn id="4" xr3:uid="{0A6205A2-5417-40A0-ACE6-818E1B7154B0}" name="Item Description2"/>
    <tableColumn id="5" xr3:uid="{1322E241-6175-4F89-A4BD-4FD02FEA4A95}" name="Quantity"/>
    <tableColumn id="6" xr3:uid="{FA032011-1CE6-44FC-BB3B-459EC4C262B1}" name="Quantity Received"/>
    <tableColumn id="7" xr3:uid="{2AC1A4A2-054D-4B35-87CD-CCB55BCE75E7}" name="Status"/>
    <tableColumn id="8" xr3:uid="{0DD577FC-4FD5-414E-8078-F513F2C8FDFD}" name="Purchase Order Date"/>
    <tableColumn id="9" xr3:uid="{F280AB34-E3C7-409B-8BD3-37378890D041}" name="Supplier Site: Supplier Site 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E55C704-02B2-4DC9-B0B9-718E014FC222}" name="Table183" displayName="Table183" ref="A3:I12" totalsRowShown="0">
  <autoFilter ref="A3:I12" xr:uid="{0E55C704-02B2-4DC9-B0B9-718E014FC222}"/>
  <tableColumns count="9">
    <tableColumn id="1" xr3:uid="{2DD61800-AA64-43F1-91CC-E514F53ECFAC}" name="Purchase Order  Number"/>
    <tableColumn id="2" xr3:uid="{8227DFA8-156D-49E8-B096-BEF5133C1D33}" name="Item Being Procured: Item Number"/>
    <tableColumn id="3" xr3:uid="{6F3B88F2-BF68-4D05-A80B-91288FB5369D}" name="Item Description"/>
    <tableColumn id="4" xr3:uid="{B249824A-EEF8-4A3E-B863-16B2C51ADBBD}" name="Item Description2"/>
    <tableColumn id="5" xr3:uid="{EDBEB52F-62DA-4EB7-9F3B-0DCDBA154196}" name="Quantity"/>
    <tableColumn id="6" xr3:uid="{53E4B9CE-B162-4AD3-A1CC-1A7E957F980A}" name="Quantity Received"/>
    <tableColumn id="7" xr3:uid="{5271FFA8-A554-4E83-AE1E-BBAE125A924C}" name="Status"/>
    <tableColumn id="8" xr3:uid="{69A529AB-C831-4D76-9F28-CE4587B101A8}" name="Purchase Order Date"/>
    <tableColumn id="9" xr3:uid="{FAF66852-5B17-4C46-987E-BEBD4FA34866}" name="Supplier Site: Supplier Site 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39A2E723-0975-48F3-ADC2-471970A056C4}" name="Table184" displayName="Table184" ref="A3:I12" totalsRowShown="0">
  <autoFilter ref="A3:I12" xr:uid="{39A2E723-0975-48F3-ADC2-471970A056C4}"/>
  <tableColumns count="9">
    <tableColumn id="1" xr3:uid="{AC3C59A2-D30D-49BD-B770-7B11B3ADBF03}" name="Purchase Order  Number"/>
    <tableColumn id="2" xr3:uid="{5B85A861-27CE-4E38-98E6-7DC40BCCE34A}" name="Item Being Procured: Item Number"/>
    <tableColumn id="3" xr3:uid="{B012A64A-9639-4AC3-A639-08EC1AA37D56}" name="Item Description"/>
    <tableColumn id="4" xr3:uid="{5F2F6B23-4081-4EE2-B812-EDCA9FE1BC41}" name="Item Description2"/>
    <tableColumn id="5" xr3:uid="{EA9288FE-03B1-47A1-A00E-397F09842EA6}" name="Quantity"/>
    <tableColumn id="6" xr3:uid="{06C6DDC1-69E4-43B5-8BA4-0EEF15A1DBDB}" name="Quantity Received"/>
    <tableColumn id="7" xr3:uid="{ACB2DD09-AEF5-4441-AB0E-ED7ED400C819}" name="Status"/>
    <tableColumn id="8" xr3:uid="{F326A18E-EAF1-4936-BD4B-94067BECA4F2}" name="Purchase Order Date"/>
    <tableColumn id="9" xr3:uid="{68C6E025-8B26-4BAE-AEA9-A2972E931962}" name="Supplier Site: Supplier Site Na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5B5D650E-A72E-48B0-9091-7DE9AC779959}" name="Table186" displayName="Table186" ref="A3:I14" totalsRowShown="0">
  <autoFilter ref="A3:I14" xr:uid="{5B5D650E-A72E-48B0-9091-7DE9AC779959}"/>
  <tableColumns count="9">
    <tableColumn id="1" xr3:uid="{B728BBD7-E48F-449D-939A-0370C076492D}" name="Purchase Order  Number"/>
    <tableColumn id="2" xr3:uid="{6B3A503F-E629-4C2D-A268-3A6D026D00BD}" name="Item Being Procured: Item Number"/>
    <tableColumn id="3" xr3:uid="{54AB94CA-AB49-44A7-903E-DECC67CB6C98}" name="Item Description"/>
    <tableColumn id="4" xr3:uid="{5712407C-08FA-4CE7-A285-2C9F49DD0688}" name="Item Description2"/>
    <tableColumn id="5" xr3:uid="{2C8C399C-343F-4FDD-8D97-1761E8BE6534}" name="Quantity"/>
    <tableColumn id="6" xr3:uid="{FA61EDDE-6421-4710-B726-4C48A10BCDB4}" name="Quantity Received"/>
    <tableColumn id="7" xr3:uid="{0032629D-5DF7-4F7D-AABB-837A5E18478C}" name="Status"/>
    <tableColumn id="8" xr3:uid="{259619B0-1769-468F-BE79-299865DB4558}" name="Purchase Order Date"/>
    <tableColumn id="9" xr3:uid="{ABF85CC5-24A6-4C52-B2A7-12AE0F517893}" name="Supplier Site: Supplier Site Na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F77233CF-7192-4F27-9B78-EAEBBE92D899}" name="Table187" displayName="Table187" ref="A3:I8" totalsRowShown="0">
  <autoFilter ref="A3:I8" xr:uid="{F77233CF-7192-4F27-9B78-EAEBBE92D899}"/>
  <tableColumns count="9">
    <tableColumn id="1" xr3:uid="{DC3A9A64-EF6F-4A6F-A1DD-AF81DC23437C}" name="Purchase Order  Number"/>
    <tableColumn id="2" xr3:uid="{EAE3FF38-6684-4563-8CE3-6D403E797D9C}" name="Item Being Procured: Item Number"/>
    <tableColumn id="3" xr3:uid="{EBB7D57B-1157-4D07-96FC-E88C21CB6A7D}" name="Item Description"/>
    <tableColumn id="4" xr3:uid="{ACBF207C-C261-4891-9EEF-5C1A530AB6D1}" name="Item Description2"/>
    <tableColumn id="5" xr3:uid="{15F53F17-8DD9-44EE-B2E8-1A508CBCAFA5}" name="Quantity"/>
    <tableColumn id="6" xr3:uid="{890E81E4-A56C-432B-B372-86EEA6689605}" name="Quantity Received"/>
    <tableColumn id="7" xr3:uid="{9A6B50F6-86E2-4DA9-BB14-5FCEE76A28E0}" name="Status"/>
    <tableColumn id="8" xr3:uid="{8D6C4E71-5480-4746-BEBC-652C1AB6DB30}" name="Purchase Order Date"/>
    <tableColumn id="9" xr3:uid="{2F8E7410-541C-4FDD-A768-13AC2C9E8F54}" name="Supplier Site: Supplier Site Nam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C32BBCFD-8437-4FDA-9496-BBF3587E7A8D}" name="Table188" displayName="Table188" ref="A3:I16" totalsRowShown="0">
  <autoFilter ref="A3:I16" xr:uid="{C32BBCFD-8437-4FDA-9496-BBF3587E7A8D}"/>
  <tableColumns count="9">
    <tableColumn id="1" xr3:uid="{95DD09B3-378E-4AC2-987F-8585FCC83D63}" name="Purchase Order  Number"/>
    <tableColumn id="2" xr3:uid="{47B62F47-7510-4A05-B71F-F9C43B2AD846}" name="Item Being Procured: Item Number"/>
    <tableColumn id="3" xr3:uid="{1A0A9C7E-CC00-4496-B0BB-5DA4D42E99C6}" name="Item Description"/>
    <tableColumn id="4" xr3:uid="{E4923138-C638-4CB1-A972-B7DDEEDAAD42}" name="Item Description2"/>
    <tableColumn id="5" xr3:uid="{81EA067B-427B-4695-BFDB-A2A97A9D827D}" name="Quantity"/>
    <tableColumn id="6" xr3:uid="{DC815B03-7042-4F27-92ED-5B41DFF013A1}" name="Quantity Received"/>
    <tableColumn id="7" xr3:uid="{6233A5C5-D3BC-451A-BB73-CF583D85804D}" name="Status"/>
    <tableColumn id="8" xr3:uid="{5A96BD52-97AB-4020-BBAD-CDE39759B7D0}" name="Purchase Order Date"/>
    <tableColumn id="9" xr3:uid="{9B65D1BF-B016-43EF-930F-3BA4E732D377}" name="Supplier Site: Supplier Site N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9F84F6BD-7768-4553-A431-5D02B613135A}" name="Table191" displayName="Table191" ref="A3:I15" totalsRowShown="0">
  <autoFilter ref="A3:I15" xr:uid="{9F84F6BD-7768-4553-A431-5D02B613135A}"/>
  <tableColumns count="9">
    <tableColumn id="1" xr3:uid="{D69AB311-8544-41BA-AED4-5E2824B10F88}" name="Purchase Order  Number"/>
    <tableColumn id="2" xr3:uid="{6E8F033C-08CD-4151-8844-90799481B547}" name="Item Being Procured: Item Number"/>
    <tableColumn id="3" xr3:uid="{547F9A3C-ED13-47C2-AB6E-158183721D24}" name="Item Description"/>
    <tableColumn id="4" xr3:uid="{3655FAAB-C7A6-4404-8D28-CA194922F9D6}" name="Item Description2"/>
    <tableColumn id="5" xr3:uid="{012B437B-6897-418B-82ED-2837AC419C42}" name="Quantity"/>
    <tableColumn id="6" xr3:uid="{DED53A51-9934-42E6-A003-A2BFF6FF30DB}" name="Quantity Received"/>
    <tableColumn id="7" xr3:uid="{530444B5-C6F8-48F0-A419-510F7DA6345C}" name="Status"/>
    <tableColumn id="8" xr3:uid="{9067CC95-57F8-4B27-BCBE-44D2B4F30B7E}" name="Purchase Order Date"/>
    <tableColumn id="9" xr3:uid="{658B9844-1B3B-4387-81FD-92886158B8FA}" name="Supplier Site: Supplier Site Nam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65EAEF48-014E-4C98-84DC-9BF7C0C7D685}" name="Table189" displayName="Table189" ref="A3:I4" totalsRowShown="0">
  <autoFilter ref="A3:I4" xr:uid="{65EAEF48-014E-4C98-84DC-9BF7C0C7D685}"/>
  <tableColumns count="9">
    <tableColumn id="1" xr3:uid="{6A5A3220-F506-490F-83B4-82D61DCE66E8}" name="Purchase Order  Number"/>
    <tableColumn id="2" xr3:uid="{B4A9CA37-4EBA-4FA0-BAA8-4E06C6FE405E}" name="Item Being Procured: Item Number"/>
    <tableColumn id="3" xr3:uid="{72CD9953-CE03-4006-9D12-39D160C404E8}" name="Item Description"/>
    <tableColumn id="4" xr3:uid="{0268107C-CACA-428D-8232-C6D3674E6B33}" name="Item Description2"/>
    <tableColumn id="5" xr3:uid="{1220869B-2D75-4CA5-978E-96BB62C18034}" name="Quantity"/>
    <tableColumn id="6" xr3:uid="{640CCF32-644E-4AE1-A7ED-7CB6EF911BBC}" name="Quantity Received"/>
    <tableColumn id="7" xr3:uid="{88865CBA-FBD6-47DF-A021-9B209EDE0C76}" name="Status"/>
    <tableColumn id="8" xr3:uid="{C0A4168B-7708-4288-B5E6-3BB46FBF5D0D}" name="Purchase Order Date"/>
    <tableColumn id="9" xr3:uid="{B81C3541-E1DD-45D4-B5D7-520C85DE0382}" name="Supplier Site: Supplier Site Nam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CBA587B0-6BEA-4D17-A1FA-1F2D9620F12E}" name="Table190" displayName="Table190" ref="A3:I6" totalsRowShown="0">
  <autoFilter ref="A3:I6" xr:uid="{CBA587B0-6BEA-4D17-A1FA-1F2D9620F12E}"/>
  <tableColumns count="9">
    <tableColumn id="1" xr3:uid="{DC4B50BE-291A-45F4-8DA6-28F7570DBD71}" name="Purchase Order  Number"/>
    <tableColumn id="2" xr3:uid="{92854C12-7806-4C03-B4DA-CAAD679991FB}" name="Item Being Procured: Item Number"/>
    <tableColumn id="3" xr3:uid="{41447326-3513-48D3-AB41-EE52483ABCA1}" name="Item Description"/>
    <tableColumn id="4" xr3:uid="{F756C786-B097-4511-B44D-BCF010D8A086}" name="Item Description2"/>
    <tableColumn id="5" xr3:uid="{3A54C724-73E2-4A1B-87CB-E30AC28FA806}" name="Quantity"/>
    <tableColumn id="6" xr3:uid="{70F577CB-D66F-49F8-8F76-25BDA355377A}" name="Quantity Received"/>
    <tableColumn id="7" xr3:uid="{F4C249C4-59C7-40DB-A7CE-F640BCD88F49}" name="Status"/>
    <tableColumn id="8" xr3:uid="{97C88641-6826-45E7-B110-B5DFC42290CE}" name="Purchase Order Date"/>
    <tableColumn id="9" xr3:uid="{2C4346EE-36E0-4649-8689-88A0CBC9237B}" name="Supplier Site: Supplier Site Nam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197D71E7-17D3-4A11-8051-269C9FFCF07C}" name="Table192" displayName="Table192" ref="A3:I62" totalsRowShown="0">
  <autoFilter ref="A3:I62" xr:uid="{197D71E7-17D3-4A11-8051-269C9FFCF07C}"/>
  <tableColumns count="9">
    <tableColumn id="1" xr3:uid="{0A35B0F1-B7A5-4641-8488-98538F55AE2E}" name="Purchase Order  Number"/>
    <tableColumn id="2" xr3:uid="{5A6458BC-2600-479D-9BF4-3BD1F30D6CE6}" name="Item Being Procured: Item Number"/>
    <tableColumn id="3" xr3:uid="{5BF3770E-1754-4891-9DB5-A570E9309D9F}" name="Item Description"/>
    <tableColumn id="4" xr3:uid="{342428B4-AFA8-4A0E-8844-6654AFD52713}" name="Item Description2"/>
    <tableColumn id="5" xr3:uid="{96B49126-F379-4F1F-803E-59D8D74D1115}" name="Quantity"/>
    <tableColumn id="6" xr3:uid="{A0B53BC9-85EA-4964-A670-B9D61BED3BA7}" name="Quantity Received"/>
    <tableColumn id="7" xr3:uid="{FEF2521D-6D3B-45AF-A69B-111AA5BB66B1}" name="Status"/>
    <tableColumn id="8" xr3:uid="{3F57A629-6687-4A69-9C0D-865278279DD8}" name="Purchase Order Date"/>
    <tableColumn id="9" xr3:uid="{64DA5F8F-0B04-4930-B7EB-C2EA910B9731}" name="Supplier Site: Supplier Site Nam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E5FB3A-E0F0-452D-86F6-76F30CC54B4C}" name="Table3" displayName="Table3" ref="A3:I23" totalsRowShown="0">
  <autoFilter ref="A3:I23" xr:uid="{8CE5FB3A-E0F0-452D-86F6-76F30CC54B4C}"/>
  <tableColumns count="9">
    <tableColumn id="1" xr3:uid="{C2EB3130-3E01-4ACA-83E6-038312B2E1B6}" name="Purchase Order  Number"/>
    <tableColumn id="2" xr3:uid="{E64E4BC1-97B1-4B96-9243-DE64B2D72A4E}" name="Item Being Procured: Item Number"/>
    <tableColumn id="3" xr3:uid="{0D33D507-32BC-4B4A-8F1E-1F80A488AE83}" name="Item Description"/>
    <tableColumn id="4" xr3:uid="{160E7106-2446-47CD-9409-5BD744A0AD57}" name="Item Description2"/>
    <tableColumn id="5" xr3:uid="{84AAAA5D-CC36-4325-B2E6-28D3F8926857}" name="Quantity"/>
    <tableColumn id="6" xr3:uid="{F4F00FE6-D285-4445-8825-0946736FFC87}" name="Quantity Received"/>
    <tableColumn id="7" xr3:uid="{AE072C2A-7D37-4FC0-BD6F-F4332CB4898B}" name="Status"/>
    <tableColumn id="8" xr3:uid="{DA414B55-55EE-44C4-A842-B1D394EACF78}" name="Purchase Order Date"/>
    <tableColumn id="9" xr3:uid="{53F25043-03A5-4CC2-A09D-55A819979E7A}" name="Supplier Site: Supplier Site Nam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12DCD3-0D71-469C-89BC-191ACCA4E25F}" name="Table4" displayName="Table4" ref="A3:I10" totalsRowShown="0">
  <autoFilter ref="A3:I10" xr:uid="{FF12DCD3-0D71-469C-89BC-191ACCA4E25F}"/>
  <tableColumns count="9">
    <tableColumn id="1" xr3:uid="{0C646734-9C80-426E-95C0-CF7EE0C41920}" name="Purchase Order  Number"/>
    <tableColumn id="2" xr3:uid="{1EC1B5EF-2F06-4A10-853A-F461EE96D234}" name="Item Being Procured: Item Number"/>
    <tableColumn id="3" xr3:uid="{6E8C3659-2DDE-4A54-AF8D-44D4D37E5FDF}" name="Item Description"/>
    <tableColumn id="4" xr3:uid="{1C58BA51-C5C3-479D-B7A7-DC3C27C11692}" name="Item Description2"/>
    <tableColumn id="5" xr3:uid="{FAE9E103-379D-4A7B-AF45-ECADF97E32AD}" name="Quantity"/>
    <tableColumn id="6" xr3:uid="{F8220475-0F88-43AD-9C9F-743CC68B540A}" name="Quantity Received"/>
    <tableColumn id="7" xr3:uid="{A9AE897E-1898-4891-B233-C3C3BCB7C7C9}" name="Status"/>
    <tableColumn id="8" xr3:uid="{B38E3ED3-4F48-40CE-8ACE-1BE644E0EE96}" name="Purchase Order Date"/>
    <tableColumn id="9" xr3:uid="{9DA45976-1E22-4747-A7CA-D26CEAF4ED14}" name="Supplier Site: Supplier Site Nam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0D2C81-E255-463C-888D-91DDD5D7CB3C}" name="Table1" displayName="Table1" ref="A3:I11" totalsRowShown="0">
  <autoFilter ref="A3:I11" xr:uid="{F30D2C81-E255-463C-888D-91DDD5D7CB3C}"/>
  <tableColumns count="9">
    <tableColumn id="1" xr3:uid="{A8FF5331-2492-4867-BECB-AD720EC3DE68}" name="Purchase Order  Number"/>
    <tableColumn id="2" xr3:uid="{C08F76BD-2B41-436F-8CFA-1231342B41F6}" name="Item Being Procured: Item Number"/>
    <tableColumn id="3" xr3:uid="{7180D734-8FD4-4CDC-BE88-AC21B292BDB8}" name="Item Description"/>
    <tableColumn id="4" xr3:uid="{CBE3C723-7ECF-4691-8AE2-404D0A64B556}" name="Item Description2"/>
    <tableColumn id="5" xr3:uid="{D56E2A68-492C-40F2-BAA9-9D05A540D7A1}" name="Quantity"/>
    <tableColumn id="6" xr3:uid="{C53DC8D9-67DF-4C87-AA48-DE7CEA47A81C}" name="Quantity Received"/>
    <tableColumn id="7" xr3:uid="{2924100B-260A-4A9F-A9FC-93EAD8D5A663}" name="Status"/>
    <tableColumn id="8" xr3:uid="{A71BECE8-9B9F-448E-B484-EA7C74201430}" name="Purchase Order Date"/>
    <tableColumn id="9" xr3:uid="{20FC2B76-FC6B-4C6F-AE46-500B56FBB3C6}" name="Supplier Site: Supplier Site Nam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6ED6CB-8473-4019-8AB4-18D4B4B9B592}" name="Table5" displayName="Table5" ref="A3:I9" totalsRowShown="0">
  <autoFilter ref="A3:I9" xr:uid="{106ED6CB-8473-4019-8AB4-18D4B4B9B592}"/>
  <tableColumns count="9">
    <tableColumn id="1" xr3:uid="{BA512DC9-142E-4D29-AA3D-28DD1D586C9C}" name="Purchase Order  Number"/>
    <tableColumn id="2" xr3:uid="{D1C41164-BDF0-4FE8-BC54-ECF0ED12742A}" name="Item Being Procured: Item Number"/>
    <tableColumn id="3" xr3:uid="{B45AFDCD-26DF-4F90-B51C-6DBC2926C655}" name="Item Description"/>
    <tableColumn id="4" xr3:uid="{B274A61D-EDF7-4A2C-95DB-6B14C1E34A54}" name="Item Description2"/>
    <tableColumn id="5" xr3:uid="{27D0E71E-EBE7-46C0-AEA0-3EF79171DB97}" name="Quantity"/>
    <tableColumn id="6" xr3:uid="{53783E78-EFB4-490F-9F75-C74C31684101}" name="Quantity Received"/>
    <tableColumn id="7" xr3:uid="{5C65B690-323D-4FCB-A017-A32976BC3B19}" name="Status"/>
    <tableColumn id="8" xr3:uid="{5FECE5C0-1DBB-45B3-B681-9B536D353076}" name="Purchase Order Date"/>
    <tableColumn id="9" xr3:uid="{D26BD321-17E4-414B-BB9E-F3DCCA7F7B0A}" name="Supplier Site: Supplier Site Nam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069DDB-91CA-4D30-AFFF-B93276EA6639}" name="Table6" displayName="Table6" ref="A3:I16" totalsRowShown="0">
  <autoFilter ref="A3:I16" xr:uid="{3A069DDB-91CA-4D30-AFFF-B93276EA6639}"/>
  <tableColumns count="9">
    <tableColumn id="1" xr3:uid="{F7DB801D-6F68-4518-A492-321B62EA20DF}" name="Purchase Order  Number"/>
    <tableColumn id="2" xr3:uid="{4E9421AC-831F-4319-8E14-E7B610570B9B}" name="Item Being Procured: Item Number"/>
    <tableColumn id="3" xr3:uid="{722EEF13-8BE7-48C3-B875-2D705F08834D}" name="Item Description"/>
    <tableColumn id="4" xr3:uid="{71E4BCB6-6F0D-4F4E-9C93-8D658EADC509}" name="Item Description2"/>
    <tableColumn id="5" xr3:uid="{4E3AB49E-82E4-454F-A118-96938DD59390}" name="Quantity"/>
    <tableColumn id="6" xr3:uid="{84321079-1BC7-4E5C-8B8B-94DA735AD2BE}" name="Quantity Received"/>
    <tableColumn id="7" xr3:uid="{35929E78-7DC5-4820-A164-5B2AE61C4FE8}" name="Status"/>
    <tableColumn id="8" xr3:uid="{153612CF-1ECD-4629-B548-A560FCB5D666}" name="Purchase Order Date"/>
    <tableColumn id="9" xr3:uid="{B0FBBACB-2AF7-40B6-A01F-5498C1EEC3D7}" name="Supplier Site: Supplier Site Nam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798077-969D-4A2D-9FE5-D67371342E8B}" name="Table7" displayName="Table7" ref="A3:I5" totalsRowShown="0">
  <autoFilter ref="A3:I5" xr:uid="{BF798077-969D-4A2D-9FE5-D67371342E8B}"/>
  <tableColumns count="9">
    <tableColumn id="1" xr3:uid="{2B0A6A6A-10AB-4492-B8B1-C10968C4D804}" name="Purchase Order  Number"/>
    <tableColumn id="2" xr3:uid="{C90AD8D1-10AD-4092-8B49-5BD6C20B49C1}" name="Item Being Procured: Item Number"/>
    <tableColumn id="3" xr3:uid="{D037B482-1B90-4322-B90D-41DA0EA8E918}" name="Item Description"/>
    <tableColumn id="4" xr3:uid="{F6A8B002-D6C6-455F-A15A-E8A03EEB0B56}" name="Item Description2"/>
    <tableColumn id="5" xr3:uid="{79CDB78D-61F9-453E-963C-8E9178F3EF11}" name="Quantity"/>
    <tableColumn id="6" xr3:uid="{6735AD28-B8BC-4FAD-A02A-E7B530D36E36}" name="Quantity Received"/>
    <tableColumn id="7" xr3:uid="{E86860D1-808E-4CE0-BA89-6B21CB873A36}" name="Status"/>
    <tableColumn id="8" xr3:uid="{7E67DD42-4F2F-4EB1-B5B0-4E689953DECF}" name="Purchase Order Date"/>
    <tableColumn id="9" xr3:uid="{383BFEBE-4F38-4B99-BC0A-61CC381A4163}" name="Supplier Site: Supplier Site Nam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322838-346B-4703-9C07-868BD851F28F}" name="Table8" displayName="Table8" ref="A3:I12" totalsRowShown="0">
  <autoFilter ref="A3:I12" xr:uid="{D8322838-346B-4703-9C07-868BD851F28F}">
    <filterColumn colId="1">
      <filters>
        <filter val="LMI-E01-BK212"/>
      </filters>
    </filterColumn>
  </autoFilter>
  <tableColumns count="9">
    <tableColumn id="1" xr3:uid="{30EC3313-F61B-4A09-B908-B62E2B7A7756}" name="Purchase Order  Number"/>
    <tableColumn id="2" xr3:uid="{0AA3D3DD-2A84-4BFB-B778-F83C6FABF80C}" name="Item Being Procured: Item Number"/>
    <tableColumn id="3" xr3:uid="{49240FBA-4389-42DB-BBCE-4DB9566EF4DB}" name="Item Description"/>
    <tableColumn id="4" xr3:uid="{DEFC69F4-6F80-48BC-B609-B33857131AED}" name="Item Description2"/>
    <tableColumn id="5" xr3:uid="{2503A8DF-EE26-4D85-898B-A409FEC24865}" name="Quantity"/>
    <tableColumn id="6" xr3:uid="{F863FCF2-AF62-4C32-AD44-1A6D4700163D}" name="Quantity Received"/>
    <tableColumn id="7" xr3:uid="{BADDA29E-3FA1-45C0-A0FC-856E36930898}" name="Status"/>
    <tableColumn id="8" xr3:uid="{57B84438-E353-4B30-A5A2-7C4C314F0CFD}" name="Purchase Order Date"/>
    <tableColumn id="9" xr3:uid="{6C8A6C2F-C6E8-4FCD-8940-5DAE0147BB6C}" name="Supplier Site: Supplier Site Nam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31B1568-1D76-4252-822B-7275E414CBCC}" name="Table9" displayName="Table9" ref="A3:I5" totalsRowShown="0">
  <autoFilter ref="A3:I5" xr:uid="{331B1568-1D76-4252-822B-7275E414CBCC}"/>
  <tableColumns count="9">
    <tableColumn id="1" xr3:uid="{2A6606A5-B471-4D02-ADF8-B9293E527780}" name="Purchase Order  Number"/>
    <tableColumn id="2" xr3:uid="{51508B01-7661-4AB0-A86D-07DB668B1B58}" name="Item Being Procured: Item Number"/>
    <tableColumn id="3" xr3:uid="{73429628-C1DC-4CFB-8EDD-4C39F86A9332}" name="Item Description"/>
    <tableColumn id="4" xr3:uid="{1B5D9FA6-9473-456A-A848-CDFDAB373C9E}" name="Item Description2"/>
    <tableColumn id="5" xr3:uid="{7222661D-5C82-45E2-8E53-F43B1D9E1DD0}" name="Quantity"/>
    <tableColumn id="6" xr3:uid="{205CD41E-4ADB-44A1-B25E-320C106BD2D6}" name="Quantity Received"/>
    <tableColumn id="7" xr3:uid="{2C26EED8-F97F-4C38-AF77-5966B88D7C29}" name="Status"/>
    <tableColumn id="8" xr3:uid="{69A43CF7-1C00-4CF7-8380-0E7688811DDA}" name="Purchase Order Date"/>
    <tableColumn id="9" xr3:uid="{2B16E359-2708-4A21-9C2C-8BCC9C240FCF}" name="Supplier Site: Supplier Site Nam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62D5D03-D759-47A4-9928-379BBE590007}" name="Table10" displayName="Table10" ref="A3:I8" totalsRowShown="0">
  <autoFilter ref="A3:I8" xr:uid="{362D5D03-D759-47A4-9928-379BBE590007}"/>
  <tableColumns count="9">
    <tableColumn id="1" xr3:uid="{825BD49C-40E8-4C26-80C1-22D7B0DF3E75}" name="Purchase Order  Number"/>
    <tableColumn id="2" xr3:uid="{19A94880-1E3A-4801-A863-B8AE40DDDF21}" name="Item Being Procured: Item Number"/>
    <tableColumn id="3" xr3:uid="{D6AC35FE-BFEE-4F76-93EA-6C2F63765EB2}" name="Item Description"/>
    <tableColumn id="4" xr3:uid="{1DAE60F2-237C-4901-9305-C8E1964659D2}" name="Item Description2"/>
    <tableColumn id="5" xr3:uid="{0BDEFE08-9C36-41BB-9338-4EA1F96BC942}" name="Quantity"/>
    <tableColumn id="6" xr3:uid="{1A645F2F-A3AA-4469-8C02-B7D0F8B023A1}" name="Quantity Received"/>
    <tableColumn id="7" xr3:uid="{4A9D7D2F-860B-4916-AA6C-34E0B53CD6F0}" name="Status"/>
    <tableColumn id="8" xr3:uid="{287DA3F2-C479-44CF-A35D-998B5AFDEB6B}" name="Purchase Order Date"/>
    <tableColumn id="9" xr3:uid="{30E4DA7B-90E9-42FF-9B75-620E4B4B7E7D}" name="Supplier Site: Supplier Site Nam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A492B2B-561F-4FF8-B12B-F046F0343985}" name="Table11" displayName="Table11" ref="A3:I4" totalsRowShown="0">
  <autoFilter ref="A3:I4" xr:uid="{8A492B2B-561F-4FF8-B12B-F046F0343985}"/>
  <tableColumns count="9">
    <tableColumn id="1" xr3:uid="{0C2949C0-F765-46EE-88F1-3D40478DF490}" name="Purchase Order  Number"/>
    <tableColumn id="2" xr3:uid="{F316C842-B39F-43AB-9CD8-5A0A3BAF91E9}" name="Item Being Procured: Item Number"/>
    <tableColumn id="3" xr3:uid="{397D58F0-6CEB-4117-ADEF-5617E128A811}" name="Item Description"/>
    <tableColumn id="4" xr3:uid="{1DC3F9BB-2D15-49C0-9747-E91E9FA39C11}" name="Item Description2"/>
    <tableColumn id="5" xr3:uid="{4B1942CF-4B7B-49FD-94A1-2E4C408695D6}" name="Quantity"/>
    <tableColumn id="6" xr3:uid="{A8F39685-526C-4F2B-9F92-A8F6AC6161F9}" name="Quantity Received"/>
    <tableColumn id="7" xr3:uid="{377A1193-B57E-48DA-A062-6073C2E84543}" name="Status"/>
    <tableColumn id="8" xr3:uid="{844607CE-99DD-4D9A-804D-14B3212B4B04}" name="Purchase Order Date"/>
    <tableColumn id="9" xr3:uid="{5802BD47-05A0-4695-ABDE-74BB853CA087}" name="Supplier Site: Supplier Site Nam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77A4639-D2E0-4679-ABD5-202FAD9C7BAC}" name="Table13" displayName="Table13" ref="A3:I6" totalsRowShown="0">
  <autoFilter ref="A3:I6" xr:uid="{D77A4639-D2E0-4679-ABD5-202FAD9C7BAC}"/>
  <tableColumns count="9">
    <tableColumn id="1" xr3:uid="{B86AA3FA-84B6-4AF1-8909-9F4966BF37D7}" name="Purchase Order  Number"/>
    <tableColumn id="2" xr3:uid="{6E8EA56B-5668-465C-90AC-E191F8D2E8D0}" name="Item Being Procured: Item Number"/>
    <tableColumn id="3" xr3:uid="{44DF1A93-E4A1-4468-822F-10D14BFB3E7A}" name="Item Description"/>
    <tableColumn id="4" xr3:uid="{3027B0B3-7ACF-4F07-BF5E-E47D9FCE8868}" name="Item Description2"/>
    <tableColumn id="5" xr3:uid="{932F1600-4E6B-4A9D-8552-9D29D3C89E9B}" name="Quantity"/>
    <tableColumn id="6" xr3:uid="{64C14A14-C532-4958-94CE-1A7A95D439A3}" name="Quantity Received"/>
    <tableColumn id="7" xr3:uid="{0C161056-E5AF-49D8-BF13-9F4E3049034B}" name="Status"/>
    <tableColumn id="8" xr3:uid="{44EAABA6-32A2-4F89-85A8-E7E0E88AAE45}" name="Purchase Order Date"/>
    <tableColumn id="9" xr3:uid="{242D7464-BEA4-4314-B7CF-AABC92660FB3}" name="Supplier Site: Supplier Site Nam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66C726E-DEE7-4BB3-830D-28AE07EE4920}" name="Table12" displayName="Table12" ref="A3:I4" totalsRowShown="0">
  <autoFilter ref="A3:I4" xr:uid="{E66C726E-DEE7-4BB3-830D-28AE07EE4920}"/>
  <tableColumns count="9">
    <tableColumn id="1" xr3:uid="{CAE7DB44-64ED-4021-902A-88839A664105}" name="Purchase Order  Number"/>
    <tableColumn id="2" xr3:uid="{6CED5B21-FB5E-475A-8B39-DD408D6B78DA}" name="Item Being Procured: Item Number"/>
    <tableColumn id="3" xr3:uid="{D68530F2-7815-456E-BE35-EC56ACD49E9A}" name="Item Description"/>
    <tableColumn id="4" xr3:uid="{DEE191B9-4E15-469B-BFB6-F2348B7DF5D7}" name="Item Description2"/>
    <tableColumn id="5" xr3:uid="{199CFA75-3227-4417-AA4B-84E30A019BAF}" name="Quantity"/>
    <tableColumn id="6" xr3:uid="{6F3ED579-EF6F-4D2D-B65C-91CA4AD21211}" name="Quantity Received"/>
    <tableColumn id="7" xr3:uid="{0F82F811-AE30-40C9-B26C-C71F81B6EE49}" name="Status"/>
    <tableColumn id="8" xr3:uid="{DE0B30EC-FCE8-44E4-B105-FC4885D3D1A9}" name="Purchase Order Date"/>
    <tableColumn id="9" xr3:uid="{14B9B6A6-A4C7-425F-A676-4AD827C1ED1D}" name="Supplier Site: Supplier Site Nam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1EBD505-E1C0-4F68-8B78-DE6ED5530F5F}" name="Table14" displayName="Table14" ref="A3:I4" totalsRowShown="0">
  <autoFilter ref="A3:I4" xr:uid="{41EBD505-E1C0-4F68-8B78-DE6ED5530F5F}"/>
  <tableColumns count="9">
    <tableColumn id="1" xr3:uid="{C2669F0F-EB5E-48EC-A90A-CE99E6DDB888}" name="Purchase Order  Number"/>
    <tableColumn id="2" xr3:uid="{7689B689-3F8F-4F82-8DAF-B8EDAE4C1F59}" name="Item Being Procured: Item Number"/>
    <tableColumn id="3" xr3:uid="{FD2CD229-6A78-4A6D-8B5B-9720EBFC7885}" name="Item Description"/>
    <tableColumn id="4" xr3:uid="{B6B8B74B-1A03-4DC9-A845-BF2BAEA8AFA7}" name="Item Description2"/>
    <tableColumn id="5" xr3:uid="{6DB4075D-C882-4E42-9ED4-249DA1BF1517}" name="Quantity"/>
    <tableColumn id="6" xr3:uid="{D83A8D23-43FE-49CD-B6F6-5338BDE24634}" name="Quantity Received"/>
    <tableColumn id="7" xr3:uid="{B9262AFB-0215-4E4B-A943-DF604DB529F0}" name="Status"/>
    <tableColumn id="8" xr3:uid="{05639B39-9BBB-452F-82CD-FA79DC24ECBD}" name="Purchase Order Date"/>
    <tableColumn id="9" xr3:uid="{E97432DC-C127-4552-91D1-98DE46ECF80D}" name="Supplier Site: Supplier Site Na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3CED0CB-FDB4-4216-875D-7336BA4D3895}" name="Table15" displayName="Table15" ref="A3:I4" totalsRowShown="0">
  <autoFilter ref="A3:I4" xr:uid="{43CED0CB-FDB4-4216-875D-7336BA4D3895}"/>
  <tableColumns count="9">
    <tableColumn id="1" xr3:uid="{925CD718-E775-4F47-AD56-BD23B357AD5C}" name="Purchase Order  Number"/>
    <tableColumn id="2" xr3:uid="{9299EEEB-4684-4B24-9F3F-C1C14EB81915}" name="Item Being Procured: Item Number"/>
    <tableColumn id="3" xr3:uid="{CA35FD21-317D-49DA-B37A-7D926CB4E5C9}" name="Item Description"/>
    <tableColumn id="4" xr3:uid="{88D19BC3-2187-480B-9B85-E363F0E98201}" name="Item Description2"/>
    <tableColumn id="5" xr3:uid="{A22B79B5-37B7-489D-82AA-63E155B6E11C}" name="Quantity"/>
    <tableColumn id="6" xr3:uid="{C85F6DEA-AECE-4416-BA4B-4658AD5AF328}" name="Quantity Received"/>
    <tableColumn id="7" xr3:uid="{10D700D1-49CC-4C3E-BF91-983A7093FC6A}" name="Status"/>
    <tableColumn id="8" xr3:uid="{43696B11-4D20-45A2-A481-4759BCB06D02}" name="Purchase Order Date"/>
    <tableColumn id="9" xr3:uid="{E1820B2E-21A9-4675-B3E1-D73D220D51F0}" name="Supplier Site: Supplier Site 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4EBA9E5-1489-41D2-B07B-FDF486BF29A8}" name="Table16" displayName="Table16" ref="A3:I4" totalsRowShown="0">
  <autoFilter ref="A3:I4" xr:uid="{54EBA9E5-1489-41D2-B07B-FDF486BF29A8}"/>
  <tableColumns count="9">
    <tableColumn id="1" xr3:uid="{875A416A-E4A2-47B4-A02C-0A756A699E71}" name="Purchase Order  Number"/>
    <tableColumn id="2" xr3:uid="{B5F9DBA5-2B9B-48A8-BA61-20A27367DD84}" name="Item Being Procured: Item Number"/>
    <tableColumn id="3" xr3:uid="{FEA2B02C-BE92-4218-920B-85D70A1E0590}" name="Item Description"/>
    <tableColumn id="4" xr3:uid="{4432B4E4-2B2E-4C46-8F34-4016547C080E}" name="Item Description2"/>
    <tableColumn id="5" xr3:uid="{A1CCE678-8968-4C88-B938-E324046F06E6}" name="Quantity"/>
    <tableColumn id="6" xr3:uid="{F776C5B8-106E-4A81-A87C-F7B1D9C42E62}" name="Quantity Received"/>
    <tableColumn id="7" xr3:uid="{F3BF6CA6-2753-4C28-994D-434B2407D294}" name="Status"/>
    <tableColumn id="8" xr3:uid="{DB3C0EB9-461C-443F-ADA5-229CF7DCE4F9}" name="Purchase Order Date"/>
    <tableColumn id="9" xr3:uid="{A6D522D7-AD0B-44F1-BB88-128FE13263E9}" name="Supplier Site: Supplier Site Nam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F593B52-ED1A-44DC-AE54-5BC46BC5F459}" name="Table17" displayName="Table17" ref="A3:I4" totalsRowShown="0">
  <autoFilter ref="A3:I4" xr:uid="{0F593B52-ED1A-44DC-AE54-5BC46BC5F459}"/>
  <tableColumns count="9">
    <tableColumn id="1" xr3:uid="{4A38B27E-6B2A-4B89-B9ED-06F9A7F3898A}" name="Purchase Order  Number"/>
    <tableColumn id="2" xr3:uid="{61585E68-EF0E-4912-8921-F021721E5CB0}" name="Item Being Procured: Item Number"/>
    <tableColumn id="3" xr3:uid="{75E125E6-97FD-42D2-A3AC-7C5A4F9D8FE9}" name="Item Description"/>
    <tableColumn id="4" xr3:uid="{BF078A94-2A89-4440-97C3-1D8D46241C33}" name="Item Description2"/>
    <tableColumn id="5" xr3:uid="{D62C6B83-5784-4FA5-9841-EBB6A9663E06}" name="Quantity"/>
    <tableColumn id="6" xr3:uid="{D2C3B0F8-E3E2-48AF-8946-734CF9A367D9}" name="Quantity Received"/>
    <tableColumn id="7" xr3:uid="{EFDC1668-49F2-499D-9F68-92AD8F50711A}" name="Status"/>
    <tableColumn id="8" xr3:uid="{8A2C3B19-685D-40DE-A45F-7195488FBFB2}" name="Purchase Order Date"/>
    <tableColumn id="9" xr3:uid="{35DB4F62-CDE5-4332-883E-2742B718AB80}" name="Supplier Site: Supplier Site Nam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D6D3C2C-8DD2-4352-9E62-092CA5D21206}" name="Table18" displayName="Table18" ref="A3:I4" totalsRowShown="0">
  <autoFilter ref="A3:I4" xr:uid="{3D6D3C2C-8DD2-4352-9E62-092CA5D21206}"/>
  <tableColumns count="9">
    <tableColumn id="1" xr3:uid="{5A5B0A8B-F0FF-44CF-A13D-7C1E35656866}" name="Purchase Order  Number"/>
    <tableColumn id="2" xr3:uid="{EBC21BF7-B362-40FF-A058-B7AB684CD22E}" name="Item Being Procured: Item Number"/>
    <tableColumn id="3" xr3:uid="{2D912B97-BEE8-4A7A-A9FB-C86B2D81B692}" name="Item Description"/>
    <tableColumn id="4" xr3:uid="{DB7DB989-00C5-4023-A11A-E316D03EEFF9}" name="Item Description2"/>
    <tableColumn id="5" xr3:uid="{2E264EC2-97BA-47DC-AD56-D6BE3785BC9F}" name="Quantity"/>
    <tableColumn id="6" xr3:uid="{44026601-0F45-417B-B793-DAD2E880CAC8}" name="Quantity Received"/>
    <tableColumn id="7" xr3:uid="{B078AFED-30D4-4B65-B53D-F6A43324402C}" name="Status"/>
    <tableColumn id="8" xr3:uid="{3531E27F-B571-40D0-A2E5-FC510A04F875}" name="Purchase Order Date"/>
    <tableColumn id="9" xr3:uid="{E5505CAB-2196-4D1B-9BC6-057DD34435AA}" name="Supplier Site: Supplier Site Nam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4090A07-A35F-495D-AC19-CC7D1E770500}" name="Table19" displayName="Table19" ref="A3:I6" totalsRowShown="0">
  <autoFilter ref="A3:I6" xr:uid="{64090A07-A35F-495D-AC19-CC7D1E770500}"/>
  <tableColumns count="9">
    <tableColumn id="1" xr3:uid="{F7B02E6C-E0B3-4B85-ABBD-247B8CE5887E}" name="Purchase Order  Number"/>
    <tableColumn id="2" xr3:uid="{5E3917C1-6AE4-4FF8-8660-3FE7E121051E}" name="Item Being Procured: Item Number"/>
    <tableColumn id="3" xr3:uid="{EF2B677F-3088-48CF-AED2-FA8DA9258A49}" name="Item Description"/>
    <tableColumn id="4" xr3:uid="{E6A509FC-BCBB-4DE2-80AE-95C93EEF055F}" name="Item Description2"/>
    <tableColumn id="5" xr3:uid="{AE34B49D-5FE2-4D61-B5B3-EAEA8D338FC7}" name="Quantity"/>
    <tableColumn id="6" xr3:uid="{FCC71B4A-4A34-4AA4-8486-C0EFBE60FF5C}" name="Quantity Received"/>
    <tableColumn id="7" xr3:uid="{079401A7-2771-4D5E-88C5-EA89631770E9}" name="Status"/>
    <tableColumn id="8" xr3:uid="{11516F55-72EE-4396-9A10-30A09A83A5BC}" name="Purchase Order Date"/>
    <tableColumn id="9" xr3:uid="{1B030303-54CC-4EA8-9BC7-E8538C640E33}" name="Supplier Site: Supplier Site Nam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986477C-DADD-4481-8F2F-11C621072303}" name="Table20" displayName="Table20" ref="A3:I4" totalsRowShown="0">
  <autoFilter ref="A3:I4" xr:uid="{5986477C-DADD-4481-8F2F-11C621072303}"/>
  <tableColumns count="9">
    <tableColumn id="1" xr3:uid="{2FFEBAE3-CCFB-4E9B-A6EA-F419697F02AC}" name="Purchase Order  Number"/>
    <tableColumn id="2" xr3:uid="{92CFA297-2770-454F-8196-4A9B0F536098}" name="Item Being Procured: Item Number"/>
    <tableColumn id="3" xr3:uid="{F2E55C50-8279-4537-9F16-564D9242DB71}" name="Item Description"/>
    <tableColumn id="4" xr3:uid="{AD6406A6-365D-4D17-A1E1-7240F0889C5B}" name="Item Description2"/>
    <tableColumn id="5" xr3:uid="{6A7DBF1E-461D-4675-A11F-D30D9DD3218B}" name="Quantity"/>
    <tableColumn id="6" xr3:uid="{741C38EB-88FB-4FF6-8454-2DF8CD9CF748}" name="Quantity Received"/>
    <tableColumn id="7" xr3:uid="{D1799A04-EB1F-45A0-8673-6235B37357EE}" name="Status"/>
    <tableColumn id="8" xr3:uid="{8181724C-1439-4AC7-9CEF-5DA3D892BEB9}" name="Purchase Order Date"/>
    <tableColumn id="9" xr3:uid="{68285A0E-ADBA-4FEF-AE5B-5C6C6F3B0CBC}" name="Supplier Site: Supplier Site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2840-2457-4B22-88E8-ADAC93AB4F6B}">
  <dimension ref="A3:C970"/>
  <sheetViews>
    <sheetView topLeftCell="A17" workbookViewId="0">
      <selection activeCell="A3" sqref="A3"/>
    </sheetView>
  </sheetViews>
  <sheetFormatPr defaultRowHeight="14.75" x14ac:dyDescent="0.75"/>
  <cols>
    <col min="1" max="1" width="59.08984375" bestFit="1" customWidth="1"/>
    <col min="2" max="2" width="57.04296875" bestFit="1" customWidth="1"/>
    <col min="3" max="3" width="14.76953125" bestFit="1" customWidth="1"/>
  </cols>
  <sheetData>
    <row r="3" spans="1:3" x14ac:dyDescent="0.75">
      <c r="A3" s="4" t="s">
        <v>1</v>
      </c>
      <c r="B3" s="4" t="s">
        <v>2</v>
      </c>
      <c r="C3" t="s">
        <v>2988</v>
      </c>
    </row>
    <row r="4" spans="1:3" x14ac:dyDescent="0.75">
      <c r="A4" t="s">
        <v>796</v>
      </c>
      <c r="B4" t="s">
        <v>797</v>
      </c>
      <c r="C4">
        <v>120003840</v>
      </c>
    </row>
    <row r="5" spans="1:3" x14ac:dyDescent="0.75">
      <c r="A5" t="s">
        <v>564</v>
      </c>
      <c r="B5" t="s">
        <v>565</v>
      </c>
      <c r="C5">
        <v>57043200</v>
      </c>
    </row>
    <row r="6" spans="1:3" x14ac:dyDescent="0.75">
      <c r="A6" t="s">
        <v>1190</v>
      </c>
      <c r="B6" t="s">
        <v>1191</v>
      </c>
      <c r="C6">
        <v>50988000</v>
      </c>
    </row>
    <row r="7" spans="1:3" x14ac:dyDescent="0.75">
      <c r="A7" t="s">
        <v>756</v>
      </c>
      <c r="B7" t="s">
        <v>757</v>
      </c>
      <c r="C7">
        <v>50469600</v>
      </c>
    </row>
    <row r="8" spans="1:3" x14ac:dyDescent="0.75">
      <c r="A8" t="s">
        <v>621</v>
      </c>
      <c r="B8" t="s">
        <v>622</v>
      </c>
      <c r="C8">
        <v>47500992</v>
      </c>
    </row>
    <row r="9" spans="1:3" x14ac:dyDescent="0.75">
      <c r="A9" t="s">
        <v>2756</v>
      </c>
      <c r="B9" t="s">
        <v>2757</v>
      </c>
      <c r="C9">
        <v>41731466</v>
      </c>
    </row>
    <row r="10" spans="1:3" x14ac:dyDescent="0.75">
      <c r="A10" t="s">
        <v>2831</v>
      </c>
      <c r="B10" t="s">
        <v>2832</v>
      </c>
      <c r="C10">
        <v>40620480</v>
      </c>
    </row>
    <row r="11" spans="1:3" x14ac:dyDescent="0.75">
      <c r="A11" t="s">
        <v>287</v>
      </c>
      <c r="B11" t="s">
        <v>288</v>
      </c>
      <c r="C11">
        <v>39507200</v>
      </c>
    </row>
    <row r="12" spans="1:3" x14ac:dyDescent="0.75">
      <c r="A12" t="s">
        <v>697</v>
      </c>
      <c r="B12" t="s">
        <v>698</v>
      </c>
      <c r="C12">
        <v>38874240</v>
      </c>
    </row>
    <row r="13" spans="1:3" x14ac:dyDescent="0.75">
      <c r="A13" t="s">
        <v>2863</v>
      </c>
      <c r="B13" t="s">
        <v>2864</v>
      </c>
      <c r="C13">
        <v>35067000</v>
      </c>
    </row>
    <row r="14" spans="1:3" x14ac:dyDescent="0.75">
      <c r="A14" t="s">
        <v>947</v>
      </c>
      <c r="B14" t="s">
        <v>948</v>
      </c>
      <c r="C14">
        <v>25404064</v>
      </c>
    </row>
    <row r="15" spans="1:3" x14ac:dyDescent="0.75">
      <c r="A15" t="s">
        <v>529</v>
      </c>
      <c r="B15" t="s">
        <v>530</v>
      </c>
      <c r="C15">
        <v>20040768</v>
      </c>
    </row>
    <row r="16" spans="1:3" x14ac:dyDescent="0.75">
      <c r="A16" t="s">
        <v>2158</v>
      </c>
      <c r="B16" t="s">
        <v>2159</v>
      </c>
      <c r="C16">
        <v>15000000</v>
      </c>
    </row>
    <row r="17" spans="1:3" x14ac:dyDescent="0.75">
      <c r="A17" t="s">
        <v>624</v>
      </c>
      <c r="B17" t="s">
        <v>625</v>
      </c>
      <c r="C17">
        <v>12181248</v>
      </c>
    </row>
    <row r="18" spans="1:3" x14ac:dyDescent="0.75">
      <c r="A18" t="s">
        <v>2774</v>
      </c>
      <c r="B18" t="s">
        <v>2775</v>
      </c>
      <c r="C18">
        <v>10287360</v>
      </c>
    </row>
    <row r="19" spans="1:3" x14ac:dyDescent="0.75">
      <c r="A19" t="s">
        <v>1192</v>
      </c>
      <c r="B19" t="s">
        <v>1193</v>
      </c>
      <c r="C19">
        <v>10014000</v>
      </c>
    </row>
    <row r="20" spans="1:3" x14ac:dyDescent="0.75">
      <c r="A20" t="s">
        <v>2743</v>
      </c>
      <c r="B20" t="s">
        <v>2744</v>
      </c>
      <c r="C20">
        <v>8017134</v>
      </c>
    </row>
    <row r="21" spans="1:3" x14ac:dyDescent="0.75">
      <c r="A21" t="s">
        <v>703</v>
      </c>
      <c r="B21" t="s">
        <v>704</v>
      </c>
      <c r="C21">
        <v>7657920</v>
      </c>
    </row>
    <row r="22" spans="1:3" x14ac:dyDescent="0.75">
      <c r="A22" t="s">
        <v>472</v>
      </c>
      <c r="B22" t="s">
        <v>473</v>
      </c>
      <c r="C22">
        <v>7566144</v>
      </c>
    </row>
    <row r="23" spans="1:3" x14ac:dyDescent="0.75">
      <c r="A23" t="s">
        <v>2661</v>
      </c>
      <c r="B23" t="s">
        <v>2662</v>
      </c>
      <c r="C23">
        <v>5502960</v>
      </c>
    </row>
    <row r="24" spans="1:3" x14ac:dyDescent="0.75">
      <c r="A24" t="s">
        <v>993</v>
      </c>
      <c r="B24" t="s">
        <v>994</v>
      </c>
      <c r="C24">
        <v>5004000</v>
      </c>
    </row>
    <row r="25" spans="1:3" x14ac:dyDescent="0.75">
      <c r="A25" t="s">
        <v>2875</v>
      </c>
      <c r="B25" t="s">
        <v>2876</v>
      </c>
      <c r="C25">
        <v>4322700</v>
      </c>
    </row>
    <row r="26" spans="1:3" x14ac:dyDescent="0.75">
      <c r="A26" t="s">
        <v>788</v>
      </c>
      <c r="B26" t="s">
        <v>789</v>
      </c>
      <c r="C26">
        <v>4000176</v>
      </c>
    </row>
    <row r="27" spans="1:3" x14ac:dyDescent="0.75">
      <c r="A27" t="s">
        <v>752</v>
      </c>
      <c r="B27" t="s">
        <v>753</v>
      </c>
      <c r="C27">
        <v>3421872</v>
      </c>
    </row>
    <row r="28" spans="1:3" x14ac:dyDescent="0.75">
      <c r="A28" t="s">
        <v>2371</v>
      </c>
      <c r="B28" t="s">
        <v>2372</v>
      </c>
      <c r="C28">
        <v>3297600</v>
      </c>
    </row>
    <row r="29" spans="1:3" x14ac:dyDescent="0.75">
      <c r="A29" t="s">
        <v>720</v>
      </c>
      <c r="B29" t="s">
        <v>721</v>
      </c>
      <c r="C29">
        <v>3002832</v>
      </c>
    </row>
    <row r="30" spans="1:3" x14ac:dyDescent="0.75">
      <c r="A30" t="s">
        <v>2778</v>
      </c>
      <c r="B30" t="s">
        <v>2779</v>
      </c>
      <c r="C30">
        <v>2571840</v>
      </c>
    </row>
    <row r="31" spans="1:3" x14ac:dyDescent="0.75">
      <c r="A31" t="s">
        <v>792</v>
      </c>
      <c r="B31" t="s">
        <v>793</v>
      </c>
      <c r="C31">
        <v>2401024</v>
      </c>
    </row>
    <row r="32" spans="1:3" x14ac:dyDescent="0.75">
      <c r="A32" t="s">
        <v>2727</v>
      </c>
      <c r="B32" t="s">
        <v>2728</v>
      </c>
      <c r="C32">
        <v>1926400</v>
      </c>
    </row>
    <row r="33" spans="1:3" x14ac:dyDescent="0.75">
      <c r="A33" t="s">
        <v>834</v>
      </c>
      <c r="B33" t="s">
        <v>835</v>
      </c>
      <c r="C33">
        <v>1103800</v>
      </c>
    </row>
    <row r="34" spans="1:3" x14ac:dyDescent="0.75">
      <c r="A34" t="s">
        <v>749</v>
      </c>
      <c r="B34" t="s">
        <v>750</v>
      </c>
      <c r="C34">
        <v>802512</v>
      </c>
    </row>
    <row r="35" spans="1:3" x14ac:dyDescent="0.75">
      <c r="A35" t="s">
        <v>2834</v>
      </c>
      <c r="B35" t="s">
        <v>2835</v>
      </c>
      <c r="C35">
        <v>660480</v>
      </c>
    </row>
    <row r="36" spans="1:3" x14ac:dyDescent="0.75">
      <c r="A36" t="s">
        <v>2865</v>
      </c>
      <c r="B36" t="s">
        <v>2866</v>
      </c>
      <c r="C36">
        <v>600600</v>
      </c>
    </row>
    <row r="37" spans="1:3" x14ac:dyDescent="0.75">
      <c r="A37" t="s">
        <v>1990</v>
      </c>
      <c r="B37" t="s">
        <v>1991</v>
      </c>
      <c r="C37">
        <v>597150</v>
      </c>
    </row>
    <row r="38" spans="1:3" x14ac:dyDescent="0.75">
      <c r="A38" t="s">
        <v>1992</v>
      </c>
      <c r="B38" t="s">
        <v>1993</v>
      </c>
      <c r="C38">
        <v>580410</v>
      </c>
    </row>
    <row r="39" spans="1:3" x14ac:dyDescent="0.75">
      <c r="A39" t="s">
        <v>1986</v>
      </c>
      <c r="B39" t="s">
        <v>1987</v>
      </c>
      <c r="C39">
        <v>569220</v>
      </c>
    </row>
    <row r="40" spans="1:3" x14ac:dyDescent="0.75">
      <c r="A40" t="s">
        <v>1984</v>
      </c>
      <c r="B40" t="s">
        <v>1985</v>
      </c>
      <c r="C40">
        <v>563640</v>
      </c>
    </row>
    <row r="41" spans="1:3" x14ac:dyDescent="0.75">
      <c r="A41" t="s">
        <v>1878</v>
      </c>
      <c r="B41" t="s">
        <v>1879</v>
      </c>
      <c r="C41">
        <v>550310</v>
      </c>
    </row>
    <row r="42" spans="1:3" x14ac:dyDescent="0.75">
      <c r="A42" t="s">
        <v>1988</v>
      </c>
      <c r="B42" t="s">
        <v>1989</v>
      </c>
      <c r="C42">
        <v>546900</v>
      </c>
    </row>
    <row r="43" spans="1:3" x14ac:dyDescent="0.75">
      <c r="A43" t="s">
        <v>1982</v>
      </c>
      <c r="B43" t="s">
        <v>1983</v>
      </c>
      <c r="C43">
        <v>546900</v>
      </c>
    </row>
    <row r="44" spans="1:3" x14ac:dyDescent="0.75">
      <c r="A44" t="s">
        <v>421</v>
      </c>
      <c r="B44" t="s">
        <v>243</v>
      </c>
      <c r="C44">
        <v>545868</v>
      </c>
    </row>
    <row r="45" spans="1:3" x14ac:dyDescent="0.75">
      <c r="A45" t="s">
        <v>863</v>
      </c>
      <c r="B45" t="s">
        <v>864</v>
      </c>
      <c r="C45">
        <v>535410</v>
      </c>
    </row>
    <row r="46" spans="1:3" x14ac:dyDescent="0.75">
      <c r="A46" t="s">
        <v>1855</v>
      </c>
      <c r="B46" t="s">
        <v>1856</v>
      </c>
      <c r="C46">
        <v>519984</v>
      </c>
    </row>
    <row r="47" spans="1:3" x14ac:dyDescent="0.75">
      <c r="A47" t="s">
        <v>2177</v>
      </c>
      <c r="B47" t="s">
        <v>2178</v>
      </c>
      <c r="C47">
        <v>502272</v>
      </c>
    </row>
    <row r="48" spans="1:3" x14ac:dyDescent="0.75">
      <c r="A48" t="s">
        <v>2970</v>
      </c>
      <c r="B48" t="s">
        <v>2971</v>
      </c>
      <c r="C48">
        <v>501600</v>
      </c>
    </row>
    <row r="49" spans="1:3" x14ac:dyDescent="0.75">
      <c r="A49" t="s">
        <v>485</v>
      </c>
      <c r="B49" t="s">
        <v>486</v>
      </c>
      <c r="C49">
        <v>500972</v>
      </c>
    </row>
    <row r="50" spans="1:3" x14ac:dyDescent="0.75">
      <c r="A50" t="s">
        <v>548</v>
      </c>
      <c r="B50" t="s">
        <v>549</v>
      </c>
      <c r="C50">
        <v>500340</v>
      </c>
    </row>
    <row r="51" spans="1:3" x14ac:dyDescent="0.75">
      <c r="A51" t="s">
        <v>490</v>
      </c>
      <c r="B51" t="s">
        <v>491</v>
      </c>
      <c r="C51">
        <v>500000</v>
      </c>
    </row>
    <row r="52" spans="1:3" x14ac:dyDescent="0.75">
      <c r="A52" t="s">
        <v>488</v>
      </c>
      <c r="B52" t="s">
        <v>489</v>
      </c>
      <c r="C52">
        <v>500000</v>
      </c>
    </row>
    <row r="53" spans="1:3" x14ac:dyDescent="0.75">
      <c r="A53" t="s">
        <v>492</v>
      </c>
      <c r="B53" t="s">
        <v>493</v>
      </c>
      <c r="C53">
        <v>500000</v>
      </c>
    </row>
    <row r="54" spans="1:3" x14ac:dyDescent="0.75">
      <c r="A54" t="s">
        <v>1126</v>
      </c>
      <c r="B54" t="s">
        <v>1127</v>
      </c>
      <c r="C54">
        <v>474576</v>
      </c>
    </row>
    <row r="55" spans="1:3" x14ac:dyDescent="0.75">
      <c r="A55" t="s">
        <v>865</v>
      </c>
      <c r="B55" t="s">
        <v>866</v>
      </c>
      <c r="C55">
        <v>468360</v>
      </c>
    </row>
    <row r="56" spans="1:3" x14ac:dyDescent="0.75">
      <c r="A56" t="s">
        <v>2151</v>
      </c>
      <c r="B56" t="s">
        <v>2152</v>
      </c>
      <c r="C56">
        <v>463040</v>
      </c>
    </row>
    <row r="57" spans="1:3" x14ac:dyDescent="0.75">
      <c r="A57" t="s">
        <v>1452</v>
      </c>
      <c r="B57" t="s">
        <v>1453</v>
      </c>
      <c r="C57">
        <v>431994</v>
      </c>
    </row>
    <row r="58" spans="1:3" x14ac:dyDescent="0.75">
      <c r="A58" t="s">
        <v>1119</v>
      </c>
      <c r="B58" t="s">
        <v>1120</v>
      </c>
      <c r="C58">
        <v>424836</v>
      </c>
    </row>
    <row r="59" spans="1:3" x14ac:dyDescent="0.75">
      <c r="A59" t="s">
        <v>593</v>
      </c>
      <c r="B59" t="s">
        <v>594</v>
      </c>
      <c r="C59">
        <v>420006</v>
      </c>
    </row>
    <row r="60" spans="1:3" x14ac:dyDescent="0.75">
      <c r="A60" t="s">
        <v>2977</v>
      </c>
      <c r="B60" t="s">
        <v>2978</v>
      </c>
      <c r="C60">
        <v>415584</v>
      </c>
    </row>
    <row r="61" spans="1:3" x14ac:dyDescent="0.75">
      <c r="A61" t="s">
        <v>867</v>
      </c>
      <c r="B61" t="s">
        <v>868</v>
      </c>
      <c r="C61">
        <v>412480</v>
      </c>
    </row>
    <row r="62" spans="1:3" x14ac:dyDescent="0.75">
      <c r="A62" t="s">
        <v>2749</v>
      </c>
      <c r="B62" t="s">
        <v>2750</v>
      </c>
      <c r="C62">
        <v>400819</v>
      </c>
    </row>
    <row r="63" spans="1:3" x14ac:dyDescent="0.75">
      <c r="A63" t="s">
        <v>1123</v>
      </c>
      <c r="B63" t="s">
        <v>1124</v>
      </c>
      <c r="C63">
        <v>399812</v>
      </c>
    </row>
    <row r="64" spans="1:3" x14ac:dyDescent="0.75">
      <c r="A64" t="s">
        <v>1445</v>
      </c>
      <c r="B64" t="s">
        <v>1446</v>
      </c>
      <c r="C64">
        <v>396738</v>
      </c>
    </row>
    <row r="65" spans="1:3" x14ac:dyDescent="0.75">
      <c r="A65" t="s">
        <v>2983</v>
      </c>
      <c r="B65" t="s">
        <v>2984</v>
      </c>
      <c r="C65">
        <v>390912</v>
      </c>
    </row>
    <row r="66" spans="1:3" x14ac:dyDescent="0.75">
      <c r="A66" t="s">
        <v>706</v>
      </c>
      <c r="B66" t="s">
        <v>707</v>
      </c>
      <c r="C66">
        <v>385400</v>
      </c>
    </row>
    <row r="67" spans="1:3" x14ac:dyDescent="0.75">
      <c r="A67" t="s">
        <v>1443</v>
      </c>
      <c r="B67" t="s">
        <v>1425</v>
      </c>
      <c r="C67">
        <v>384492</v>
      </c>
    </row>
    <row r="68" spans="1:3" x14ac:dyDescent="0.75">
      <c r="A68" t="s">
        <v>417</v>
      </c>
      <c r="B68" t="s">
        <v>245</v>
      </c>
      <c r="C68">
        <v>368370</v>
      </c>
    </row>
    <row r="69" spans="1:3" x14ac:dyDescent="0.75">
      <c r="A69" t="s">
        <v>2071</v>
      </c>
      <c r="B69" t="s">
        <v>244</v>
      </c>
      <c r="C69">
        <v>361542</v>
      </c>
    </row>
    <row r="70" spans="1:3" x14ac:dyDescent="0.75">
      <c r="A70" t="s">
        <v>760</v>
      </c>
      <c r="B70" t="s">
        <v>761</v>
      </c>
      <c r="C70">
        <v>350190</v>
      </c>
    </row>
    <row r="71" spans="1:3" x14ac:dyDescent="0.75">
      <c r="A71" t="s">
        <v>857</v>
      </c>
      <c r="B71" t="s">
        <v>858</v>
      </c>
      <c r="C71">
        <v>348430</v>
      </c>
    </row>
    <row r="72" spans="1:3" x14ac:dyDescent="0.75">
      <c r="A72" t="s">
        <v>2981</v>
      </c>
      <c r="B72" t="s">
        <v>2982</v>
      </c>
      <c r="C72">
        <v>348048</v>
      </c>
    </row>
    <row r="73" spans="1:3" x14ac:dyDescent="0.75">
      <c r="A73" t="s">
        <v>302</v>
      </c>
      <c r="B73" t="s">
        <v>303</v>
      </c>
      <c r="C73">
        <v>342424</v>
      </c>
    </row>
    <row r="74" spans="1:3" x14ac:dyDescent="0.75">
      <c r="A74" t="s">
        <v>1447</v>
      </c>
      <c r="B74" t="s">
        <v>1448</v>
      </c>
      <c r="C74">
        <v>331232</v>
      </c>
    </row>
    <row r="75" spans="1:3" x14ac:dyDescent="0.75">
      <c r="A75" t="s">
        <v>2975</v>
      </c>
      <c r="B75" t="s">
        <v>2976</v>
      </c>
      <c r="C75">
        <v>326880</v>
      </c>
    </row>
    <row r="76" spans="1:3" x14ac:dyDescent="0.75">
      <c r="A76" t="s">
        <v>1110</v>
      </c>
      <c r="B76" t="s">
        <v>1111</v>
      </c>
      <c r="C76">
        <v>326250</v>
      </c>
    </row>
    <row r="77" spans="1:3" x14ac:dyDescent="0.75">
      <c r="A77" t="s">
        <v>1785</v>
      </c>
      <c r="B77" t="s">
        <v>1786</v>
      </c>
      <c r="C77">
        <v>316748</v>
      </c>
    </row>
    <row r="78" spans="1:3" x14ac:dyDescent="0.75">
      <c r="A78" t="s">
        <v>422</v>
      </c>
      <c r="B78" t="s">
        <v>244</v>
      </c>
      <c r="C78">
        <v>316644</v>
      </c>
    </row>
    <row r="79" spans="1:3" x14ac:dyDescent="0.75">
      <c r="A79" t="s">
        <v>420</v>
      </c>
      <c r="B79" t="s">
        <v>246</v>
      </c>
      <c r="C79">
        <v>315792</v>
      </c>
    </row>
    <row r="80" spans="1:3" x14ac:dyDescent="0.75">
      <c r="A80" t="s">
        <v>300</v>
      </c>
      <c r="B80" t="s">
        <v>301</v>
      </c>
      <c r="C80">
        <v>306384</v>
      </c>
    </row>
    <row r="81" spans="1:3" x14ac:dyDescent="0.75">
      <c r="A81" t="s">
        <v>1779</v>
      </c>
      <c r="B81" t="s">
        <v>1780</v>
      </c>
      <c r="C81">
        <v>300736</v>
      </c>
    </row>
    <row r="82" spans="1:3" x14ac:dyDescent="0.75">
      <c r="A82" t="s">
        <v>853</v>
      </c>
      <c r="B82" t="s">
        <v>854</v>
      </c>
      <c r="C82">
        <v>298092</v>
      </c>
    </row>
    <row r="83" spans="1:3" x14ac:dyDescent="0.75">
      <c r="A83" t="s">
        <v>357</v>
      </c>
      <c r="B83" t="s">
        <v>358</v>
      </c>
      <c r="C83">
        <v>292336</v>
      </c>
    </row>
    <row r="84" spans="1:3" x14ac:dyDescent="0.75">
      <c r="A84" t="s">
        <v>381</v>
      </c>
      <c r="B84" t="s">
        <v>382</v>
      </c>
      <c r="C84">
        <v>288992</v>
      </c>
    </row>
    <row r="85" spans="1:3" x14ac:dyDescent="0.75">
      <c r="A85" t="s">
        <v>298</v>
      </c>
      <c r="B85" t="s">
        <v>299</v>
      </c>
      <c r="C85">
        <v>288352</v>
      </c>
    </row>
    <row r="86" spans="1:3" x14ac:dyDescent="0.75">
      <c r="A86" t="s">
        <v>1116</v>
      </c>
      <c r="B86" t="s">
        <v>1117</v>
      </c>
      <c r="C86">
        <v>287016</v>
      </c>
    </row>
    <row r="87" spans="1:3" x14ac:dyDescent="0.75">
      <c r="A87" t="s">
        <v>972</v>
      </c>
      <c r="B87" t="s">
        <v>973</v>
      </c>
      <c r="C87">
        <v>277746</v>
      </c>
    </row>
    <row r="88" spans="1:3" x14ac:dyDescent="0.75">
      <c r="A88" t="s">
        <v>1440</v>
      </c>
      <c r="B88" t="s">
        <v>1441</v>
      </c>
      <c r="C88">
        <v>274764</v>
      </c>
    </row>
    <row r="89" spans="1:3" x14ac:dyDescent="0.75">
      <c r="A89" t="s">
        <v>418</v>
      </c>
      <c r="B89" t="s">
        <v>337</v>
      </c>
      <c r="C89">
        <v>274548</v>
      </c>
    </row>
    <row r="90" spans="1:3" x14ac:dyDescent="0.75">
      <c r="A90" t="s">
        <v>855</v>
      </c>
      <c r="B90" t="s">
        <v>856</v>
      </c>
      <c r="C90">
        <v>262810</v>
      </c>
    </row>
    <row r="91" spans="1:3" x14ac:dyDescent="0.75">
      <c r="A91" t="s">
        <v>1449</v>
      </c>
      <c r="B91" t="s">
        <v>1450</v>
      </c>
      <c r="C91">
        <v>250302</v>
      </c>
    </row>
    <row r="92" spans="1:3" x14ac:dyDescent="0.75">
      <c r="A92" t="s">
        <v>590</v>
      </c>
      <c r="B92" t="s">
        <v>591</v>
      </c>
      <c r="C92">
        <v>250002</v>
      </c>
    </row>
    <row r="93" spans="1:3" x14ac:dyDescent="0.75">
      <c r="A93" t="s">
        <v>581</v>
      </c>
      <c r="B93" t="s">
        <v>582</v>
      </c>
      <c r="C93">
        <v>250000</v>
      </c>
    </row>
    <row r="94" spans="1:3" x14ac:dyDescent="0.75">
      <c r="A94" t="s">
        <v>1781</v>
      </c>
      <c r="B94" t="s">
        <v>1782</v>
      </c>
      <c r="C94">
        <v>246750</v>
      </c>
    </row>
    <row r="95" spans="1:3" x14ac:dyDescent="0.75">
      <c r="A95" t="s">
        <v>1771</v>
      </c>
      <c r="B95" t="s">
        <v>1772</v>
      </c>
      <c r="C95">
        <v>245796</v>
      </c>
    </row>
    <row r="96" spans="1:3" x14ac:dyDescent="0.75">
      <c r="A96" t="s">
        <v>1437</v>
      </c>
      <c r="B96" t="s">
        <v>1438</v>
      </c>
      <c r="C96">
        <v>238076</v>
      </c>
    </row>
    <row r="97" spans="1:3" x14ac:dyDescent="0.75">
      <c r="A97" t="s">
        <v>1455</v>
      </c>
      <c r="B97" t="s">
        <v>1456</v>
      </c>
      <c r="C97">
        <v>237358</v>
      </c>
    </row>
    <row r="98" spans="1:3" x14ac:dyDescent="0.75">
      <c r="A98" t="s">
        <v>361</v>
      </c>
      <c r="B98" t="s">
        <v>362</v>
      </c>
      <c r="C98">
        <v>236352</v>
      </c>
    </row>
    <row r="99" spans="1:3" x14ac:dyDescent="0.75">
      <c r="A99" t="s">
        <v>304</v>
      </c>
      <c r="B99" t="s">
        <v>305</v>
      </c>
      <c r="C99">
        <v>234288</v>
      </c>
    </row>
    <row r="100" spans="1:3" x14ac:dyDescent="0.75">
      <c r="A100" t="s">
        <v>985</v>
      </c>
      <c r="B100" t="s">
        <v>986</v>
      </c>
      <c r="C100">
        <v>232872</v>
      </c>
    </row>
    <row r="101" spans="1:3" x14ac:dyDescent="0.75">
      <c r="A101" t="s">
        <v>1520</v>
      </c>
      <c r="B101" t="s">
        <v>967</v>
      </c>
      <c r="C101">
        <v>230968</v>
      </c>
    </row>
    <row r="102" spans="1:3" x14ac:dyDescent="0.75">
      <c r="A102" t="s">
        <v>498</v>
      </c>
      <c r="B102" t="s">
        <v>499</v>
      </c>
      <c r="C102">
        <v>230004</v>
      </c>
    </row>
    <row r="103" spans="1:3" x14ac:dyDescent="0.75">
      <c r="A103" t="s">
        <v>977</v>
      </c>
      <c r="B103" t="s">
        <v>978</v>
      </c>
      <c r="C103">
        <v>221292</v>
      </c>
    </row>
    <row r="104" spans="1:3" x14ac:dyDescent="0.75">
      <c r="A104" t="s">
        <v>1973</v>
      </c>
      <c r="B104" t="s">
        <v>1974</v>
      </c>
      <c r="C104">
        <v>220002</v>
      </c>
    </row>
    <row r="105" spans="1:3" x14ac:dyDescent="0.75">
      <c r="A105" t="s">
        <v>202</v>
      </c>
      <c r="B105" t="s">
        <v>203</v>
      </c>
      <c r="C105">
        <v>219168</v>
      </c>
    </row>
    <row r="106" spans="1:3" x14ac:dyDescent="0.75">
      <c r="A106" t="s">
        <v>1761</v>
      </c>
      <c r="B106" t="s">
        <v>854</v>
      </c>
      <c r="C106">
        <v>217285</v>
      </c>
    </row>
    <row r="107" spans="1:3" x14ac:dyDescent="0.75">
      <c r="A107" t="s">
        <v>306</v>
      </c>
      <c r="B107" t="s">
        <v>307</v>
      </c>
      <c r="C107">
        <v>216264</v>
      </c>
    </row>
    <row r="108" spans="1:3" x14ac:dyDescent="0.75">
      <c r="A108" t="s">
        <v>326</v>
      </c>
      <c r="B108" t="s">
        <v>327</v>
      </c>
      <c r="C108">
        <v>214616</v>
      </c>
    </row>
    <row r="109" spans="1:3" x14ac:dyDescent="0.75">
      <c r="A109" t="s">
        <v>587</v>
      </c>
      <c r="B109" t="s">
        <v>588</v>
      </c>
      <c r="C109">
        <v>210000</v>
      </c>
    </row>
    <row r="110" spans="1:3" x14ac:dyDescent="0.75">
      <c r="A110" t="s">
        <v>213</v>
      </c>
      <c r="B110" t="s">
        <v>214</v>
      </c>
      <c r="C110">
        <v>208877</v>
      </c>
    </row>
    <row r="111" spans="1:3" x14ac:dyDescent="0.75">
      <c r="A111" t="s">
        <v>1762</v>
      </c>
      <c r="B111" t="s">
        <v>856</v>
      </c>
      <c r="C111">
        <v>205990</v>
      </c>
    </row>
    <row r="112" spans="1:3" x14ac:dyDescent="0.75">
      <c r="A112" t="s">
        <v>1929</v>
      </c>
      <c r="B112" t="s">
        <v>310</v>
      </c>
      <c r="C112">
        <v>200178</v>
      </c>
    </row>
    <row r="113" spans="1:3" x14ac:dyDescent="0.75">
      <c r="A113" t="s">
        <v>658</v>
      </c>
      <c r="B113" t="s">
        <v>659</v>
      </c>
      <c r="C113">
        <v>200016</v>
      </c>
    </row>
    <row r="114" spans="1:3" x14ac:dyDescent="0.75">
      <c r="A114" t="s">
        <v>1951</v>
      </c>
      <c r="B114" t="s">
        <v>1952</v>
      </c>
      <c r="C114">
        <v>200004</v>
      </c>
    </row>
    <row r="115" spans="1:3" x14ac:dyDescent="0.75">
      <c r="A115" t="s">
        <v>1767</v>
      </c>
      <c r="B115" t="s">
        <v>1768</v>
      </c>
      <c r="C115">
        <v>196572</v>
      </c>
    </row>
    <row r="116" spans="1:3" x14ac:dyDescent="0.75">
      <c r="A116" t="s">
        <v>2979</v>
      </c>
      <c r="B116" t="s">
        <v>2980</v>
      </c>
      <c r="C116">
        <v>196560</v>
      </c>
    </row>
    <row r="117" spans="1:3" x14ac:dyDescent="0.75">
      <c r="A117" t="s">
        <v>1346</v>
      </c>
      <c r="B117" t="s">
        <v>1347</v>
      </c>
      <c r="C117">
        <v>196536</v>
      </c>
    </row>
    <row r="118" spans="1:3" x14ac:dyDescent="0.75">
      <c r="A118" t="s">
        <v>1114</v>
      </c>
      <c r="B118" t="s">
        <v>1115</v>
      </c>
      <c r="C118">
        <v>195840</v>
      </c>
    </row>
    <row r="119" spans="1:3" x14ac:dyDescent="0.75">
      <c r="A119" t="s">
        <v>198</v>
      </c>
      <c r="B119" t="s">
        <v>199</v>
      </c>
      <c r="C119">
        <v>194670</v>
      </c>
    </row>
    <row r="120" spans="1:3" x14ac:dyDescent="0.75">
      <c r="A120" t="s">
        <v>1527</v>
      </c>
      <c r="B120" t="s">
        <v>1528</v>
      </c>
      <c r="C120">
        <v>193168</v>
      </c>
    </row>
    <row r="121" spans="1:3" x14ac:dyDescent="0.75">
      <c r="A121" t="s">
        <v>1769</v>
      </c>
      <c r="B121" t="s">
        <v>1770</v>
      </c>
      <c r="C121">
        <v>191670</v>
      </c>
    </row>
    <row r="122" spans="1:3" x14ac:dyDescent="0.75">
      <c r="A122" t="s">
        <v>974</v>
      </c>
      <c r="B122" t="s">
        <v>975</v>
      </c>
      <c r="C122">
        <v>189378</v>
      </c>
    </row>
    <row r="123" spans="1:3" x14ac:dyDescent="0.75">
      <c r="A123" t="s">
        <v>2067</v>
      </c>
      <c r="B123" t="s">
        <v>337</v>
      </c>
      <c r="C123">
        <v>188004</v>
      </c>
    </row>
    <row r="124" spans="1:3" x14ac:dyDescent="0.75">
      <c r="A124" t="s">
        <v>2070</v>
      </c>
      <c r="B124" t="s">
        <v>243</v>
      </c>
      <c r="C124">
        <v>188004</v>
      </c>
    </row>
    <row r="125" spans="1:3" x14ac:dyDescent="0.75">
      <c r="A125" t="s">
        <v>1348</v>
      </c>
      <c r="B125" t="s">
        <v>1349</v>
      </c>
      <c r="C125">
        <v>186200</v>
      </c>
    </row>
    <row r="126" spans="1:3" x14ac:dyDescent="0.75">
      <c r="A126" t="s">
        <v>1946</v>
      </c>
      <c r="B126" t="s">
        <v>1947</v>
      </c>
      <c r="C126">
        <v>180000</v>
      </c>
    </row>
    <row r="127" spans="1:3" x14ac:dyDescent="0.75">
      <c r="A127" t="s">
        <v>966</v>
      </c>
      <c r="B127" t="s">
        <v>967</v>
      </c>
      <c r="C127">
        <v>178968</v>
      </c>
    </row>
    <row r="128" spans="1:3" x14ac:dyDescent="0.75">
      <c r="A128" t="s">
        <v>851</v>
      </c>
      <c r="B128" t="s">
        <v>852</v>
      </c>
      <c r="C128">
        <v>175854</v>
      </c>
    </row>
    <row r="129" spans="1:3" x14ac:dyDescent="0.75">
      <c r="A129" t="s">
        <v>2108</v>
      </c>
      <c r="B129" t="s">
        <v>858</v>
      </c>
      <c r="C129">
        <v>174430</v>
      </c>
    </row>
    <row r="130" spans="1:3" x14ac:dyDescent="0.75">
      <c r="A130" t="s">
        <v>2069</v>
      </c>
      <c r="B130" t="s">
        <v>246</v>
      </c>
      <c r="C130">
        <v>173550</v>
      </c>
    </row>
    <row r="131" spans="1:3" x14ac:dyDescent="0.75">
      <c r="A131" t="s">
        <v>2066</v>
      </c>
      <c r="B131" t="s">
        <v>245</v>
      </c>
      <c r="C131">
        <v>173550</v>
      </c>
    </row>
    <row r="132" spans="1:3" x14ac:dyDescent="0.75">
      <c r="A132" t="s">
        <v>1941</v>
      </c>
      <c r="B132" t="s">
        <v>1942</v>
      </c>
      <c r="C132">
        <v>170004</v>
      </c>
    </row>
    <row r="133" spans="1:3" x14ac:dyDescent="0.75">
      <c r="A133" t="s">
        <v>584</v>
      </c>
      <c r="B133" t="s">
        <v>585</v>
      </c>
      <c r="C133">
        <v>170000</v>
      </c>
    </row>
    <row r="134" spans="1:3" x14ac:dyDescent="0.75">
      <c r="A134" t="s">
        <v>1773</v>
      </c>
      <c r="B134" t="s">
        <v>1774</v>
      </c>
      <c r="C134">
        <v>164382</v>
      </c>
    </row>
    <row r="135" spans="1:3" x14ac:dyDescent="0.75">
      <c r="A135" t="s">
        <v>387</v>
      </c>
      <c r="B135" t="s">
        <v>388</v>
      </c>
      <c r="C135">
        <v>163240</v>
      </c>
    </row>
    <row r="136" spans="1:3" x14ac:dyDescent="0.75">
      <c r="A136" t="s">
        <v>264</v>
      </c>
      <c r="B136" t="s">
        <v>265</v>
      </c>
      <c r="C136">
        <v>162498</v>
      </c>
    </row>
    <row r="137" spans="1:3" x14ac:dyDescent="0.75">
      <c r="A137" t="s">
        <v>312</v>
      </c>
      <c r="B137" t="s">
        <v>313</v>
      </c>
      <c r="C137">
        <v>162208</v>
      </c>
    </row>
    <row r="138" spans="1:3" x14ac:dyDescent="0.75">
      <c r="A138" t="s">
        <v>980</v>
      </c>
      <c r="B138" t="s">
        <v>981</v>
      </c>
      <c r="C138">
        <v>162142</v>
      </c>
    </row>
    <row r="139" spans="1:3" x14ac:dyDescent="0.75">
      <c r="A139" t="s">
        <v>419</v>
      </c>
      <c r="B139" t="s">
        <v>241</v>
      </c>
      <c r="C139">
        <v>160530</v>
      </c>
    </row>
    <row r="140" spans="1:3" x14ac:dyDescent="0.75">
      <c r="A140" t="s">
        <v>291</v>
      </c>
      <c r="B140" t="s">
        <v>243</v>
      </c>
      <c r="C140">
        <v>158376</v>
      </c>
    </row>
    <row r="141" spans="1:3" x14ac:dyDescent="0.75">
      <c r="A141" t="s">
        <v>960</v>
      </c>
      <c r="B141" t="s">
        <v>961</v>
      </c>
      <c r="C141">
        <v>150840</v>
      </c>
    </row>
    <row r="142" spans="1:3" x14ac:dyDescent="0.75">
      <c r="A142" t="s">
        <v>1775</v>
      </c>
      <c r="B142" t="s">
        <v>1776</v>
      </c>
      <c r="C142">
        <v>150672</v>
      </c>
    </row>
    <row r="143" spans="1:3" x14ac:dyDescent="0.75">
      <c r="A143" t="s">
        <v>1525</v>
      </c>
      <c r="B143" t="s">
        <v>1526</v>
      </c>
      <c r="C143">
        <v>150560</v>
      </c>
    </row>
    <row r="144" spans="1:3" x14ac:dyDescent="0.75">
      <c r="A144" t="s">
        <v>439</v>
      </c>
      <c r="B144" t="s">
        <v>440</v>
      </c>
      <c r="C144">
        <v>141441</v>
      </c>
    </row>
    <row r="145" spans="1:3" x14ac:dyDescent="0.75">
      <c r="A145" t="s">
        <v>1344</v>
      </c>
      <c r="B145" t="s">
        <v>1345</v>
      </c>
      <c r="C145">
        <v>140952</v>
      </c>
    </row>
    <row r="146" spans="1:3" x14ac:dyDescent="0.75">
      <c r="A146" t="s">
        <v>1777</v>
      </c>
      <c r="B146" t="s">
        <v>1778</v>
      </c>
      <c r="C146">
        <v>138688</v>
      </c>
    </row>
    <row r="147" spans="1:3" x14ac:dyDescent="0.75">
      <c r="A147" t="s">
        <v>1783</v>
      </c>
      <c r="B147" t="s">
        <v>1784</v>
      </c>
      <c r="C147">
        <v>137580</v>
      </c>
    </row>
    <row r="148" spans="1:3" x14ac:dyDescent="0.75">
      <c r="A148" t="s">
        <v>272</v>
      </c>
      <c r="B148" t="s">
        <v>273</v>
      </c>
      <c r="C148">
        <v>137160</v>
      </c>
    </row>
    <row r="149" spans="1:3" x14ac:dyDescent="0.75">
      <c r="A149" t="s">
        <v>400</v>
      </c>
      <c r="B149" t="s">
        <v>365</v>
      </c>
      <c r="C149">
        <v>130854</v>
      </c>
    </row>
    <row r="150" spans="1:3" x14ac:dyDescent="0.75">
      <c r="A150" t="s">
        <v>2679</v>
      </c>
      <c r="B150" t="s">
        <v>602</v>
      </c>
      <c r="C150">
        <v>128640</v>
      </c>
    </row>
    <row r="151" spans="1:3" x14ac:dyDescent="0.75">
      <c r="A151" t="s">
        <v>1764</v>
      </c>
      <c r="B151" t="s">
        <v>1765</v>
      </c>
      <c r="C151">
        <v>127296</v>
      </c>
    </row>
    <row r="152" spans="1:3" x14ac:dyDescent="0.75">
      <c r="A152" t="s">
        <v>401</v>
      </c>
      <c r="B152" t="s">
        <v>402</v>
      </c>
      <c r="C152">
        <v>127218</v>
      </c>
    </row>
    <row r="153" spans="1:3" x14ac:dyDescent="0.75">
      <c r="A153" t="s">
        <v>982</v>
      </c>
      <c r="B153" t="s">
        <v>983</v>
      </c>
      <c r="C153">
        <v>126902</v>
      </c>
    </row>
    <row r="154" spans="1:3" x14ac:dyDescent="0.75">
      <c r="A154" t="s">
        <v>295</v>
      </c>
      <c r="B154" t="s">
        <v>296</v>
      </c>
      <c r="C154">
        <v>126160</v>
      </c>
    </row>
    <row r="155" spans="1:3" x14ac:dyDescent="0.75">
      <c r="A155" t="s">
        <v>309</v>
      </c>
      <c r="B155" t="s">
        <v>310</v>
      </c>
      <c r="C155">
        <v>126160</v>
      </c>
    </row>
    <row r="156" spans="1:3" x14ac:dyDescent="0.75">
      <c r="A156" t="s">
        <v>2790</v>
      </c>
      <c r="B156" t="s">
        <v>2791</v>
      </c>
      <c r="C156">
        <v>117900</v>
      </c>
    </row>
    <row r="157" spans="1:3" x14ac:dyDescent="0.75">
      <c r="A157" t="s">
        <v>684</v>
      </c>
      <c r="B157" t="s">
        <v>685</v>
      </c>
      <c r="C157">
        <v>112912</v>
      </c>
    </row>
    <row r="158" spans="1:3" x14ac:dyDescent="0.75">
      <c r="A158" t="s">
        <v>1338</v>
      </c>
      <c r="B158" t="s">
        <v>1339</v>
      </c>
      <c r="C158">
        <v>109760</v>
      </c>
    </row>
    <row r="159" spans="1:3" x14ac:dyDescent="0.75">
      <c r="A159" t="s">
        <v>677</v>
      </c>
      <c r="B159" t="s">
        <v>678</v>
      </c>
      <c r="C159">
        <v>108100</v>
      </c>
    </row>
    <row r="160" spans="1:3" x14ac:dyDescent="0.75">
      <c r="A160" t="s">
        <v>1336</v>
      </c>
      <c r="B160" t="s">
        <v>1337</v>
      </c>
      <c r="C160">
        <v>107328</v>
      </c>
    </row>
    <row r="161" spans="1:3" x14ac:dyDescent="0.75">
      <c r="A161" t="s">
        <v>175</v>
      </c>
      <c r="B161" t="s">
        <v>176</v>
      </c>
      <c r="C161">
        <v>106395</v>
      </c>
    </row>
    <row r="162" spans="1:3" x14ac:dyDescent="0.75">
      <c r="A162" t="s">
        <v>2792</v>
      </c>
      <c r="B162" t="s">
        <v>770</v>
      </c>
      <c r="C162">
        <v>104460</v>
      </c>
    </row>
    <row r="163" spans="1:3" x14ac:dyDescent="0.75">
      <c r="A163" t="s">
        <v>2796</v>
      </c>
      <c r="B163" t="s">
        <v>1513</v>
      </c>
      <c r="C163">
        <v>104400</v>
      </c>
    </row>
    <row r="164" spans="1:3" x14ac:dyDescent="0.75">
      <c r="A164" t="s">
        <v>970</v>
      </c>
      <c r="B164" t="s">
        <v>971</v>
      </c>
      <c r="C164">
        <v>104088</v>
      </c>
    </row>
    <row r="165" spans="1:3" x14ac:dyDescent="0.75">
      <c r="A165" t="s">
        <v>334</v>
      </c>
      <c r="B165" t="s">
        <v>335</v>
      </c>
      <c r="C165">
        <v>103284</v>
      </c>
    </row>
    <row r="166" spans="1:3" x14ac:dyDescent="0.75">
      <c r="A166" t="s">
        <v>1518</v>
      </c>
      <c r="B166" t="s">
        <v>1519</v>
      </c>
      <c r="C166">
        <v>103050</v>
      </c>
    </row>
    <row r="167" spans="1:3" x14ac:dyDescent="0.75">
      <c r="A167" t="s">
        <v>2073</v>
      </c>
      <c r="B167" t="s">
        <v>2074</v>
      </c>
      <c r="C167">
        <v>101238</v>
      </c>
    </row>
    <row r="168" spans="1:3" x14ac:dyDescent="0.75">
      <c r="A168" t="s">
        <v>2797</v>
      </c>
      <c r="B168" t="s">
        <v>1515</v>
      </c>
      <c r="C168">
        <v>101000</v>
      </c>
    </row>
    <row r="169" spans="1:3" x14ac:dyDescent="0.75">
      <c r="A169" t="s">
        <v>956</v>
      </c>
      <c r="B169" t="s">
        <v>957</v>
      </c>
      <c r="C169">
        <v>100920</v>
      </c>
    </row>
    <row r="170" spans="1:3" x14ac:dyDescent="0.75">
      <c r="A170" t="s">
        <v>1332</v>
      </c>
      <c r="B170" t="s">
        <v>1333</v>
      </c>
      <c r="C170">
        <v>99000</v>
      </c>
    </row>
    <row r="171" spans="1:3" x14ac:dyDescent="0.75">
      <c r="A171" t="s">
        <v>1334</v>
      </c>
      <c r="B171" t="s">
        <v>1335</v>
      </c>
      <c r="C171">
        <v>98256</v>
      </c>
    </row>
    <row r="172" spans="1:3" x14ac:dyDescent="0.75">
      <c r="A172" t="s">
        <v>171</v>
      </c>
      <c r="B172" t="s">
        <v>172</v>
      </c>
      <c r="C172">
        <v>97137</v>
      </c>
    </row>
    <row r="173" spans="1:3" x14ac:dyDescent="0.75">
      <c r="A173" t="s">
        <v>293</v>
      </c>
      <c r="B173" t="s">
        <v>244</v>
      </c>
      <c r="C173">
        <v>95640</v>
      </c>
    </row>
    <row r="174" spans="1:3" x14ac:dyDescent="0.75">
      <c r="A174" t="s">
        <v>2095</v>
      </c>
      <c r="B174" t="s">
        <v>2096</v>
      </c>
      <c r="C174">
        <v>94548</v>
      </c>
    </row>
    <row r="175" spans="1:3" x14ac:dyDescent="0.75">
      <c r="A175" t="s">
        <v>465</v>
      </c>
      <c r="B175" t="s">
        <v>466</v>
      </c>
      <c r="C175">
        <v>93348</v>
      </c>
    </row>
    <row r="176" spans="1:3" x14ac:dyDescent="0.75">
      <c r="A176" t="s">
        <v>1006</v>
      </c>
      <c r="B176" t="s">
        <v>1007</v>
      </c>
      <c r="C176">
        <v>92588</v>
      </c>
    </row>
    <row r="177" spans="1:3" x14ac:dyDescent="0.75">
      <c r="A177" t="s">
        <v>1351</v>
      </c>
      <c r="B177" t="s">
        <v>1352</v>
      </c>
      <c r="C177">
        <v>92040</v>
      </c>
    </row>
    <row r="178" spans="1:3" x14ac:dyDescent="0.75">
      <c r="A178" t="s">
        <v>26</v>
      </c>
      <c r="B178" t="s">
        <v>27</v>
      </c>
      <c r="C178">
        <v>88448</v>
      </c>
    </row>
    <row r="179" spans="1:3" x14ac:dyDescent="0.75">
      <c r="A179" t="s">
        <v>169</v>
      </c>
      <c r="B179" t="s">
        <v>170</v>
      </c>
      <c r="C179">
        <v>87629</v>
      </c>
    </row>
    <row r="180" spans="1:3" x14ac:dyDescent="0.75">
      <c r="A180" t="s">
        <v>2068</v>
      </c>
      <c r="B180" t="s">
        <v>241</v>
      </c>
      <c r="C180">
        <v>86784</v>
      </c>
    </row>
    <row r="181" spans="1:3" x14ac:dyDescent="0.75">
      <c r="A181" t="s">
        <v>442</v>
      </c>
      <c r="B181" t="s">
        <v>443</v>
      </c>
      <c r="C181">
        <v>85966</v>
      </c>
    </row>
    <row r="182" spans="1:3" x14ac:dyDescent="0.75">
      <c r="A182" t="s">
        <v>39</v>
      </c>
      <c r="B182" t="s">
        <v>40</v>
      </c>
      <c r="C182">
        <v>85842</v>
      </c>
    </row>
    <row r="183" spans="1:3" x14ac:dyDescent="0.75">
      <c r="A183" t="s">
        <v>618</v>
      </c>
      <c r="B183" t="s">
        <v>619</v>
      </c>
      <c r="C183">
        <v>85000</v>
      </c>
    </row>
    <row r="184" spans="1:3" x14ac:dyDescent="0.75">
      <c r="A184" t="s">
        <v>239</v>
      </c>
      <c r="B184" t="s">
        <v>240</v>
      </c>
      <c r="C184">
        <v>84498</v>
      </c>
    </row>
    <row r="185" spans="1:3" x14ac:dyDescent="0.75">
      <c r="A185" t="s">
        <v>609</v>
      </c>
      <c r="B185" t="s">
        <v>610</v>
      </c>
      <c r="C185">
        <v>84440</v>
      </c>
    </row>
    <row r="186" spans="1:3" x14ac:dyDescent="0.75">
      <c r="A186" t="s">
        <v>2663</v>
      </c>
      <c r="B186" t="s">
        <v>2664</v>
      </c>
      <c r="C186">
        <v>81360</v>
      </c>
    </row>
    <row r="187" spans="1:3" x14ac:dyDescent="0.75">
      <c r="A187" t="s">
        <v>1340</v>
      </c>
      <c r="B187" t="s">
        <v>1341</v>
      </c>
      <c r="C187">
        <v>80476</v>
      </c>
    </row>
    <row r="188" spans="1:3" x14ac:dyDescent="0.75">
      <c r="A188" t="s">
        <v>717</v>
      </c>
      <c r="B188" t="s">
        <v>718</v>
      </c>
      <c r="C188">
        <v>80050</v>
      </c>
    </row>
    <row r="189" spans="1:3" x14ac:dyDescent="0.75">
      <c r="A189" t="s">
        <v>1342</v>
      </c>
      <c r="B189" t="s">
        <v>1343</v>
      </c>
      <c r="C189">
        <v>80000</v>
      </c>
    </row>
    <row r="190" spans="1:3" x14ac:dyDescent="0.75">
      <c r="A190" t="s">
        <v>1052</v>
      </c>
      <c r="B190" t="s">
        <v>1053</v>
      </c>
      <c r="C190">
        <v>79920</v>
      </c>
    </row>
    <row r="191" spans="1:3" x14ac:dyDescent="0.75">
      <c r="A191" t="s">
        <v>849</v>
      </c>
      <c r="B191" t="s">
        <v>850</v>
      </c>
      <c r="C191">
        <v>79636</v>
      </c>
    </row>
    <row r="192" spans="1:3" x14ac:dyDescent="0.75">
      <c r="A192" t="s">
        <v>1484</v>
      </c>
      <c r="B192" t="s">
        <v>1485</v>
      </c>
      <c r="C192">
        <v>78864</v>
      </c>
    </row>
    <row r="193" spans="1:3" x14ac:dyDescent="0.75">
      <c r="A193" t="s">
        <v>2746</v>
      </c>
      <c r="B193" t="s">
        <v>2747</v>
      </c>
      <c r="C193">
        <v>77002</v>
      </c>
    </row>
    <row r="194" spans="1:3" x14ac:dyDescent="0.75">
      <c r="A194" t="s">
        <v>463</v>
      </c>
      <c r="B194" t="s">
        <v>464</v>
      </c>
      <c r="C194">
        <v>75556</v>
      </c>
    </row>
    <row r="195" spans="1:3" x14ac:dyDescent="0.75">
      <c r="A195" t="s">
        <v>1532</v>
      </c>
      <c r="B195" t="s">
        <v>1533</v>
      </c>
      <c r="C195">
        <v>75244</v>
      </c>
    </row>
    <row r="196" spans="1:3" x14ac:dyDescent="0.75">
      <c r="A196" t="s">
        <v>1054</v>
      </c>
      <c r="B196" t="s">
        <v>1055</v>
      </c>
      <c r="C196">
        <v>75240</v>
      </c>
    </row>
    <row r="197" spans="1:3" x14ac:dyDescent="0.75">
      <c r="A197" t="s">
        <v>2793</v>
      </c>
      <c r="B197" t="s">
        <v>2794</v>
      </c>
      <c r="C197">
        <v>74160</v>
      </c>
    </row>
    <row r="198" spans="1:3" x14ac:dyDescent="0.75">
      <c r="A198" t="s">
        <v>28</v>
      </c>
      <c r="B198" t="s">
        <v>29</v>
      </c>
      <c r="C198">
        <v>73856</v>
      </c>
    </row>
    <row r="199" spans="1:3" x14ac:dyDescent="0.75">
      <c r="A199" t="s">
        <v>394</v>
      </c>
      <c r="B199" t="s">
        <v>395</v>
      </c>
      <c r="C199">
        <v>72792</v>
      </c>
    </row>
    <row r="200" spans="1:3" x14ac:dyDescent="0.75">
      <c r="A200" t="s">
        <v>2072</v>
      </c>
      <c r="B200" t="s">
        <v>199</v>
      </c>
      <c r="C200">
        <v>72330</v>
      </c>
    </row>
    <row r="201" spans="1:3" x14ac:dyDescent="0.75">
      <c r="A201" t="s">
        <v>254</v>
      </c>
      <c r="B201" t="s">
        <v>255</v>
      </c>
      <c r="C201">
        <v>71280</v>
      </c>
    </row>
    <row r="202" spans="1:3" x14ac:dyDescent="0.75">
      <c r="A202" t="s">
        <v>2869</v>
      </c>
      <c r="B202" t="s">
        <v>2870</v>
      </c>
      <c r="C202">
        <v>69978</v>
      </c>
    </row>
    <row r="203" spans="1:3" x14ac:dyDescent="0.75">
      <c r="A203" t="s">
        <v>165</v>
      </c>
      <c r="B203" t="s">
        <v>166</v>
      </c>
      <c r="C203">
        <v>69528</v>
      </c>
    </row>
    <row r="204" spans="1:3" x14ac:dyDescent="0.75">
      <c r="A204" t="s">
        <v>767</v>
      </c>
      <c r="B204" t="s">
        <v>768</v>
      </c>
      <c r="C204">
        <v>67225</v>
      </c>
    </row>
    <row r="205" spans="1:3" x14ac:dyDescent="0.75">
      <c r="A205" t="s">
        <v>2034</v>
      </c>
      <c r="B205" t="s">
        <v>2035</v>
      </c>
      <c r="C205">
        <v>65004</v>
      </c>
    </row>
    <row r="206" spans="1:3" x14ac:dyDescent="0.75">
      <c r="A206" t="s">
        <v>642</v>
      </c>
      <c r="B206" t="s">
        <v>643</v>
      </c>
      <c r="C206">
        <v>62276</v>
      </c>
    </row>
    <row r="207" spans="1:3" x14ac:dyDescent="0.75">
      <c r="A207" t="s">
        <v>2665</v>
      </c>
      <c r="B207" t="s">
        <v>2666</v>
      </c>
      <c r="C207">
        <v>61020</v>
      </c>
    </row>
    <row r="208" spans="1:3" x14ac:dyDescent="0.75">
      <c r="A208" t="s">
        <v>779</v>
      </c>
      <c r="B208" t="s">
        <v>245</v>
      </c>
      <c r="C208">
        <v>60546</v>
      </c>
    </row>
    <row r="209" spans="1:3" x14ac:dyDescent="0.75">
      <c r="A209" t="s">
        <v>35</v>
      </c>
      <c r="B209" t="s">
        <v>36</v>
      </c>
      <c r="C209">
        <v>60102</v>
      </c>
    </row>
    <row r="210" spans="1:3" x14ac:dyDescent="0.75">
      <c r="A210" t="s">
        <v>2922</v>
      </c>
      <c r="B210" t="s">
        <v>2923</v>
      </c>
      <c r="C210">
        <v>60018</v>
      </c>
    </row>
    <row r="211" spans="1:3" x14ac:dyDescent="0.75">
      <c r="A211" t="s">
        <v>1354</v>
      </c>
      <c r="B211" t="s">
        <v>1355</v>
      </c>
      <c r="C211">
        <v>59968</v>
      </c>
    </row>
    <row r="212" spans="1:3" x14ac:dyDescent="0.75">
      <c r="A212" t="s">
        <v>21</v>
      </c>
      <c r="B212" t="s">
        <v>22</v>
      </c>
      <c r="C212">
        <v>59776</v>
      </c>
    </row>
    <row r="213" spans="1:3" x14ac:dyDescent="0.75">
      <c r="A213" t="s">
        <v>943</v>
      </c>
      <c r="B213" t="s">
        <v>944</v>
      </c>
      <c r="C213">
        <v>59580</v>
      </c>
    </row>
    <row r="214" spans="1:3" x14ac:dyDescent="0.75">
      <c r="A214" t="s">
        <v>467</v>
      </c>
      <c r="B214" t="s">
        <v>468</v>
      </c>
      <c r="C214">
        <v>59400</v>
      </c>
    </row>
    <row r="215" spans="1:3" x14ac:dyDescent="0.75">
      <c r="A215" t="s">
        <v>173</v>
      </c>
      <c r="B215" t="s">
        <v>174</v>
      </c>
      <c r="C215">
        <v>59137</v>
      </c>
    </row>
    <row r="216" spans="1:3" x14ac:dyDescent="0.75">
      <c r="A216" t="s">
        <v>1020</v>
      </c>
      <c r="B216" t="s">
        <v>1021</v>
      </c>
      <c r="C216">
        <v>58968</v>
      </c>
    </row>
    <row r="217" spans="1:3" x14ac:dyDescent="0.75">
      <c r="A217" t="s">
        <v>1534</v>
      </c>
      <c r="B217" t="s">
        <v>1535</v>
      </c>
      <c r="C217">
        <v>58868</v>
      </c>
    </row>
    <row r="218" spans="1:3" x14ac:dyDescent="0.75">
      <c r="A218" t="s">
        <v>1536</v>
      </c>
      <c r="B218" t="s">
        <v>1537</v>
      </c>
      <c r="C218">
        <v>58868</v>
      </c>
    </row>
    <row r="219" spans="1:3" x14ac:dyDescent="0.75">
      <c r="A219" t="s">
        <v>2110</v>
      </c>
      <c r="B219" t="s">
        <v>2111</v>
      </c>
      <c r="C219">
        <v>57856</v>
      </c>
    </row>
    <row r="220" spans="1:3" x14ac:dyDescent="0.75">
      <c r="A220" t="s">
        <v>1176</v>
      </c>
      <c r="B220" t="s">
        <v>1177</v>
      </c>
      <c r="C220">
        <v>57666</v>
      </c>
    </row>
    <row r="221" spans="1:3" x14ac:dyDescent="0.75">
      <c r="A221" t="s">
        <v>1759</v>
      </c>
      <c r="B221" t="s">
        <v>1760</v>
      </c>
      <c r="C221">
        <v>57532</v>
      </c>
    </row>
    <row r="222" spans="1:3" x14ac:dyDescent="0.75">
      <c r="A222" t="s">
        <v>646</v>
      </c>
      <c r="B222" t="s">
        <v>647</v>
      </c>
      <c r="C222">
        <v>56936</v>
      </c>
    </row>
    <row r="223" spans="1:3" x14ac:dyDescent="0.75">
      <c r="A223" t="s">
        <v>341</v>
      </c>
      <c r="B223" t="s">
        <v>342</v>
      </c>
      <c r="C223">
        <v>56322</v>
      </c>
    </row>
    <row r="224" spans="1:3" x14ac:dyDescent="0.75">
      <c r="A224" t="s">
        <v>1376</v>
      </c>
      <c r="B224" t="s">
        <v>1377</v>
      </c>
      <c r="C224">
        <v>56284</v>
      </c>
    </row>
    <row r="225" spans="1:3" x14ac:dyDescent="0.75">
      <c r="A225" t="s">
        <v>1008</v>
      </c>
      <c r="B225" t="s">
        <v>1009</v>
      </c>
      <c r="C225">
        <v>55938</v>
      </c>
    </row>
    <row r="226" spans="1:3" x14ac:dyDescent="0.75">
      <c r="A226" t="s">
        <v>2677</v>
      </c>
      <c r="B226" t="s">
        <v>536</v>
      </c>
      <c r="C226">
        <v>55896</v>
      </c>
    </row>
    <row r="227" spans="1:3" x14ac:dyDescent="0.75">
      <c r="A227" t="s">
        <v>1064</v>
      </c>
      <c r="B227" t="s">
        <v>1065</v>
      </c>
      <c r="C227">
        <v>55842</v>
      </c>
    </row>
    <row r="228" spans="1:3" x14ac:dyDescent="0.75">
      <c r="A228" t="s">
        <v>280</v>
      </c>
      <c r="B228" t="s">
        <v>281</v>
      </c>
      <c r="C228">
        <v>55614</v>
      </c>
    </row>
    <row r="229" spans="1:3" x14ac:dyDescent="0.75">
      <c r="A229" t="s">
        <v>1040</v>
      </c>
      <c r="B229" t="s">
        <v>1041</v>
      </c>
      <c r="C229">
        <v>55544</v>
      </c>
    </row>
    <row r="230" spans="1:3" x14ac:dyDescent="0.75">
      <c r="A230" t="s">
        <v>2916</v>
      </c>
      <c r="B230" t="s">
        <v>2917</v>
      </c>
      <c r="C230">
        <v>54450</v>
      </c>
    </row>
    <row r="231" spans="1:3" x14ac:dyDescent="0.75">
      <c r="A231" t="s">
        <v>2924</v>
      </c>
      <c r="B231" t="s">
        <v>2925</v>
      </c>
      <c r="C231">
        <v>54138</v>
      </c>
    </row>
    <row r="232" spans="1:3" x14ac:dyDescent="0.75">
      <c r="A232" t="s">
        <v>1420</v>
      </c>
      <c r="B232" t="s">
        <v>1421</v>
      </c>
      <c r="C232">
        <v>53088</v>
      </c>
    </row>
    <row r="233" spans="1:3" x14ac:dyDescent="0.75">
      <c r="A233" t="s">
        <v>1530</v>
      </c>
      <c r="B233" t="s">
        <v>1531</v>
      </c>
      <c r="C233">
        <v>52312</v>
      </c>
    </row>
    <row r="234" spans="1:3" x14ac:dyDescent="0.75">
      <c r="A234" t="s">
        <v>177</v>
      </c>
      <c r="B234" t="s">
        <v>178</v>
      </c>
      <c r="C234">
        <v>51785</v>
      </c>
    </row>
    <row r="235" spans="1:3" x14ac:dyDescent="0.75">
      <c r="A235" t="s">
        <v>435</v>
      </c>
      <c r="B235" t="s">
        <v>436</v>
      </c>
      <c r="C235">
        <v>51770</v>
      </c>
    </row>
    <row r="236" spans="1:3" x14ac:dyDescent="0.75">
      <c r="A236" t="s">
        <v>2676</v>
      </c>
      <c r="B236" t="s">
        <v>533</v>
      </c>
      <c r="C236">
        <v>50592</v>
      </c>
    </row>
    <row r="237" spans="1:3" x14ac:dyDescent="0.75">
      <c r="A237" t="s">
        <v>24</v>
      </c>
      <c r="B237" t="s">
        <v>25</v>
      </c>
      <c r="C237">
        <v>50176</v>
      </c>
    </row>
    <row r="238" spans="1:3" x14ac:dyDescent="0.75">
      <c r="A238" t="s">
        <v>1143</v>
      </c>
      <c r="B238" t="s">
        <v>199</v>
      </c>
      <c r="C238">
        <v>49446</v>
      </c>
    </row>
    <row r="239" spans="1:3" x14ac:dyDescent="0.75">
      <c r="A239" t="s">
        <v>348</v>
      </c>
      <c r="B239" t="s">
        <v>349</v>
      </c>
      <c r="C239">
        <v>48828</v>
      </c>
    </row>
    <row r="240" spans="1:3" x14ac:dyDescent="0.75">
      <c r="A240" t="s">
        <v>2914</v>
      </c>
      <c r="B240" t="s">
        <v>2915</v>
      </c>
      <c r="C240">
        <v>48402</v>
      </c>
    </row>
    <row r="241" spans="1:3" x14ac:dyDescent="0.75">
      <c r="A241" t="s">
        <v>1418</v>
      </c>
      <c r="B241" t="s">
        <v>1419</v>
      </c>
      <c r="C241">
        <v>48150</v>
      </c>
    </row>
    <row r="242" spans="1:3" x14ac:dyDescent="0.75">
      <c r="A242" t="s">
        <v>1842</v>
      </c>
      <c r="B242" t="s">
        <v>1843</v>
      </c>
      <c r="C242">
        <v>48030</v>
      </c>
    </row>
    <row r="243" spans="1:3" x14ac:dyDescent="0.75">
      <c r="A243" t="s">
        <v>2795</v>
      </c>
      <c r="B243" t="s">
        <v>680</v>
      </c>
      <c r="C243">
        <v>47160</v>
      </c>
    </row>
    <row r="244" spans="1:3" x14ac:dyDescent="0.75">
      <c r="A244" t="s">
        <v>615</v>
      </c>
      <c r="B244" t="s">
        <v>616</v>
      </c>
      <c r="C244">
        <v>46816</v>
      </c>
    </row>
    <row r="245" spans="1:3" x14ac:dyDescent="0.75">
      <c r="A245" t="s">
        <v>2145</v>
      </c>
      <c r="B245" t="s">
        <v>2146</v>
      </c>
      <c r="C245">
        <v>46758</v>
      </c>
    </row>
    <row r="246" spans="1:3" x14ac:dyDescent="0.75">
      <c r="A246" t="s">
        <v>1026</v>
      </c>
      <c r="B246" t="s">
        <v>1027</v>
      </c>
      <c r="C246">
        <v>44320</v>
      </c>
    </row>
    <row r="247" spans="1:3" x14ac:dyDescent="0.75">
      <c r="A247" t="s">
        <v>2062</v>
      </c>
      <c r="B247" t="s">
        <v>2063</v>
      </c>
      <c r="C247">
        <v>43398</v>
      </c>
    </row>
    <row r="248" spans="1:3" x14ac:dyDescent="0.75">
      <c r="A248" t="s">
        <v>482</v>
      </c>
      <c r="B248" t="s">
        <v>483</v>
      </c>
      <c r="C248">
        <v>43200</v>
      </c>
    </row>
    <row r="249" spans="1:3" x14ac:dyDescent="0.75">
      <c r="A249" t="s">
        <v>2918</v>
      </c>
      <c r="B249" t="s">
        <v>2919</v>
      </c>
      <c r="C249">
        <v>42426</v>
      </c>
    </row>
    <row r="250" spans="1:3" x14ac:dyDescent="0.75">
      <c r="A250" t="s">
        <v>613</v>
      </c>
      <c r="B250" t="s">
        <v>614</v>
      </c>
      <c r="C250">
        <v>42224</v>
      </c>
    </row>
    <row r="251" spans="1:3" x14ac:dyDescent="0.75">
      <c r="A251" t="s">
        <v>2920</v>
      </c>
      <c r="B251" t="s">
        <v>2921</v>
      </c>
      <c r="C251">
        <v>42018</v>
      </c>
    </row>
    <row r="252" spans="1:3" x14ac:dyDescent="0.75">
      <c r="A252" t="s">
        <v>1036</v>
      </c>
      <c r="B252" t="s">
        <v>244</v>
      </c>
      <c r="C252">
        <v>41658</v>
      </c>
    </row>
    <row r="253" spans="1:3" x14ac:dyDescent="0.75">
      <c r="A253" t="s">
        <v>41</v>
      </c>
      <c r="B253" t="s">
        <v>42</v>
      </c>
      <c r="C253">
        <v>41048</v>
      </c>
    </row>
    <row r="254" spans="1:3" x14ac:dyDescent="0.75">
      <c r="A254" t="s">
        <v>1107</v>
      </c>
      <c r="B254" t="s">
        <v>1108</v>
      </c>
      <c r="C254">
        <v>41016</v>
      </c>
    </row>
    <row r="255" spans="1:3" x14ac:dyDescent="0.75">
      <c r="A255" t="s">
        <v>679</v>
      </c>
      <c r="B255" t="s">
        <v>680</v>
      </c>
      <c r="C255">
        <v>40520</v>
      </c>
    </row>
    <row r="256" spans="1:3" x14ac:dyDescent="0.75">
      <c r="A256" t="s">
        <v>990</v>
      </c>
      <c r="B256" t="s">
        <v>991</v>
      </c>
      <c r="C256">
        <v>40410</v>
      </c>
    </row>
    <row r="257" spans="1:3" x14ac:dyDescent="0.75">
      <c r="A257" t="s">
        <v>257</v>
      </c>
      <c r="B257" t="s">
        <v>258</v>
      </c>
      <c r="C257">
        <v>39984</v>
      </c>
    </row>
    <row r="258" spans="1:3" x14ac:dyDescent="0.75">
      <c r="A258" t="s">
        <v>650</v>
      </c>
      <c r="B258" t="s">
        <v>218</v>
      </c>
      <c r="C258">
        <v>39888</v>
      </c>
    </row>
    <row r="259" spans="1:3" x14ac:dyDescent="0.75">
      <c r="A259" t="s">
        <v>18</v>
      </c>
      <c r="B259" t="s">
        <v>19</v>
      </c>
      <c r="C259">
        <v>39212</v>
      </c>
    </row>
    <row r="260" spans="1:3" x14ac:dyDescent="0.75">
      <c r="A260" t="s">
        <v>1538</v>
      </c>
      <c r="B260" t="s">
        <v>1539</v>
      </c>
      <c r="C260">
        <v>39212</v>
      </c>
    </row>
    <row r="261" spans="1:3" x14ac:dyDescent="0.75">
      <c r="A261" t="s">
        <v>1488</v>
      </c>
      <c r="B261" t="s">
        <v>1489</v>
      </c>
      <c r="C261">
        <v>39150</v>
      </c>
    </row>
    <row r="262" spans="1:3" x14ac:dyDescent="0.75">
      <c r="A262" t="s">
        <v>1491</v>
      </c>
      <c r="B262" t="s">
        <v>1492</v>
      </c>
      <c r="C262">
        <v>38828</v>
      </c>
    </row>
    <row r="263" spans="1:3" x14ac:dyDescent="0.75">
      <c r="A263" t="s">
        <v>513</v>
      </c>
      <c r="B263" t="s">
        <v>514</v>
      </c>
      <c r="C263">
        <v>38502</v>
      </c>
    </row>
    <row r="264" spans="1:3" x14ac:dyDescent="0.75">
      <c r="A264" t="s">
        <v>180</v>
      </c>
      <c r="B264" t="s">
        <v>181</v>
      </c>
      <c r="C264">
        <v>37112</v>
      </c>
    </row>
    <row r="265" spans="1:3" x14ac:dyDescent="0.75">
      <c r="A265" t="s">
        <v>769</v>
      </c>
      <c r="B265" t="s">
        <v>770</v>
      </c>
      <c r="C265">
        <v>37040</v>
      </c>
    </row>
    <row r="266" spans="1:3" x14ac:dyDescent="0.75">
      <c r="A266" t="s">
        <v>2680</v>
      </c>
      <c r="B266" t="s">
        <v>607</v>
      </c>
      <c r="C266">
        <v>35904</v>
      </c>
    </row>
    <row r="267" spans="1:3" x14ac:dyDescent="0.75">
      <c r="A267" t="s">
        <v>611</v>
      </c>
      <c r="B267" t="s">
        <v>612</v>
      </c>
      <c r="C267">
        <v>35536</v>
      </c>
    </row>
    <row r="268" spans="1:3" x14ac:dyDescent="0.75">
      <c r="A268" t="s">
        <v>648</v>
      </c>
      <c r="B268" t="s">
        <v>216</v>
      </c>
      <c r="C268">
        <v>34736</v>
      </c>
    </row>
    <row r="269" spans="1:3" x14ac:dyDescent="0.75">
      <c r="A269" t="s">
        <v>1062</v>
      </c>
      <c r="B269" t="s">
        <v>1063</v>
      </c>
      <c r="C269">
        <v>34560</v>
      </c>
    </row>
    <row r="270" spans="1:3" x14ac:dyDescent="0.75">
      <c r="A270" t="s">
        <v>321</v>
      </c>
      <c r="B270" t="s">
        <v>322</v>
      </c>
      <c r="C270">
        <v>34147</v>
      </c>
    </row>
    <row r="271" spans="1:3" x14ac:dyDescent="0.75">
      <c r="A271" t="s">
        <v>1138</v>
      </c>
      <c r="B271" t="s">
        <v>218</v>
      </c>
      <c r="C271">
        <v>34092</v>
      </c>
    </row>
    <row r="272" spans="1:3" x14ac:dyDescent="0.75">
      <c r="A272" t="s">
        <v>2147</v>
      </c>
      <c r="B272" t="s">
        <v>1132</v>
      </c>
      <c r="C272">
        <v>32790</v>
      </c>
    </row>
    <row r="273" spans="1:3" x14ac:dyDescent="0.75">
      <c r="A273" t="s">
        <v>1058</v>
      </c>
      <c r="B273" t="s">
        <v>1059</v>
      </c>
      <c r="C273">
        <v>32400</v>
      </c>
    </row>
    <row r="274" spans="1:3" x14ac:dyDescent="0.75">
      <c r="A274" t="s">
        <v>2047</v>
      </c>
      <c r="B274" t="s">
        <v>2048</v>
      </c>
      <c r="C274">
        <v>30684</v>
      </c>
    </row>
    <row r="275" spans="1:3" x14ac:dyDescent="0.75">
      <c r="A275" t="s">
        <v>2055</v>
      </c>
      <c r="B275" t="s">
        <v>2056</v>
      </c>
      <c r="C275">
        <v>30684</v>
      </c>
    </row>
    <row r="276" spans="1:3" x14ac:dyDescent="0.75">
      <c r="A276" t="s">
        <v>605</v>
      </c>
      <c r="B276" t="s">
        <v>33</v>
      </c>
      <c r="C276">
        <v>30336</v>
      </c>
    </row>
    <row r="277" spans="1:3" x14ac:dyDescent="0.75">
      <c r="A277" t="s">
        <v>603</v>
      </c>
      <c r="B277" t="s">
        <v>29</v>
      </c>
      <c r="C277">
        <v>30336</v>
      </c>
    </row>
    <row r="278" spans="1:3" x14ac:dyDescent="0.75">
      <c r="A278" t="s">
        <v>601</v>
      </c>
      <c r="B278" t="s">
        <v>602</v>
      </c>
      <c r="C278">
        <v>30272</v>
      </c>
    </row>
    <row r="279" spans="1:3" x14ac:dyDescent="0.75">
      <c r="A279" t="s">
        <v>604</v>
      </c>
      <c r="B279" t="s">
        <v>31</v>
      </c>
      <c r="C279">
        <v>30080</v>
      </c>
    </row>
    <row r="280" spans="1:3" x14ac:dyDescent="0.75">
      <c r="A280" t="s">
        <v>773</v>
      </c>
      <c r="B280" t="s">
        <v>774</v>
      </c>
      <c r="C280">
        <v>30000</v>
      </c>
    </row>
    <row r="281" spans="1:3" x14ac:dyDescent="0.75">
      <c r="A281" t="s">
        <v>1874</v>
      </c>
      <c r="B281" t="s">
        <v>1875</v>
      </c>
      <c r="C281">
        <v>30000</v>
      </c>
    </row>
    <row r="282" spans="1:3" x14ac:dyDescent="0.75">
      <c r="A282" t="s">
        <v>2053</v>
      </c>
      <c r="B282" t="s">
        <v>2054</v>
      </c>
      <c r="C282">
        <v>29940</v>
      </c>
    </row>
    <row r="283" spans="1:3" x14ac:dyDescent="0.75">
      <c r="A283" t="s">
        <v>2107</v>
      </c>
      <c r="B283" t="s">
        <v>861</v>
      </c>
      <c r="C283">
        <v>29568</v>
      </c>
    </row>
    <row r="284" spans="1:3" x14ac:dyDescent="0.75">
      <c r="A284" t="s">
        <v>692</v>
      </c>
      <c r="B284" t="s">
        <v>693</v>
      </c>
      <c r="C284">
        <v>29514</v>
      </c>
    </row>
    <row r="285" spans="1:3" x14ac:dyDescent="0.75">
      <c r="A285" t="s">
        <v>227</v>
      </c>
      <c r="B285" t="s">
        <v>228</v>
      </c>
      <c r="C285">
        <v>29490</v>
      </c>
    </row>
    <row r="286" spans="1:3" x14ac:dyDescent="0.75">
      <c r="A286" t="s">
        <v>2045</v>
      </c>
      <c r="B286" t="s">
        <v>2046</v>
      </c>
      <c r="C286">
        <v>29268</v>
      </c>
    </row>
    <row r="287" spans="1:3" x14ac:dyDescent="0.75">
      <c r="A287" t="s">
        <v>1508</v>
      </c>
      <c r="B287" t="s">
        <v>1509</v>
      </c>
      <c r="C287">
        <v>28908</v>
      </c>
    </row>
    <row r="288" spans="1:3" x14ac:dyDescent="0.75">
      <c r="A288" t="s">
        <v>860</v>
      </c>
      <c r="B288" t="s">
        <v>861</v>
      </c>
      <c r="C288">
        <v>28884</v>
      </c>
    </row>
    <row r="289" spans="1:3" x14ac:dyDescent="0.75">
      <c r="A289" t="s">
        <v>30</v>
      </c>
      <c r="B289" t="s">
        <v>31</v>
      </c>
      <c r="C289">
        <v>28800</v>
      </c>
    </row>
    <row r="290" spans="1:3" x14ac:dyDescent="0.75">
      <c r="A290" t="s">
        <v>32</v>
      </c>
      <c r="B290" t="s">
        <v>33</v>
      </c>
      <c r="C290">
        <v>28800</v>
      </c>
    </row>
    <row r="291" spans="1:3" x14ac:dyDescent="0.75">
      <c r="A291" t="s">
        <v>1136</v>
      </c>
      <c r="B291" t="s">
        <v>1137</v>
      </c>
      <c r="C291">
        <v>28076</v>
      </c>
    </row>
    <row r="292" spans="1:3" x14ac:dyDescent="0.75">
      <c r="A292" t="s">
        <v>338</v>
      </c>
      <c r="B292" t="s">
        <v>246</v>
      </c>
      <c r="C292">
        <v>28008</v>
      </c>
    </row>
    <row r="293" spans="1:3" x14ac:dyDescent="0.75">
      <c r="A293" t="s">
        <v>1869</v>
      </c>
      <c r="B293" t="s">
        <v>1870</v>
      </c>
      <c r="C293">
        <v>28000</v>
      </c>
    </row>
    <row r="294" spans="1:3" x14ac:dyDescent="0.75">
      <c r="A294" t="s">
        <v>495</v>
      </c>
      <c r="B294" t="s">
        <v>353</v>
      </c>
      <c r="C294">
        <v>26653</v>
      </c>
    </row>
    <row r="295" spans="1:3" x14ac:dyDescent="0.75">
      <c r="A295" t="s">
        <v>205</v>
      </c>
      <c r="B295" t="s">
        <v>206</v>
      </c>
      <c r="C295">
        <v>26209</v>
      </c>
    </row>
    <row r="296" spans="1:3" x14ac:dyDescent="0.75">
      <c r="A296" t="s">
        <v>639</v>
      </c>
      <c r="B296" t="s">
        <v>206</v>
      </c>
      <c r="C296">
        <v>25740</v>
      </c>
    </row>
    <row r="297" spans="1:3" x14ac:dyDescent="0.75">
      <c r="A297" t="s">
        <v>232</v>
      </c>
      <c r="B297" t="s">
        <v>233</v>
      </c>
      <c r="C297">
        <v>25200</v>
      </c>
    </row>
    <row r="298" spans="1:3" x14ac:dyDescent="0.75">
      <c r="A298" t="s">
        <v>519</v>
      </c>
      <c r="B298" t="s">
        <v>520</v>
      </c>
      <c r="C298">
        <v>25080</v>
      </c>
    </row>
    <row r="299" spans="1:3" x14ac:dyDescent="0.75">
      <c r="A299" t="s">
        <v>523</v>
      </c>
      <c r="B299" t="s">
        <v>524</v>
      </c>
      <c r="C299">
        <v>25080</v>
      </c>
    </row>
    <row r="300" spans="1:3" x14ac:dyDescent="0.75">
      <c r="A300" t="s">
        <v>535</v>
      </c>
      <c r="B300" t="s">
        <v>536</v>
      </c>
      <c r="C300">
        <v>25024</v>
      </c>
    </row>
    <row r="301" spans="1:3" x14ac:dyDescent="0.75">
      <c r="A301" t="s">
        <v>532</v>
      </c>
      <c r="B301" t="s">
        <v>533</v>
      </c>
      <c r="C301">
        <v>25024</v>
      </c>
    </row>
    <row r="302" spans="1:3" x14ac:dyDescent="0.75">
      <c r="A302" t="s">
        <v>644</v>
      </c>
      <c r="B302" t="s">
        <v>645</v>
      </c>
      <c r="C302">
        <v>24904</v>
      </c>
    </row>
    <row r="303" spans="1:3" x14ac:dyDescent="0.75">
      <c r="A303" t="s">
        <v>2057</v>
      </c>
      <c r="B303" t="s">
        <v>2058</v>
      </c>
      <c r="C303">
        <v>23826</v>
      </c>
    </row>
    <row r="304" spans="1:3" x14ac:dyDescent="0.75">
      <c r="A304" t="s">
        <v>2049</v>
      </c>
      <c r="B304" t="s">
        <v>2050</v>
      </c>
      <c r="C304">
        <v>23826</v>
      </c>
    </row>
    <row r="305" spans="1:3" x14ac:dyDescent="0.75">
      <c r="A305" t="s">
        <v>1514</v>
      </c>
      <c r="B305" t="s">
        <v>1515</v>
      </c>
      <c r="C305">
        <v>23720</v>
      </c>
    </row>
    <row r="306" spans="1:3" x14ac:dyDescent="0.75">
      <c r="A306" t="s">
        <v>2798</v>
      </c>
      <c r="B306" t="s">
        <v>2799</v>
      </c>
      <c r="C306">
        <v>23580</v>
      </c>
    </row>
    <row r="307" spans="1:3" x14ac:dyDescent="0.75">
      <c r="A307" t="s">
        <v>632</v>
      </c>
      <c r="B307" t="s">
        <v>633</v>
      </c>
      <c r="C307">
        <v>23509</v>
      </c>
    </row>
    <row r="308" spans="1:3" x14ac:dyDescent="0.75">
      <c r="A308" t="s">
        <v>1754</v>
      </c>
      <c r="B308" t="s">
        <v>1755</v>
      </c>
      <c r="C308">
        <v>22824</v>
      </c>
    </row>
    <row r="309" spans="1:3" x14ac:dyDescent="0.75">
      <c r="A309" t="s">
        <v>1093</v>
      </c>
      <c r="B309" t="s">
        <v>1094</v>
      </c>
      <c r="C309">
        <v>22640</v>
      </c>
    </row>
    <row r="310" spans="1:3" x14ac:dyDescent="0.75">
      <c r="A310" t="s">
        <v>2934</v>
      </c>
      <c r="B310" t="s">
        <v>2935</v>
      </c>
      <c r="C310">
        <v>22518</v>
      </c>
    </row>
    <row r="311" spans="1:3" x14ac:dyDescent="0.75">
      <c r="A311" t="s">
        <v>1422</v>
      </c>
      <c r="B311" t="s">
        <v>1423</v>
      </c>
      <c r="C311">
        <v>22356</v>
      </c>
    </row>
    <row r="312" spans="1:3" x14ac:dyDescent="0.75">
      <c r="A312" t="s">
        <v>276</v>
      </c>
      <c r="B312" t="s">
        <v>277</v>
      </c>
      <c r="C312">
        <v>22080</v>
      </c>
    </row>
    <row r="313" spans="1:3" x14ac:dyDescent="0.75">
      <c r="A313" t="s">
        <v>2931</v>
      </c>
      <c r="B313" t="s">
        <v>2932</v>
      </c>
      <c r="C313">
        <v>22044</v>
      </c>
    </row>
    <row r="314" spans="1:3" x14ac:dyDescent="0.75">
      <c r="A314" t="s">
        <v>1512</v>
      </c>
      <c r="B314" t="s">
        <v>1513</v>
      </c>
      <c r="C314">
        <v>22000</v>
      </c>
    </row>
    <row r="315" spans="1:3" x14ac:dyDescent="0.75">
      <c r="A315" t="s">
        <v>346</v>
      </c>
      <c r="B315" t="s">
        <v>347</v>
      </c>
      <c r="C315">
        <v>21804</v>
      </c>
    </row>
    <row r="316" spans="1:3" x14ac:dyDescent="0.75">
      <c r="A316" t="s">
        <v>1070</v>
      </c>
      <c r="B316" t="s">
        <v>1071</v>
      </c>
      <c r="C316">
        <v>21376</v>
      </c>
    </row>
    <row r="317" spans="1:3" x14ac:dyDescent="0.75">
      <c r="A317" t="s">
        <v>460</v>
      </c>
      <c r="B317" t="s">
        <v>461</v>
      </c>
      <c r="C317">
        <v>21216</v>
      </c>
    </row>
    <row r="318" spans="1:3" x14ac:dyDescent="0.75">
      <c r="A318" t="s">
        <v>544</v>
      </c>
      <c r="B318" t="s">
        <v>545</v>
      </c>
      <c r="C318">
        <v>20016</v>
      </c>
    </row>
    <row r="319" spans="1:3" x14ac:dyDescent="0.75">
      <c r="A319" t="s">
        <v>2002</v>
      </c>
      <c r="B319" t="s">
        <v>2003</v>
      </c>
      <c r="C319">
        <v>20010</v>
      </c>
    </row>
    <row r="320" spans="1:3" x14ac:dyDescent="0.75">
      <c r="A320" t="s">
        <v>1994</v>
      </c>
      <c r="B320" t="s">
        <v>1995</v>
      </c>
      <c r="C320">
        <v>20010</v>
      </c>
    </row>
    <row r="321" spans="1:3" x14ac:dyDescent="0.75">
      <c r="A321" t="s">
        <v>1996</v>
      </c>
      <c r="B321" t="s">
        <v>1997</v>
      </c>
      <c r="C321">
        <v>20010</v>
      </c>
    </row>
    <row r="322" spans="1:3" x14ac:dyDescent="0.75">
      <c r="A322" t="s">
        <v>1998</v>
      </c>
      <c r="B322" t="s">
        <v>1999</v>
      </c>
      <c r="C322">
        <v>20010</v>
      </c>
    </row>
    <row r="323" spans="1:3" x14ac:dyDescent="0.75">
      <c r="A323" t="s">
        <v>2000</v>
      </c>
      <c r="B323" t="s">
        <v>2001</v>
      </c>
      <c r="C323">
        <v>20010</v>
      </c>
    </row>
    <row r="324" spans="1:3" x14ac:dyDescent="0.75">
      <c r="A324" t="s">
        <v>2004</v>
      </c>
      <c r="B324" t="s">
        <v>2005</v>
      </c>
      <c r="C324">
        <v>20010</v>
      </c>
    </row>
    <row r="325" spans="1:3" x14ac:dyDescent="0.75">
      <c r="A325" t="s">
        <v>2674</v>
      </c>
      <c r="B325" t="s">
        <v>2675</v>
      </c>
      <c r="C325">
        <v>19536</v>
      </c>
    </row>
    <row r="326" spans="1:3" x14ac:dyDescent="0.75">
      <c r="A326" t="s">
        <v>15</v>
      </c>
      <c r="B326" t="s">
        <v>16</v>
      </c>
      <c r="C326">
        <v>19468</v>
      </c>
    </row>
    <row r="327" spans="1:3" x14ac:dyDescent="0.75">
      <c r="A327" t="s">
        <v>1028</v>
      </c>
      <c r="B327" t="s">
        <v>1029</v>
      </c>
      <c r="C327">
        <v>18816</v>
      </c>
    </row>
    <row r="328" spans="1:3" x14ac:dyDescent="0.75">
      <c r="A328" t="s">
        <v>371</v>
      </c>
      <c r="B328" t="s">
        <v>243</v>
      </c>
      <c r="C328">
        <v>18774</v>
      </c>
    </row>
    <row r="329" spans="1:3" x14ac:dyDescent="0.75">
      <c r="A329" t="s">
        <v>1133</v>
      </c>
      <c r="B329" t="s">
        <v>1134</v>
      </c>
      <c r="C329">
        <v>18576</v>
      </c>
    </row>
    <row r="330" spans="1:3" x14ac:dyDescent="0.75">
      <c r="A330" t="s">
        <v>2955</v>
      </c>
      <c r="B330" t="s">
        <v>2956</v>
      </c>
      <c r="C330">
        <v>18552</v>
      </c>
    </row>
    <row r="331" spans="1:3" x14ac:dyDescent="0.75">
      <c r="A331" t="s">
        <v>2672</v>
      </c>
      <c r="B331" t="s">
        <v>2673</v>
      </c>
      <c r="C331">
        <v>18480</v>
      </c>
    </row>
    <row r="332" spans="1:3" x14ac:dyDescent="0.75">
      <c r="A332" t="s">
        <v>507</v>
      </c>
      <c r="B332" t="s">
        <v>508</v>
      </c>
      <c r="C332">
        <v>18225</v>
      </c>
    </row>
    <row r="333" spans="1:3" x14ac:dyDescent="0.75">
      <c r="A333" t="s">
        <v>2092</v>
      </c>
      <c r="B333" t="s">
        <v>2093</v>
      </c>
      <c r="C333">
        <v>18088</v>
      </c>
    </row>
    <row r="334" spans="1:3" x14ac:dyDescent="0.75">
      <c r="A334" t="s">
        <v>450</v>
      </c>
      <c r="B334" t="s">
        <v>451</v>
      </c>
      <c r="C334">
        <v>17667</v>
      </c>
    </row>
    <row r="335" spans="1:3" x14ac:dyDescent="0.75">
      <c r="A335" t="s">
        <v>350</v>
      </c>
      <c r="B335" t="s">
        <v>351</v>
      </c>
      <c r="C335">
        <v>16824</v>
      </c>
    </row>
    <row r="336" spans="1:3" x14ac:dyDescent="0.75">
      <c r="A336" t="s">
        <v>1022</v>
      </c>
      <c r="B336" t="s">
        <v>1023</v>
      </c>
      <c r="C336">
        <v>16416</v>
      </c>
    </row>
    <row r="337" spans="1:3" x14ac:dyDescent="0.75">
      <c r="A337" t="s">
        <v>1320</v>
      </c>
      <c r="B337" t="s">
        <v>210</v>
      </c>
      <c r="C337">
        <v>16088</v>
      </c>
    </row>
    <row r="338" spans="1:3" x14ac:dyDescent="0.75">
      <c r="A338" t="s">
        <v>2059</v>
      </c>
      <c r="B338" t="s">
        <v>2060</v>
      </c>
      <c r="C338">
        <v>15930</v>
      </c>
    </row>
    <row r="339" spans="1:3" x14ac:dyDescent="0.75">
      <c r="A339" t="s">
        <v>2051</v>
      </c>
      <c r="B339" t="s">
        <v>2052</v>
      </c>
      <c r="C339">
        <v>15930</v>
      </c>
    </row>
    <row r="340" spans="1:3" x14ac:dyDescent="0.75">
      <c r="A340" t="s">
        <v>1321</v>
      </c>
      <c r="B340" t="s">
        <v>216</v>
      </c>
      <c r="C340">
        <v>15724</v>
      </c>
    </row>
    <row r="341" spans="1:3" x14ac:dyDescent="0.75">
      <c r="A341" t="s">
        <v>2129</v>
      </c>
      <c r="B341" t="s">
        <v>2130</v>
      </c>
      <c r="C341">
        <v>15576</v>
      </c>
    </row>
    <row r="342" spans="1:3" x14ac:dyDescent="0.75">
      <c r="A342" t="s">
        <v>1964</v>
      </c>
      <c r="B342" t="s">
        <v>685</v>
      </c>
      <c r="C342">
        <v>15500</v>
      </c>
    </row>
    <row r="343" spans="1:3" x14ac:dyDescent="0.75">
      <c r="A343" t="s">
        <v>219</v>
      </c>
      <c r="B343" t="s">
        <v>220</v>
      </c>
      <c r="C343">
        <v>15141</v>
      </c>
    </row>
    <row r="344" spans="1:3" x14ac:dyDescent="0.75">
      <c r="A344" t="s">
        <v>336</v>
      </c>
      <c r="B344" t="s">
        <v>337</v>
      </c>
      <c r="C344">
        <v>14994</v>
      </c>
    </row>
    <row r="345" spans="1:3" x14ac:dyDescent="0.75">
      <c r="A345" t="s">
        <v>1427</v>
      </c>
      <c r="B345" t="s">
        <v>1428</v>
      </c>
      <c r="C345">
        <v>14915</v>
      </c>
    </row>
    <row r="346" spans="1:3" x14ac:dyDescent="0.75">
      <c r="A346" t="s">
        <v>2185</v>
      </c>
      <c r="B346" t="s">
        <v>2186</v>
      </c>
      <c r="C346">
        <v>14742</v>
      </c>
    </row>
    <row r="347" spans="1:3" x14ac:dyDescent="0.75">
      <c r="A347" t="s">
        <v>217</v>
      </c>
      <c r="B347" t="s">
        <v>218</v>
      </c>
      <c r="C347">
        <v>14081</v>
      </c>
    </row>
    <row r="348" spans="1:3" x14ac:dyDescent="0.75">
      <c r="A348" t="s">
        <v>215</v>
      </c>
      <c r="B348" t="s">
        <v>216</v>
      </c>
      <c r="C348">
        <v>13825</v>
      </c>
    </row>
    <row r="349" spans="1:3" x14ac:dyDescent="0.75">
      <c r="A349" t="s">
        <v>2172</v>
      </c>
      <c r="B349" t="s">
        <v>2173</v>
      </c>
      <c r="C349">
        <v>13668</v>
      </c>
    </row>
    <row r="350" spans="1:3" x14ac:dyDescent="0.75">
      <c r="A350" t="s">
        <v>1024</v>
      </c>
      <c r="B350" t="s">
        <v>1025</v>
      </c>
      <c r="C350">
        <v>13500</v>
      </c>
    </row>
    <row r="351" spans="1:3" x14ac:dyDescent="0.75">
      <c r="A351" t="s">
        <v>2182</v>
      </c>
      <c r="B351" t="s">
        <v>245</v>
      </c>
      <c r="C351">
        <v>13398</v>
      </c>
    </row>
    <row r="352" spans="1:3" x14ac:dyDescent="0.75">
      <c r="A352" t="s">
        <v>2704</v>
      </c>
      <c r="B352" t="s">
        <v>178</v>
      </c>
      <c r="C352">
        <v>13280</v>
      </c>
    </row>
    <row r="353" spans="1:3" x14ac:dyDescent="0.75">
      <c r="A353" t="s">
        <v>786</v>
      </c>
      <c r="B353" t="s">
        <v>199</v>
      </c>
      <c r="C353">
        <v>13194</v>
      </c>
    </row>
    <row r="354" spans="1:3" x14ac:dyDescent="0.75">
      <c r="A354" t="s">
        <v>764</v>
      </c>
      <c r="B354" t="s">
        <v>765</v>
      </c>
      <c r="C354">
        <v>13124</v>
      </c>
    </row>
    <row r="355" spans="1:3" x14ac:dyDescent="0.75">
      <c r="A355" t="s">
        <v>538</v>
      </c>
      <c r="B355" t="s">
        <v>539</v>
      </c>
      <c r="C355">
        <v>12960</v>
      </c>
    </row>
    <row r="356" spans="1:3" x14ac:dyDescent="0.75">
      <c r="A356" t="s">
        <v>1056</v>
      </c>
      <c r="B356" t="s">
        <v>1057</v>
      </c>
      <c r="C356">
        <v>12800</v>
      </c>
    </row>
    <row r="357" spans="1:3" x14ac:dyDescent="0.75">
      <c r="A357" t="s">
        <v>211</v>
      </c>
      <c r="B357" t="s">
        <v>212</v>
      </c>
      <c r="C357">
        <v>12693</v>
      </c>
    </row>
    <row r="358" spans="1:3" x14ac:dyDescent="0.75">
      <c r="A358" t="s">
        <v>469</v>
      </c>
      <c r="B358" t="s">
        <v>470</v>
      </c>
      <c r="C358">
        <v>12538</v>
      </c>
    </row>
    <row r="359" spans="1:3" x14ac:dyDescent="0.75">
      <c r="A359" t="s">
        <v>628</v>
      </c>
      <c r="B359" t="s">
        <v>629</v>
      </c>
      <c r="C359">
        <v>12505</v>
      </c>
    </row>
    <row r="360" spans="1:3" x14ac:dyDescent="0.75">
      <c r="A360" t="s">
        <v>1091</v>
      </c>
      <c r="B360" t="s">
        <v>1092</v>
      </c>
      <c r="C360">
        <v>12408</v>
      </c>
    </row>
    <row r="361" spans="1:3" x14ac:dyDescent="0.75">
      <c r="A361" t="s">
        <v>404</v>
      </c>
      <c r="B361" t="s">
        <v>405</v>
      </c>
      <c r="C361">
        <v>12361</v>
      </c>
    </row>
    <row r="362" spans="1:3" x14ac:dyDescent="0.75">
      <c r="A362" t="s">
        <v>209</v>
      </c>
      <c r="B362" t="s">
        <v>210</v>
      </c>
      <c r="C362">
        <v>12117</v>
      </c>
    </row>
    <row r="363" spans="1:3" x14ac:dyDescent="0.75">
      <c r="A363" t="s">
        <v>2014</v>
      </c>
      <c r="B363" t="s">
        <v>2015</v>
      </c>
      <c r="C363">
        <v>12096</v>
      </c>
    </row>
    <row r="364" spans="1:3" x14ac:dyDescent="0.75">
      <c r="A364" t="s">
        <v>2183</v>
      </c>
      <c r="B364" t="s">
        <v>1106</v>
      </c>
      <c r="C364">
        <v>12060</v>
      </c>
    </row>
    <row r="365" spans="1:3" x14ac:dyDescent="0.75">
      <c r="A365" t="s">
        <v>2139</v>
      </c>
      <c r="B365" t="s">
        <v>2140</v>
      </c>
      <c r="C365">
        <v>11610</v>
      </c>
    </row>
    <row r="366" spans="1:3" x14ac:dyDescent="0.75">
      <c r="A366" t="s">
        <v>9</v>
      </c>
      <c r="B366" t="s">
        <v>10</v>
      </c>
      <c r="C366">
        <v>11400</v>
      </c>
    </row>
    <row r="367" spans="1:3" x14ac:dyDescent="0.75">
      <c r="A367" t="s">
        <v>1101</v>
      </c>
      <c r="B367" t="s">
        <v>1102</v>
      </c>
      <c r="C367">
        <v>11334</v>
      </c>
    </row>
    <row r="368" spans="1:3" x14ac:dyDescent="0.75">
      <c r="A368" t="s">
        <v>1084</v>
      </c>
      <c r="B368" t="s">
        <v>1085</v>
      </c>
      <c r="C368">
        <v>10866</v>
      </c>
    </row>
    <row r="369" spans="1:3" x14ac:dyDescent="0.75">
      <c r="A369" t="s">
        <v>1362</v>
      </c>
      <c r="B369" t="s">
        <v>1362</v>
      </c>
      <c r="C369">
        <v>10810</v>
      </c>
    </row>
    <row r="370" spans="1:3" x14ac:dyDescent="0.75">
      <c r="A370" t="s">
        <v>1363</v>
      </c>
      <c r="B370" t="s">
        <v>1363</v>
      </c>
      <c r="C370">
        <v>10810</v>
      </c>
    </row>
    <row r="371" spans="1:3" x14ac:dyDescent="0.75">
      <c r="A371" t="s">
        <v>526</v>
      </c>
      <c r="B371" t="s">
        <v>527</v>
      </c>
      <c r="C371">
        <v>10800</v>
      </c>
    </row>
    <row r="372" spans="1:3" x14ac:dyDescent="0.75">
      <c r="A372" t="s">
        <v>247</v>
      </c>
      <c r="B372" t="s">
        <v>248</v>
      </c>
      <c r="C372">
        <v>10536</v>
      </c>
    </row>
    <row r="373" spans="1:3" x14ac:dyDescent="0.75">
      <c r="A373" t="s">
        <v>266</v>
      </c>
      <c r="B373" t="s">
        <v>267</v>
      </c>
      <c r="C373">
        <v>10500</v>
      </c>
    </row>
    <row r="374" spans="1:3" x14ac:dyDescent="0.75">
      <c r="A374" t="s">
        <v>1105</v>
      </c>
      <c r="B374" t="s">
        <v>1106</v>
      </c>
      <c r="C374">
        <v>10188</v>
      </c>
    </row>
    <row r="375" spans="1:3" x14ac:dyDescent="0.75">
      <c r="A375" t="s">
        <v>2148</v>
      </c>
      <c r="B375" t="s">
        <v>2149</v>
      </c>
      <c r="C375">
        <v>10002</v>
      </c>
    </row>
    <row r="376" spans="1:3" x14ac:dyDescent="0.75">
      <c r="A376" t="s">
        <v>1432</v>
      </c>
      <c r="B376" t="s">
        <v>1433</v>
      </c>
      <c r="C376">
        <v>10000</v>
      </c>
    </row>
    <row r="377" spans="1:3" x14ac:dyDescent="0.75">
      <c r="A377" t="s">
        <v>368</v>
      </c>
      <c r="B377" t="s">
        <v>199</v>
      </c>
      <c r="C377">
        <v>9924</v>
      </c>
    </row>
    <row r="378" spans="1:3" x14ac:dyDescent="0.75">
      <c r="A378" t="s">
        <v>636</v>
      </c>
      <c r="B378" t="s">
        <v>637</v>
      </c>
      <c r="C378">
        <v>9762</v>
      </c>
    </row>
    <row r="379" spans="1:3" x14ac:dyDescent="0.75">
      <c r="A379" t="s">
        <v>2910</v>
      </c>
      <c r="B379" t="s">
        <v>2911</v>
      </c>
      <c r="C379">
        <v>9600</v>
      </c>
    </row>
    <row r="380" spans="1:3" x14ac:dyDescent="0.75">
      <c r="A380" t="s">
        <v>410</v>
      </c>
      <c r="B380" t="s">
        <v>411</v>
      </c>
      <c r="C380">
        <v>9360</v>
      </c>
    </row>
    <row r="381" spans="1:3" x14ac:dyDescent="0.75">
      <c r="A381" t="s">
        <v>745</v>
      </c>
      <c r="B381" t="s">
        <v>746</v>
      </c>
      <c r="C381">
        <v>9168</v>
      </c>
    </row>
    <row r="382" spans="1:3" x14ac:dyDescent="0.75">
      <c r="A382" t="s">
        <v>741</v>
      </c>
      <c r="B382" t="s">
        <v>742</v>
      </c>
      <c r="C382">
        <v>9156</v>
      </c>
    </row>
    <row r="383" spans="1:3" x14ac:dyDescent="0.75">
      <c r="A383" t="s">
        <v>1429</v>
      </c>
      <c r="B383" t="s">
        <v>1430</v>
      </c>
      <c r="C383">
        <v>9076</v>
      </c>
    </row>
    <row r="384" spans="1:3" x14ac:dyDescent="0.75">
      <c r="A384" t="s">
        <v>2765</v>
      </c>
      <c r="B384" t="s">
        <v>2766</v>
      </c>
      <c r="C384">
        <v>9000</v>
      </c>
    </row>
    <row r="385" spans="1:3" x14ac:dyDescent="0.75">
      <c r="A385" t="s">
        <v>354</v>
      </c>
      <c r="B385" t="s">
        <v>355</v>
      </c>
      <c r="C385">
        <v>8916</v>
      </c>
    </row>
    <row r="386" spans="1:3" x14ac:dyDescent="0.75">
      <c r="A386" t="s">
        <v>2949</v>
      </c>
      <c r="B386" t="s">
        <v>2950</v>
      </c>
      <c r="C386">
        <v>8436</v>
      </c>
    </row>
    <row r="387" spans="1:3" x14ac:dyDescent="0.75">
      <c r="A387" t="s">
        <v>687</v>
      </c>
      <c r="B387" t="s">
        <v>688</v>
      </c>
      <c r="C387">
        <v>8004</v>
      </c>
    </row>
    <row r="388" spans="1:3" x14ac:dyDescent="0.75">
      <c r="A388" t="s">
        <v>2668</v>
      </c>
      <c r="B388" t="s">
        <v>2669</v>
      </c>
      <c r="C388">
        <v>8000</v>
      </c>
    </row>
    <row r="389" spans="1:3" x14ac:dyDescent="0.75">
      <c r="A389" t="s">
        <v>2135</v>
      </c>
      <c r="B389" t="s">
        <v>2136</v>
      </c>
      <c r="C389">
        <v>7712</v>
      </c>
    </row>
    <row r="390" spans="1:3" x14ac:dyDescent="0.75">
      <c r="A390" t="s">
        <v>2805</v>
      </c>
      <c r="B390" t="s">
        <v>2806</v>
      </c>
      <c r="C390">
        <v>7686</v>
      </c>
    </row>
    <row r="391" spans="1:3" x14ac:dyDescent="0.75">
      <c r="A391" t="s">
        <v>455</v>
      </c>
      <c r="B391" t="s">
        <v>456</v>
      </c>
      <c r="C391">
        <v>7682</v>
      </c>
    </row>
    <row r="392" spans="1:3" x14ac:dyDescent="0.75">
      <c r="A392" t="s">
        <v>339</v>
      </c>
      <c r="B392" t="s">
        <v>340</v>
      </c>
      <c r="C392">
        <v>7636</v>
      </c>
    </row>
    <row r="393" spans="1:3" x14ac:dyDescent="0.75">
      <c r="A393" t="s">
        <v>369</v>
      </c>
      <c r="B393" t="s">
        <v>370</v>
      </c>
      <c r="C393">
        <v>7530</v>
      </c>
    </row>
    <row r="394" spans="1:3" x14ac:dyDescent="0.75">
      <c r="A394" t="s">
        <v>284</v>
      </c>
      <c r="B394" t="s">
        <v>285</v>
      </c>
      <c r="C394">
        <v>7212</v>
      </c>
    </row>
    <row r="395" spans="1:3" x14ac:dyDescent="0.75">
      <c r="A395" t="s">
        <v>2940</v>
      </c>
      <c r="B395" t="s">
        <v>2941</v>
      </c>
      <c r="C395">
        <v>7092</v>
      </c>
    </row>
    <row r="396" spans="1:3" x14ac:dyDescent="0.75">
      <c r="A396" t="s">
        <v>1089</v>
      </c>
      <c r="B396" t="s">
        <v>1090</v>
      </c>
      <c r="C396">
        <v>6768</v>
      </c>
    </row>
    <row r="397" spans="1:3" x14ac:dyDescent="0.75">
      <c r="A397" t="s">
        <v>1368</v>
      </c>
      <c r="B397" t="s">
        <v>1368</v>
      </c>
      <c r="C397">
        <v>6660</v>
      </c>
    </row>
    <row r="398" spans="1:3" x14ac:dyDescent="0.75">
      <c r="A398" t="s">
        <v>1367</v>
      </c>
      <c r="B398" t="s">
        <v>1367</v>
      </c>
      <c r="C398">
        <v>6660</v>
      </c>
    </row>
    <row r="399" spans="1:3" x14ac:dyDescent="0.75">
      <c r="A399" t="s">
        <v>1364</v>
      </c>
      <c r="B399" t="s">
        <v>1364</v>
      </c>
      <c r="C399">
        <v>6620</v>
      </c>
    </row>
    <row r="400" spans="1:3" x14ac:dyDescent="0.75">
      <c r="A400" t="s">
        <v>282</v>
      </c>
      <c r="B400" t="s">
        <v>283</v>
      </c>
      <c r="C400">
        <v>5920</v>
      </c>
    </row>
    <row r="401" spans="1:3" x14ac:dyDescent="0.75">
      <c r="A401" t="s">
        <v>2133</v>
      </c>
      <c r="B401" t="s">
        <v>2134</v>
      </c>
      <c r="C401">
        <v>5808</v>
      </c>
    </row>
    <row r="402" spans="1:3" x14ac:dyDescent="0.75">
      <c r="A402" t="s">
        <v>2947</v>
      </c>
      <c r="B402" t="s">
        <v>2948</v>
      </c>
      <c r="C402">
        <v>5676</v>
      </c>
    </row>
    <row r="403" spans="1:3" x14ac:dyDescent="0.75">
      <c r="A403" t="s">
        <v>2936</v>
      </c>
      <c r="B403" t="s">
        <v>2937</v>
      </c>
      <c r="C403">
        <v>5418</v>
      </c>
    </row>
    <row r="404" spans="1:3" x14ac:dyDescent="0.75">
      <c r="A404" t="s">
        <v>2938</v>
      </c>
      <c r="B404" t="s">
        <v>2939</v>
      </c>
      <c r="C404">
        <v>5418</v>
      </c>
    </row>
    <row r="405" spans="1:3" x14ac:dyDescent="0.75">
      <c r="A405" t="s">
        <v>352</v>
      </c>
      <c r="B405" t="s">
        <v>353</v>
      </c>
      <c r="C405">
        <v>5382</v>
      </c>
    </row>
    <row r="406" spans="1:3" x14ac:dyDescent="0.75">
      <c r="A406" t="s">
        <v>413</v>
      </c>
      <c r="B406" t="s">
        <v>414</v>
      </c>
      <c r="C406">
        <v>5358</v>
      </c>
    </row>
    <row r="407" spans="1:3" x14ac:dyDescent="0.75">
      <c r="A407" t="s">
        <v>446</v>
      </c>
      <c r="B407" t="s">
        <v>310</v>
      </c>
      <c r="C407">
        <v>5355</v>
      </c>
    </row>
    <row r="408" spans="1:3" x14ac:dyDescent="0.75">
      <c r="A408" t="s">
        <v>2928</v>
      </c>
      <c r="B408" t="s">
        <v>2929</v>
      </c>
      <c r="C408">
        <v>5244</v>
      </c>
    </row>
    <row r="409" spans="1:3" x14ac:dyDescent="0.75">
      <c r="A409" t="s">
        <v>1314</v>
      </c>
      <c r="B409" t="s">
        <v>277</v>
      </c>
      <c r="C409">
        <v>5190</v>
      </c>
    </row>
    <row r="410" spans="1:3" x14ac:dyDescent="0.75">
      <c r="A410" t="s">
        <v>606</v>
      </c>
      <c r="B410" t="s">
        <v>607</v>
      </c>
      <c r="C410">
        <v>5152</v>
      </c>
    </row>
    <row r="411" spans="1:3" x14ac:dyDescent="0.75">
      <c r="A411" t="s">
        <v>260</v>
      </c>
      <c r="B411" t="s">
        <v>261</v>
      </c>
      <c r="C411">
        <v>5148</v>
      </c>
    </row>
    <row r="412" spans="1:3" x14ac:dyDescent="0.75">
      <c r="A412" t="s">
        <v>723</v>
      </c>
      <c r="B412" t="s">
        <v>724</v>
      </c>
      <c r="C412">
        <v>5008</v>
      </c>
    </row>
    <row r="413" spans="1:3" x14ac:dyDescent="0.75">
      <c r="A413" t="s">
        <v>730</v>
      </c>
      <c r="B413" t="s">
        <v>731</v>
      </c>
      <c r="C413">
        <v>5000</v>
      </c>
    </row>
    <row r="414" spans="1:3" x14ac:dyDescent="0.75">
      <c r="A414" t="s">
        <v>1087</v>
      </c>
      <c r="B414" t="s">
        <v>1088</v>
      </c>
      <c r="C414">
        <v>4712</v>
      </c>
    </row>
    <row r="415" spans="1:3" x14ac:dyDescent="0.75">
      <c r="A415" t="s">
        <v>1365</v>
      </c>
      <c r="B415" t="s">
        <v>1365</v>
      </c>
      <c r="C415">
        <v>4460</v>
      </c>
    </row>
    <row r="416" spans="1:3" x14ac:dyDescent="0.75">
      <c r="A416" t="s">
        <v>1366</v>
      </c>
      <c r="B416" t="s">
        <v>1366</v>
      </c>
      <c r="C416">
        <v>4460</v>
      </c>
    </row>
    <row r="417" spans="1:3" x14ac:dyDescent="0.75">
      <c r="A417" t="s">
        <v>2131</v>
      </c>
      <c r="B417" t="s">
        <v>2132</v>
      </c>
      <c r="C417">
        <v>4352</v>
      </c>
    </row>
    <row r="418" spans="1:3" x14ac:dyDescent="0.75">
      <c r="A418" t="s">
        <v>343</v>
      </c>
      <c r="B418" t="s">
        <v>344</v>
      </c>
      <c r="C418">
        <v>4189</v>
      </c>
    </row>
    <row r="419" spans="1:3" x14ac:dyDescent="0.75">
      <c r="A419" t="s">
        <v>1549</v>
      </c>
      <c r="B419" t="s">
        <v>1211</v>
      </c>
      <c r="C419">
        <v>4041</v>
      </c>
    </row>
    <row r="420" spans="1:3" x14ac:dyDescent="0.75">
      <c r="A420" t="s">
        <v>541</v>
      </c>
      <c r="B420" t="s">
        <v>261</v>
      </c>
      <c r="C420">
        <v>4032</v>
      </c>
    </row>
    <row r="421" spans="1:3" x14ac:dyDescent="0.75">
      <c r="A421" t="s">
        <v>1044</v>
      </c>
      <c r="B421" t="s">
        <v>1045</v>
      </c>
      <c r="C421">
        <v>4020</v>
      </c>
    </row>
    <row r="422" spans="1:3" x14ac:dyDescent="0.75">
      <c r="A422" t="s">
        <v>737</v>
      </c>
      <c r="B422" t="s">
        <v>738</v>
      </c>
      <c r="C422">
        <v>4008</v>
      </c>
    </row>
    <row r="423" spans="1:3" x14ac:dyDescent="0.75">
      <c r="A423" t="s">
        <v>2944</v>
      </c>
      <c r="B423" t="s">
        <v>2945</v>
      </c>
      <c r="C423">
        <v>3834</v>
      </c>
    </row>
    <row r="424" spans="1:3" x14ac:dyDescent="0.75">
      <c r="A424" t="s">
        <v>2732</v>
      </c>
      <c r="B424" t="s">
        <v>2733</v>
      </c>
      <c r="C424">
        <v>3678</v>
      </c>
    </row>
    <row r="425" spans="1:3" x14ac:dyDescent="0.75">
      <c r="A425" t="s">
        <v>373</v>
      </c>
      <c r="B425" t="s">
        <v>374</v>
      </c>
      <c r="C425">
        <v>3606</v>
      </c>
    </row>
    <row r="426" spans="1:3" x14ac:dyDescent="0.75">
      <c r="A426" t="s">
        <v>1140</v>
      </c>
      <c r="B426" t="s">
        <v>1141</v>
      </c>
      <c r="C426">
        <v>3600</v>
      </c>
    </row>
    <row r="427" spans="1:3" x14ac:dyDescent="0.75">
      <c r="A427" t="s">
        <v>2217</v>
      </c>
      <c r="B427" t="s">
        <v>2218</v>
      </c>
      <c r="C427">
        <v>3056</v>
      </c>
    </row>
    <row r="428" spans="1:3" x14ac:dyDescent="0.75">
      <c r="A428" t="s">
        <v>366</v>
      </c>
      <c r="B428" t="s">
        <v>367</v>
      </c>
      <c r="C428">
        <v>2946</v>
      </c>
    </row>
    <row r="429" spans="1:3" x14ac:dyDescent="0.75">
      <c r="A429" t="s">
        <v>2942</v>
      </c>
      <c r="B429" t="s">
        <v>2943</v>
      </c>
      <c r="C429">
        <v>2778</v>
      </c>
    </row>
    <row r="430" spans="1:3" x14ac:dyDescent="0.75">
      <c r="A430" t="s">
        <v>578</v>
      </c>
      <c r="B430" t="s">
        <v>579</v>
      </c>
      <c r="C430">
        <v>2688</v>
      </c>
    </row>
    <row r="431" spans="1:3" x14ac:dyDescent="0.75">
      <c r="A431" t="s">
        <v>1185</v>
      </c>
      <c r="B431" t="s">
        <v>1186</v>
      </c>
      <c r="C431">
        <v>2544</v>
      </c>
    </row>
    <row r="432" spans="1:3" x14ac:dyDescent="0.75">
      <c r="A432" t="s">
        <v>1888</v>
      </c>
      <c r="B432" t="s">
        <v>1888</v>
      </c>
      <c r="C432">
        <v>2372</v>
      </c>
    </row>
    <row r="433" spans="1:3" x14ac:dyDescent="0.75">
      <c r="A433" t="s">
        <v>1887</v>
      </c>
      <c r="B433" t="s">
        <v>1887</v>
      </c>
      <c r="C433">
        <v>2372</v>
      </c>
    </row>
    <row r="434" spans="1:3" x14ac:dyDescent="0.75">
      <c r="A434" t="s">
        <v>2544</v>
      </c>
      <c r="B434" t="s">
        <v>2545</v>
      </c>
      <c r="C434">
        <v>2310</v>
      </c>
    </row>
    <row r="435" spans="1:3" x14ac:dyDescent="0.75">
      <c r="A435" t="s">
        <v>1569</v>
      </c>
      <c r="B435" t="s">
        <v>1570</v>
      </c>
      <c r="C435">
        <v>2237</v>
      </c>
    </row>
    <row r="436" spans="1:3" x14ac:dyDescent="0.75">
      <c r="A436" t="s">
        <v>1881</v>
      </c>
      <c r="B436" t="s">
        <v>1881</v>
      </c>
      <c r="C436">
        <v>2200</v>
      </c>
    </row>
    <row r="437" spans="1:3" x14ac:dyDescent="0.75">
      <c r="A437" t="s">
        <v>1882</v>
      </c>
      <c r="B437" t="s">
        <v>1882</v>
      </c>
      <c r="C437">
        <v>2200</v>
      </c>
    </row>
    <row r="438" spans="1:3" x14ac:dyDescent="0.75">
      <c r="A438" t="s">
        <v>2143</v>
      </c>
      <c r="B438" t="s">
        <v>2144</v>
      </c>
      <c r="C438">
        <v>1996</v>
      </c>
    </row>
    <row r="439" spans="1:3" x14ac:dyDescent="0.75">
      <c r="A439" t="s">
        <v>1561</v>
      </c>
      <c r="B439" t="s">
        <v>1562</v>
      </c>
      <c r="C439">
        <v>1847</v>
      </c>
    </row>
    <row r="440" spans="1:3" x14ac:dyDescent="0.75">
      <c r="A440" t="s">
        <v>364</v>
      </c>
      <c r="B440" t="s">
        <v>365</v>
      </c>
      <c r="C440">
        <v>1844</v>
      </c>
    </row>
    <row r="441" spans="1:3" x14ac:dyDescent="0.75">
      <c r="A441" t="s">
        <v>1060</v>
      </c>
      <c r="B441" t="s">
        <v>1061</v>
      </c>
      <c r="C441">
        <v>1728</v>
      </c>
    </row>
    <row r="442" spans="1:3" x14ac:dyDescent="0.75">
      <c r="A442" t="s">
        <v>1806</v>
      </c>
      <c r="B442" t="s">
        <v>1807</v>
      </c>
      <c r="C442">
        <v>1676</v>
      </c>
    </row>
    <row r="443" spans="1:3" x14ac:dyDescent="0.75">
      <c r="A443" t="s">
        <v>1565</v>
      </c>
      <c r="B443" t="s">
        <v>1566</v>
      </c>
      <c r="C443">
        <v>1665</v>
      </c>
    </row>
    <row r="444" spans="1:3" x14ac:dyDescent="0.75">
      <c r="A444" t="s">
        <v>1571</v>
      </c>
      <c r="B444" t="s">
        <v>1572</v>
      </c>
      <c r="C444">
        <v>1643</v>
      </c>
    </row>
    <row r="445" spans="1:3" x14ac:dyDescent="0.75">
      <c r="A445" t="s">
        <v>1551</v>
      </c>
      <c r="B445" t="s">
        <v>1552</v>
      </c>
      <c r="C445">
        <v>1620</v>
      </c>
    </row>
    <row r="446" spans="1:3" x14ac:dyDescent="0.75">
      <c r="A446" t="s">
        <v>734</v>
      </c>
      <c r="B446" t="s">
        <v>735</v>
      </c>
      <c r="C446">
        <v>1600</v>
      </c>
    </row>
    <row r="447" spans="1:3" x14ac:dyDescent="0.75">
      <c r="A447" t="s">
        <v>2688</v>
      </c>
      <c r="B447" t="s">
        <v>2689</v>
      </c>
      <c r="C447">
        <v>1554</v>
      </c>
    </row>
    <row r="448" spans="1:3" x14ac:dyDescent="0.75">
      <c r="A448" t="s">
        <v>2959</v>
      </c>
      <c r="B448" t="s">
        <v>2960</v>
      </c>
      <c r="C448">
        <v>1459</v>
      </c>
    </row>
    <row r="449" spans="1:3" x14ac:dyDescent="0.75">
      <c r="A449" t="s">
        <v>2884</v>
      </c>
      <c r="B449" t="s">
        <v>2884</v>
      </c>
      <c r="C449">
        <v>1328</v>
      </c>
    </row>
    <row r="450" spans="1:3" x14ac:dyDescent="0.75">
      <c r="A450" t="s">
        <v>2488</v>
      </c>
      <c r="B450" t="s">
        <v>57</v>
      </c>
      <c r="C450">
        <v>1320</v>
      </c>
    </row>
    <row r="451" spans="1:3" x14ac:dyDescent="0.75">
      <c r="A451" t="s">
        <v>1545</v>
      </c>
      <c r="B451" t="s">
        <v>1546</v>
      </c>
      <c r="C451">
        <v>1309</v>
      </c>
    </row>
    <row r="452" spans="1:3" x14ac:dyDescent="0.75">
      <c r="A452" t="s">
        <v>1593</v>
      </c>
      <c r="B452" t="s">
        <v>1594</v>
      </c>
      <c r="C452">
        <v>1274</v>
      </c>
    </row>
    <row r="453" spans="1:3" x14ac:dyDescent="0.75">
      <c r="A453" t="s">
        <v>1541</v>
      </c>
      <c r="B453" t="s">
        <v>1542</v>
      </c>
      <c r="C453">
        <v>1238</v>
      </c>
    </row>
    <row r="454" spans="1:3" x14ac:dyDescent="0.75">
      <c r="A454" t="s">
        <v>2495</v>
      </c>
      <c r="B454" t="s">
        <v>2496</v>
      </c>
      <c r="C454">
        <v>1178</v>
      </c>
    </row>
    <row r="455" spans="1:3" x14ac:dyDescent="0.75">
      <c r="A455" t="s">
        <v>2154</v>
      </c>
      <c r="B455" t="s">
        <v>2155</v>
      </c>
      <c r="C455">
        <v>1080</v>
      </c>
    </row>
    <row r="456" spans="1:3" x14ac:dyDescent="0.75">
      <c r="A456" t="s">
        <v>1553</v>
      </c>
      <c r="B456" t="s">
        <v>1554</v>
      </c>
      <c r="C456">
        <v>1080</v>
      </c>
    </row>
    <row r="457" spans="1:3" x14ac:dyDescent="0.75">
      <c r="A457" t="s">
        <v>2507</v>
      </c>
      <c r="B457" t="s">
        <v>2508</v>
      </c>
      <c r="C457">
        <v>1053</v>
      </c>
    </row>
    <row r="458" spans="1:3" x14ac:dyDescent="0.75">
      <c r="A458" t="s">
        <v>345</v>
      </c>
      <c r="B458" t="s">
        <v>281</v>
      </c>
      <c r="C458">
        <v>1038</v>
      </c>
    </row>
    <row r="459" spans="1:3" x14ac:dyDescent="0.75">
      <c r="A459" t="s">
        <v>842</v>
      </c>
      <c r="B459" t="s">
        <v>843</v>
      </c>
      <c r="C459">
        <v>1002</v>
      </c>
    </row>
    <row r="460" spans="1:3" x14ac:dyDescent="0.75">
      <c r="A460" t="s">
        <v>2215</v>
      </c>
      <c r="B460" t="s">
        <v>2216</v>
      </c>
      <c r="C460">
        <v>950</v>
      </c>
    </row>
    <row r="461" spans="1:3" x14ac:dyDescent="0.75">
      <c r="A461" t="s">
        <v>2472</v>
      </c>
      <c r="B461" t="s">
        <v>2473</v>
      </c>
      <c r="C461">
        <v>947</v>
      </c>
    </row>
    <row r="462" spans="1:3" x14ac:dyDescent="0.75">
      <c r="A462" t="s">
        <v>2493</v>
      </c>
      <c r="B462" t="s">
        <v>2494</v>
      </c>
      <c r="C462">
        <v>903</v>
      </c>
    </row>
    <row r="463" spans="1:3" x14ac:dyDescent="0.75">
      <c r="A463" t="s">
        <v>1555</v>
      </c>
      <c r="B463" t="s">
        <v>1556</v>
      </c>
      <c r="C463">
        <v>886</v>
      </c>
    </row>
    <row r="464" spans="1:3" x14ac:dyDescent="0.75">
      <c r="A464" t="s">
        <v>2290</v>
      </c>
      <c r="B464" t="s">
        <v>2291</v>
      </c>
      <c r="C464">
        <v>800</v>
      </c>
    </row>
    <row r="465" spans="1:3" x14ac:dyDescent="0.75">
      <c r="A465" t="s">
        <v>236</v>
      </c>
      <c r="B465" t="s">
        <v>237</v>
      </c>
      <c r="C465">
        <v>800</v>
      </c>
    </row>
    <row r="466" spans="1:3" x14ac:dyDescent="0.75">
      <c r="A466" t="s">
        <v>2396</v>
      </c>
      <c r="B466" t="s">
        <v>2397</v>
      </c>
      <c r="C466">
        <v>791</v>
      </c>
    </row>
    <row r="467" spans="1:3" x14ac:dyDescent="0.75">
      <c r="A467" t="s">
        <v>2690</v>
      </c>
      <c r="B467" t="s">
        <v>2691</v>
      </c>
      <c r="C467">
        <v>780</v>
      </c>
    </row>
    <row r="468" spans="1:3" x14ac:dyDescent="0.75">
      <c r="A468" t="s">
        <v>1317</v>
      </c>
      <c r="B468" t="s">
        <v>1318</v>
      </c>
      <c r="C468">
        <v>728</v>
      </c>
    </row>
    <row r="469" spans="1:3" x14ac:dyDescent="0.75">
      <c r="A469" t="s">
        <v>1674</v>
      </c>
      <c r="B469" t="s">
        <v>1675</v>
      </c>
      <c r="C469">
        <v>706</v>
      </c>
    </row>
    <row r="470" spans="1:3" x14ac:dyDescent="0.75">
      <c r="A470" t="s">
        <v>2515</v>
      </c>
      <c r="B470" t="s">
        <v>2516</v>
      </c>
      <c r="C470">
        <v>704</v>
      </c>
    </row>
    <row r="471" spans="1:3" x14ac:dyDescent="0.75">
      <c r="A471" t="s">
        <v>1696</v>
      </c>
      <c r="B471" t="s">
        <v>1697</v>
      </c>
      <c r="C471">
        <v>701</v>
      </c>
    </row>
    <row r="472" spans="1:3" x14ac:dyDescent="0.75">
      <c r="A472" t="s">
        <v>2484</v>
      </c>
      <c r="B472" t="s">
        <v>2485</v>
      </c>
      <c r="C472">
        <v>691</v>
      </c>
    </row>
    <row r="473" spans="1:3" x14ac:dyDescent="0.75">
      <c r="A473" t="s">
        <v>2454</v>
      </c>
      <c r="B473" t="s">
        <v>2455</v>
      </c>
      <c r="C473">
        <v>680</v>
      </c>
    </row>
    <row r="474" spans="1:3" x14ac:dyDescent="0.75">
      <c r="A474" t="s">
        <v>1581</v>
      </c>
      <c r="B474" t="s">
        <v>1582</v>
      </c>
      <c r="C474">
        <v>632</v>
      </c>
    </row>
    <row r="475" spans="1:3" x14ac:dyDescent="0.75">
      <c r="A475" t="s">
        <v>1796</v>
      </c>
      <c r="B475" t="s">
        <v>1797</v>
      </c>
      <c r="C475">
        <v>618</v>
      </c>
    </row>
    <row r="476" spans="1:3" x14ac:dyDescent="0.75">
      <c r="A476" t="s">
        <v>2482</v>
      </c>
      <c r="B476" t="s">
        <v>2483</v>
      </c>
      <c r="C476">
        <v>597</v>
      </c>
    </row>
    <row r="477" spans="1:3" x14ac:dyDescent="0.75">
      <c r="A477" t="s">
        <v>2211</v>
      </c>
      <c r="B477" t="s">
        <v>2212</v>
      </c>
      <c r="C477">
        <v>566</v>
      </c>
    </row>
    <row r="478" spans="1:3" x14ac:dyDescent="0.75">
      <c r="A478" t="s">
        <v>1672</v>
      </c>
      <c r="B478" t="s">
        <v>1673</v>
      </c>
      <c r="C478">
        <v>557</v>
      </c>
    </row>
    <row r="479" spans="1:3" x14ac:dyDescent="0.75">
      <c r="A479" t="s">
        <v>2537</v>
      </c>
      <c r="B479" t="s">
        <v>2538</v>
      </c>
      <c r="C479">
        <v>553</v>
      </c>
    </row>
    <row r="480" spans="1:3" x14ac:dyDescent="0.75">
      <c r="A480" t="s">
        <v>2651</v>
      </c>
      <c r="B480" t="s">
        <v>2652</v>
      </c>
      <c r="C480">
        <v>552</v>
      </c>
    </row>
    <row r="481" spans="1:3" x14ac:dyDescent="0.75">
      <c r="A481" t="s">
        <v>1698</v>
      </c>
      <c r="B481" t="s">
        <v>1699</v>
      </c>
      <c r="C481">
        <v>549</v>
      </c>
    </row>
    <row r="482" spans="1:3" x14ac:dyDescent="0.75">
      <c r="A482" t="s">
        <v>2641</v>
      </c>
      <c r="B482" t="s">
        <v>2642</v>
      </c>
      <c r="C482">
        <v>534</v>
      </c>
    </row>
    <row r="483" spans="1:3" x14ac:dyDescent="0.75">
      <c r="A483" t="s">
        <v>2347</v>
      </c>
      <c r="B483" t="s">
        <v>1311</v>
      </c>
      <c r="C483">
        <v>516</v>
      </c>
    </row>
    <row r="484" spans="1:3" x14ac:dyDescent="0.75">
      <c r="A484" t="s">
        <v>1559</v>
      </c>
      <c r="B484" t="s">
        <v>1560</v>
      </c>
      <c r="C484">
        <v>515</v>
      </c>
    </row>
    <row r="485" spans="1:3" x14ac:dyDescent="0.75">
      <c r="A485" t="s">
        <v>2462</v>
      </c>
      <c r="B485" t="s">
        <v>2463</v>
      </c>
      <c r="C485">
        <v>514</v>
      </c>
    </row>
    <row r="486" spans="1:3" x14ac:dyDescent="0.75">
      <c r="A486" t="s">
        <v>2438</v>
      </c>
      <c r="B486" t="s">
        <v>2439</v>
      </c>
      <c r="C486">
        <v>511</v>
      </c>
    </row>
    <row r="487" spans="1:3" x14ac:dyDescent="0.75">
      <c r="A487" t="s">
        <v>1684</v>
      </c>
      <c r="B487" t="s">
        <v>1685</v>
      </c>
      <c r="C487">
        <v>500</v>
      </c>
    </row>
    <row r="488" spans="1:3" x14ac:dyDescent="0.75">
      <c r="A488" t="s">
        <v>2430</v>
      </c>
      <c r="B488" t="s">
        <v>2431</v>
      </c>
      <c r="C488">
        <v>499</v>
      </c>
    </row>
    <row r="489" spans="1:3" x14ac:dyDescent="0.75">
      <c r="A489" t="s">
        <v>1599</v>
      </c>
      <c r="B489" t="s">
        <v>1600</v>
      </c>
      <c r="C489">
        <v>486</v>
      </c>
    </row>
    <row r="490" spans="1:3" x14ac:dyDescent="0.75">
      <c r="A490" t="s">
        <v>2474</v>
      </c>
      <c r="B490" t="s">
        <v>2475</v>
      </c>
      <c r="C490">
        <v>478</v>
      </c>
    </row>
    <row r="491" spans="1:3" x14ac:dyDescent="0.75">
      <c r="A491" t="s">
        <v>2320</v>
      </c>
      <c r="B491" t="s">
        <v>2321</v>
      </c>
      <c r="C491">
        <v>466</v>
      </c>
    </row>
    <row r="492" spans="1:3" x14ac:dyDescent="0.75">
      <c r="A492" t="s">
        <v>2649</v>
      </c>
      <c r="B492" t="s">
        <v>2650</v>
      </c>
      <c r="C492">
        <v>465</v>
      </c>
    </row>
    <row r="493" spans="1:3" x14ac:dyDescent="0.75">
      <c r="A493" t="s">
        <v>1826</v>
      </c>
      <c r="B493" t="s">
        <v>1827</v>
      </c>
      <c r="C493">
        <v>445</v>
      </c>
    </row>
    <row r="494" spans="1:3" x14ac:dyDescent="0.75">
      <c r="A494" t="s">
        <v>2432</v>
      </c>
      <c r="B494" t="s">
        <v>2433</v>
      </c>
      <c r="C494">
        <v>439</v>
      </c>
    </row>
    <row r="495" spans="1:3" x14ac:dyDescent="0.75">
      <c r="A495" t="s">
        <v>2314</v>
      </c>
      <c r="B495" t="s">
        <v>2315</v>
      </c>
      <c r="C495">
        <v>437</v>
      </c>
    </row>
    <row r="496" spans="1:3" x14ac:dyDescent="0.75">
      <c r="A496" t="s">
        <v>1557</v>
      </c>
      <c r="B496" t="s">
        <v>1558</v>
      </c>
      <c r="C496">
        <v>417</v>
      </c>
    </row>
    <row r="497" spans="1:3" x14ac:dyDescent="0.75">
      <c r="A497" t="s">
        <v>2627</v>
      </c>
      <c r="B497" t="s">
        <v>2628</v>
      </c>
      <c r="C497">
        <v>416</v>
      </c>
    </row>
    <row r="498" spans="1:3" x14ac:dyDescent="0.75">
      <c r="A498" t="s">
        <v>2280</v>
      </c>
      <c r="B498" t="s">
        <v>2281</v>
      </c>
      <c r="C498">
        <v>412</v>
      </c>
    </row>
    <row r="499" spans="1:3" x14ac:dyDescent="0.75">
      <c r="A499" t="s">
        <v>1567</v>
      </c>
      <c r="B499" t="s">
        <v>1568</v>
      </c>
      <c r="C499">
        <v>406</v>
      </c>
    </row>
    <row r="500" spans="1:3" x14ac:dyDescent="0.75">
      <c r="A500" t="s">
        <v>1668</v>
      </c>
      <c r="B500" t="s">
        <v>1246</v>
      </c>
      <c r="C500">
        <v>405</v>
      </c>
    </row>
    <row r="501" spans="1:3" x14ac:dyDescent="0.75">
      <c r="A501" t="s">
        <v>2579</v>
      </c>
      <c r="B501" t="s">
        <v>2580</v>
      </c>
      <c r="C501">
        <v>403</v>
      </c>
    </row>
    <row r="502" spans="1:3" x14ac:dyDescent="0.75">
      <c r="A502" t="s">
        <v>2257</v>
      </c>
      <c r="B502" t="s">
        <v>2258</v>
      </c>
      <c r="C502">
        <v>402</v>
      </c>
    </row>
    <row r="503" spans="1:3" x14ac:dyDescent="0.75">
      <c r="A503" t="s">
        <v>2631</v>
      </c>
      <c r="B503" t="s">
        <v>2632</v>
      </c>
      <c r="C503">
        <v>399</v>
      </c>
    </row>
    <row r="504" spans="1:3" x14ac:dyDescent="0.75">
      <c r="A504" t="s">
        <v>2605</v>
      </c>
      <c r="B504" t="s">
        <v>141</v>
      </c>
      <c r="C504">
        <v>398</v>
      </c>
    </row>
    <row r="505" spans="1:3" x14ac:dyDescent="0.75">
      <c r="A505" t="s">
        <v>1792</v>
      </c>
      <c r="B505" t="s">
        <v>1793</v>
      </c>
      <c r="C505">
        <v>393</v>
      </c>
    </row>
    <row r="506" spans="1:3" x14ac:dyDescent="0.75">
      <c r="A506" t="s">
        <v>1104</v>
      </c>
      <c r="B506" t="s">
        <v>243</v>
      </c>
      <c r="C506">
        <v>390</v>
      </c>
    </row>
    <row r="507" spans="1:3" x14ac:dyDescent="0.75">
      <c r="A507" t="s">
        <v>1808</v>
      </c>
      <c r="B507" t="s">
        <v>1809</v>
      </c>
      <c r="C507">
        <v>382</v>
      </c>
    </row>
    <row r="508" spans="1:3" x14ac:dyDescent="0.75">
      <c r="A508" t="s">
        <v>2193</v>
      </c>
      <c r="B508" t="s">
        <v>2194</v>
      </c>
      <c r="C508">
        <v>378</v>
      </c>
    </row>
    <row r="509" spans="1:3" x14ac:dyDescent="0.75">
      <c r="A509" t="s">
        <v>2380</v>
      </c>
      <c r="B509" t="s">
        <v>2381</v>
      </c>
      <c r="C509">
        <v>375</v>
      </c>
    </row>
    <row r="510" spans="1:3" x14ac:dyDescent="0.75">
      <c r="A510" t="s">
        <v>2261</v>
      </c>
      <c r="B510" t="s">
        <v>2262</v>
      </c>
      <c r="C510">
        <v>374</v>
      </c>
    </row>
    <row r="511" spans="1:3" x14ac:dyDescent="0.75">
      <c r="A511" t="s">
        <v>1656</v>
      </c>
      <c r="B511" t="s">
        <v>1657</v>
      </c>
      <c r="C511">
        <v>362</v>
      </c>
    </row>
    <row r="512" spans="1:3" x14ac:dyDescent="0.75">
      <c r="A512" t="s">
        <v>2486</v>
      </c>
      <c r="B512" t="s">
        <v>2487</v>
      </c>
      <c r="C512">
        <v>362</v>
      </c>
    </row>
    <row r="513" spans="1:3" x14ac:dyDescent="0.75">
      <c r="A513" t="s">
        <v>1613</v>
      </c>
      <c r="B513" t="s">
        <v>1614</v>
      </c>
      <c r="C513">
        <v>356</v>
      </c>
    </row>
    <row r="514" spans="1:3" x14ac:dyDescent="0.75">
      <c r="A514" t="s">
        <v>2418</v>
      </c>
      <c r="B514" t="s">
        <v>2419</v>
      </c>
      <c r="C514">
        <v>348</v>
      </c>
    </row>
    <row r="515" spans="1:3" x14ac:dyDescent="0.75">
      <c r="A515" t="s">
        <v>1547</v>
      </c>
      <c r="B515" t="s">
        <v>1548</v>
      </c>
      <c r="C515">
        <v>343</v>
      </c>
    </row>
    <row r="516" spans="1:3" x14ac:dyDescent="0.75">
      <c r="A516" t="s">
        <v>1820</v>
      </c>
      <c r="B516" t="s">
        <v>1821</v>
      </c>
      <c r="C516">
        <v>331</v>
      </c>
    </row>
    <row r="517" spans="1:3" x14ac:dyDescent="0.75">
      <c r="A517" t="s">
        <v>1611</v>
      </c>
      <c r="B517" t="s">
        <v>1612</v>
      </c>
      <c r="C517">
        <v>321</v>
      </c>
    </row>
    <row r="518" spans="1:3" x14ac:dyDescent="0.75">
      <c r="A518" t="s">
        <v>1738</v>
      </c>
      <c r="B518" t="s">
        <v>1739</v>
      </c>
      <c r="C518">
        <v>320</v>
      </c>
    </row>
    <row r="519" spans="1:3" x14ac:dyDescent="0.75">
      <c r="A519" t="s">
        <v>2213</v>
      </c>
      <c r="B519" t="s">
        <v>2214</v>
      </c>
      <c r="C519">
        <v>319</v>
      </c>
    </row>
    <row r="520" spans="1:3" x14ac:dyDescent="0.75">
      <c r="A520" t="s">
        <v>1670</v>
      </c>
      <c r="B520" t="s">
        <v>1250</v>
      </c>
      <c r="C520">
        <v>319</v>
      </c>
    </row>
    <row r="521" spans="1:3" x14ac:dyDescent="0.75">
      <c r="A521" t="s">
        <v>2653</v>
      </c>
      <c r="B521" t="s">
        <v>2654</v>
      </c>
      <c r="C521">
        <v>311</v>
      </c>
    </row>
    <row r="522" spans="1:3" x14ac:dyDescent="0.75">
      <c r="A522" t="s">
        <v>1623</v>
      </c>
      <c r="B522" t="s">
        <v>1624</v>
      </c>
      <c r="C522">
        <v>307</v>
      </c>
    </row>
    <row r="523" spans="1:3" x14ac:dyDescent="0.75">
      <c r="A523" t="s">
        <v>1794</v>
      </c>
      <c r="B523" t="s">
        <v>1795</v>
      </c>
      <c r="C523">
        <v>302</v>
      </c>
    </row>
    <row r="524" spans="1:3" x14ac:dyDescent="0.75">
      <c r="A524" t="s">
        <v>1742</v>
      </c>
      <c r="B524" t="s">
        <v>1743</v>
      </c>
      <c r="C524">
        <v>299</v>
      </c>
    </row>
    <row r="525" spans="1:3" x14ac:dyDescent="0.75">
      <c r="A525" t="s">
        <v>1579</v>
      </c>
      <c r="B525" t="s">
        <v>1580</v>
      </c>
      <c r="C525">
        <v>293</v>
      </c>
    </row>
    <row r="526" spans="1:3" x14ac:dyDescent="0.75">
      <c r="A526" t="s">
        <v>2657</v>
      </c>
      <c r="B526" t="s">
        <v>2658</v>
      </c>
      <c r="C526">
        <v>285</v>
      </c>
    </row>
    <row r="527" spans="1:3" x14ac:dyDescent="0.75">
      <c r="A527" t="s">
        <v>1583</v>
      </c>
      <c r="B527" t="s">
        <v>1584</v>
      </c>
      <c r="C527">
        <v>278</v>
      </c>
    </row>
    <row r="528" spans="1:3" x14ac:dyDescent="0.75">
      <c r="A528" t="s">
        <v>2225</v>
      </c>
      <c r="B528" t="s">
        <v>2226</v>
      </c>
      <c r="C528">
        <v>276</v>
      </c>
    </row>
    <row r="529" spans="1:3" x14ac:dyDescent="0.75">
      <c r="A529" t="s">
        <v>2539</v>
      </c>
      <c r="B529" t="s">
        <v>2540</v>
      </c>
      <c r="C529">
        <v>274</v>
      </c>
    </row>
    <row r="530" spans="1:3" x14ac:dyDescent="0.75">
      <c r="A530" t="s">
        <v>561</v>
      </c>
      <c r="B530" t="s">
        <v>562</v>
      </c>
      <c r="C530">
        <v>273</v>
      </c>
    </row>
    <row r="531" spans="1:3" x14ac:dyDescent="0.75">
      <c r="A531" t="s">
        <v>2957</v>
      </c>
      <c r="B531" t="s">
        <v>2958</v>
      </c>
      <c r="C531">
        <v>266</v>
      </c>
    </row>
    <row r="532" spans="1:3" x14ac:dyDescent="0.75">
      <c r="A532" t="s">
        <v>2505</v>
      </c>
      <c r="B532" t="s">
        <v>2506</v>
      </c>
      <c r="C532">
        <v>264</v>
      </c>
    </row>
    <row r="533" spans="1:3" x14ac:dyDescent="0.75">
      <c r="A533" t="s">
        <v>1824</v>
      </c>
      <c r="B533" t="s">
        <v>119</v>
      </c>
      <c r="C533">
        <v>264</v>
      </c>
    </row>
    <row r="534" spans="1:3" x14ac:dyDescent="0.75">
      <c r="A534" t="s">
        <v>2284</v>
      </c>
      <c r="B534" t="s">
        <v>2285</v>
      </c>
      <c r="C534">
        <v>259</v>
      </c>
    </row>
    <row r="535" spans="1:3" x14ac:dyDescent="0.75">
      <c r="A535" t="s">
        <v>2259</v>
      </c>
      <c r="B535" t="s">
        <v>2260</v>
      </c>
      <c r="C535">
        <v>256</v>
      </c>
    </row>
    <row r="536" spans="1:3" x14ac:dyDescent="0.75">
      <c r="A536" t="s">
        <v>1646</v>
      </c>
      <c r="B536" t="s">
        <v>1647</v>
      </c>
      <c r="C536">
        <v>255</v>
      </c>
    </row>
    <row r="537" spans="1:3" x14ac:dyDescent="0.75">
      <c r="A537" t="s">
        <v>2412</v>
      </c>
      <c r="B537" t="s">
        <v>2413</v>
      </c>
      <c r="C537">
        <v>254</v>
      </c>
    </row>
    <row r="538" spans="1:3" x14ac:dyDescent="0.75">
      <c r="A538" t="s">
        <v>2339</v>
      </c>
      <c r="B538" t="s">
        <v>2340</v>
      </c>
      <c r="C538">
        <v>253</v>
      </c>
    </row>
    <row r="539" spans="1:3" x14ac:dyDescent="0.75">
      <c r="A539" t="s">
        <v>2338</v>
      </c>
      <c r="B539" t="s">
        <v>69</v>
      </c>
      <c r="C539">
        <v>252</v>
      </c>
    </row>
    <row r="540" spans="1:3" x14ac:dyDescent="0.75">
      <c r="A540" t="s">
        <v>2384</v>
      </c>
      <c r="B540" t="s">
        <v>2385</v>
      </c>
      <c r="C540">
        <v>252</v>
      </c>
    </row>
    <row r="541" spans="1:3" x14ac:dyDescent="0.75">
      <c r="A541" t="s">
        <v>2965</v>
      </c>
      <c r="B541" t="s">
        <v>2966</v>
      </c>
      <c r="C541">
        <v>251</v>
      </c>
    </row>
    <row r="542" spans="1:3" x14ac:dyDescent="0.75">
      <c r="A542" t="s">
        <v>1563</v>
      </c>
      <c r="B542" t="s">
        <v>1564</v>
      </c>
      <c r="C542">
        <v>249</v>
      </c>
    </row>
    <row r="543" spans="1:3" x14ac:dyDescent="0.75">
      <c r="A543" t="s">
        <v>2535</v>
      </c>
      <c r="B543" t="s">
        <v>2536</v>
      </c>
      <c r="C543">
        <v>246</v>
      </c>
    </row>
    <row r="544" spans="1:3" x14ac:dyDescent="0.75">
      <c r="A544" t="s">
        <v>1722</v>
      </c>
      <c r="B544" t="s">
        <v>1723</v>
      </c>
      <c r="C544">
        <v>246</v>
      </c>
    </row>
    <row r="545" spans="1:3" x14ac:dyDescent="0.75">
      <c r="A545" t="s">
        <v>1605</v>
      </c>
      <c r="B545" t="s">
        <v>1606</v>
      </c>
      <c r="C545">
        <v>245</v>
      </c>
    </row>
    <row r="546" spans="1:3" x14ac:dyDescent="0.75">
      <c r="A546" t="s">
        <v>2615</v>
      </c>
      <c r="B546" t="s">
        <v>2616</v>
      </c>
      <c r="C546">
        <v>245</v>
      </c>
    </row>
    <row r="547" spans="1:3" x14ac:dyDescent="0.75">
      <c r="A547" t="s">
        <v>2625</v>
      </c>
      <c r="B547" t="s">
        <v>2626</v>
      </c>
      <c r="C547">
        <v>245</v>
      </c>
    </row>
    <row r="548" spans="1:3" x14ac:dyDescent="0.75">
      <c r="A548" t="s">
        <v>2400</v>
      </c>
      <c r="B548" t="s">
        <v>2401</v>
      </c>
      <c r="C548">
        <v>244</v>
      </c>
    </row>
    <row r="549" spans="1:3" x14ac:dyDescent="0.75">
      <c r="A549" t="s">
        <v>2440</v>
      </c>
      <c r="B549" t="s">
        <v>2441</v>
      </c>
      <c r="C549">
        <v>243</v>
      </c>
    </row>
    <row r="550" spans="1:3" x14ac:dyDescent="0.75">
      <c r="A550" t="s">
        <v>1812</v>
      </c>
      <c r="B550" t="s">
        <v>1813</v>
      </c>
      <c r="C550">
        <v>242</v>
      </c>
    </row>
    <row r="551" spans="1:3" x14ac:dyDescent="0.75">
      <c r="A551" t="s">
        <v>2458</v>
      </c>
      <c r="B551" t="s">
        <v>2459</v>
      </c>
      <c r="C551">
        <v>239</v>
      </c>
    </row>
    <row r="552" spans="1:3" x14ac:dyDescent="0.75">
      <c r="A552" t="s">
        <v>1609</v>
      </c>
      <c r="B552" t="s">
        <v>1610</v>
      </c>
      <c r="C552">
        <v>235</v>
      </c>
    </row>
    <row r="553" spans="1:3" x14ac:dyDescent="0.75">
      <c r="A553" t="s">
        <v>2621</v>
      </c>
      <c r="B553" t="s">
        <v>2622</v>
      </c>
      <c r="C553">
        <v>231</v>
      </c>
    </row>
    <row r="554" spans="1:3" x14ac:dyDescent="0.75">
      <c r="A554" t="s">
        <v>2304</v>
      </c>
      <c r="B554" t="s">
        <v>2305</v>
      </c>
      <c r="C554">
        <v>227</v>
      </c>
    </row>
    <row r="555" spans="1:3" x14ac:dyDescent="0.75">
      <c r="A555" t="s">
        <v>2623</v>
      </c>
      <c r="B555" t="s">
        <v>2624</v>
      </c>
      <c r="C555">
        <v>227</v>
      </c>
    </row>
    <row r="556" spans="1:3" x14ac:dyDescent="0.75">
      <c r="A556" t="s">
        <v>1577</v>
      </c>
      <c r="B556" t="s">
        <v>1578</v>
      </c>
      <c r="C556">
        <v>224</v>
      </c>
    </row>
    <row r="557" spans="1:3" x14ac:dyDescent="0.75">
      <c r="A557" t="s">
        <v>2896</v>
      </c>
      <c r="B557" t="s">
        <v>2897</v>
      </c>
      <c r="C557">
        <v>216</v>
      </c>
    </row>
    <row r="558" spans="1:3" x14ac:dyDescent="0.75">
      <c r="A558" t="s">
        <v>2963</v>
      </c>
      <c r="B558" t="s">
        <v>2964</v>
      </c>
      <c r="C558">
        <v>213</v>
      </c>
    </row>
    <row r="559" spans="1:3" x14ac:dyDescent="0.75">
      <c r="A559" t="s">
        <v>1642</v>
      </c>
      <c r="B559" t="s">
        <v>1643</v>
      </c>
      <c r="C559">
        <v>212</v>
      </c>
    </row>
    <row r="560" spans="1:3" x14ac:dyDescent="0.75">
      <c r="A560" t="s">
        <v>1587</v>
      </c>
      <c r="B560" t="s">
        <v>1588</v>
      </c>
      <c r="C560">
        <v>211</v>
      </c>
    </row>
    <row r="561" spans="1:3" x14ac:dyDescent="0.75">
      <c r="A561" t="s">
        <v>1804</v>
      </c>
      <c r="B561" t="s">
        <v>1805</v>
      </c>
      <c r="C561">
        <v>203</v>
      </c>
    </row>
    <row r="562" spans="1:3" x14ac:dyDescent="0.75">
      <c r="A562" t="s">
        <v>2328</v>
      </c>
      <c r="B562" t="s">
        <v>2329</v>
      </c>
      <c r="C562">
        <v>202</v>
      </c>
    </row>
    <row r="563" spans="1:3" x14ac:dyDescent="0.75">
      <c r="A563" t="s">
        <v>2460</v>
      </c>
      <c r="B563" t="s">
        <v>2461</v>
      </c>
      <c r="C563">
        <v>202</v>
      </c>
    </row>
    <row r="564" spans="1:3" x14ac:dyDescent="0.75">
      <c r="A564" t="s">
        <v>2609</v>
      </c>
      <c r="B564" t="s">
        <v>2610</v>
      </c>
      <c r="C564">
        <v>199</v>
      </c>
    </row>
    <row r="565" spans="1:3" x14ac:dyDescent="0.75">
      <c r="A565" t="s">
        <v>2517</v>
      </c>
      <c r="B565" t="s">
        <v>2518</v>
      </c>
      <c r="C565">
        <v>198</v>
      </c>
    </row>
    <row r="566" spans="1:3" x14ac:dyDescent="0.75">
      <c r="A566" t="s">
        <v>2898</v>
      </c>
      <c r="B566" t="s">
        <v>2899</v>
      </c>
      <c r="C566">
        <v>198</v>
      </c>
    </row>
    <row r="567" spans="1:3" x14ac:dyDescent="0.75">
      <c r="A567" t="s">
        <v>2509</v>
      </c>
      <c r="B567" t="s">
        <v>2510</v>
      </c>
      <c r="C567">
        <v>194</v>
      </c>
    </row>
    <row r="568" spans="1:3" x14ac:dyDescent="0.75">
      <c r="A568" t="s">
        <v>2302</v>
      </c>
      <c r="B568" t="s">
        <v>2303</v>
      </c>
      <c r="C568">
        <v>190</v>
      </c>
    </row>
    <row r="569" spans="1:3" x14ac:dyDescent="0.75">
      <c r="A569" t="s">
        <v>2229</v>
      </c>
      <c r="B569" t="s">
        <v>2230</v>
      </c>
      <c r="C569">
        <v>189</v>
      </c>
    </row>
    <row r="570" spans="1:3" x14ac:dyDescent="0.75">
      <c r="A570" t="s">
        <v>558</v>
      </c>
      <c r="B570" t="s">
        <v>559</v>
      </c>
      <c r="C570">
        <v>187</v>
      </c>
    </row>
    <row r="571" spans="1:3" x14ac:dyDescent="0.75">
      <c r="A571" t="s">
        <v>1692</v>
      </c>
      <c r="B571" t="s">
        <v>1693</v>
      </c>
      <c r="C571">
        <v>185</v>
      </c>
    </row>
    <row r="572" spans="1:3" x14ac:dyDescent="0.75">
      <c r="A572" t="s">
        <v>1615</v>
      </c>
      <c r="B572" t="s">
        <v>1616</v>
      </c>
      <c r="C572">
        <v>184</v>
      </c>
    </row>
    <row r="573" spans="1:3" x14ac:dyDescent="0.75">
      <c r="A573" t="s">
        <v>1694</v>
      </c>
      <c r="B573" t="s">
        <v>1695</v>
      </c>
      <c r="C573">
        <v>183</v>
      </c>
    </row>
    <row r="574" spans="1:3" x14ac:dyDescent="0.75">
      <c r="A574" t="s">
        <v>1678</v>
      </c>
      <c r="B574" t="s">
        <v>1679</v>
      </c>
      <c r="C574">
        <v>183</v>
      </c>
    </row>
    <row r="575" spans="1:3" x14ac:dyDescent="0.75">
      <c r="A575" t="s">
        <v>2961</v>
      </c>
      <c r="B575" t="s">
        <v>2962</v>
      </c>
      <c r="C575">
        <v>183</v>
      </c>
    </row>
    <row r="576" spans="1:3" x14ac:dyDescent="0.75">
      <c r="A576" t="s">
        <v>2904</v>
      </c>
      <c r="B576" t="s">
        <v>461</v>
      </c>
      <c r="C576">
        <v>180</v>
      </c>
    </row>
    <row r="577" spans="1:3" x14ac:dyDescent="0.75">
      <c r="A577" t="s">
        <v>1690</v>
      </c>
      <c r="B577" t="s">
        <v>1691</v>
      </c>
      <c r="C577">
        <v>179</v>
      </c>
    </row>
    <row r="578" spans="1:3" x14ac:dyDescent="0.75">
      <c r="A578" t="s">
        <v>2692</v>
      </c>
      <c r="B578" t="s">
        <v>2693</v>
      </c>
      <c r="C578">
        <v>178</v>
      </c>
    </row>
    <row r="579" spans="1:3" x14ac:dyDescent="0.75">
      <c r="A579" t="s">
        <v>2452</v>
      </c>
      <c r="B579" t="s">
        <v>2453</v>
      </c>
      <c r="C579">
        <v>178</v>
      </c>
    </row>
    <row r="580" spans="1:3" x14ac:dyDescent="0.75">
      <c r="A580" t="s">
        <v>2464</v>
      </c>
      <c r="B580" t="s">
        <v>2465</v>
      </c>
      <c r="C580">
        <v>175</v>
      </c>
    </row>
    <row r="581" spans="1:3" x14ac:dyDescent="0.75">
      <c r="A581" t="s">
        <v>2398</v>
      </c>
      <c r="B581" t="s">
        <v>2399</v>
      </c>
      <c r="C581">
        <v>174</v>
      </c>
    </row>
    <row r="582" spans="1:3" x14ac:dyDescent="0.75">
      <c r="A582" t="s">
        <v>2633</v>
      </c>
      <c r="B582" t="s">
        <v>2634</v>
      </c>
      <c r="C582">
        <v>169</v>
      </c>
    </row>
    <row r="583" spans="1:3" x14ac:dyDescent="0.75">
      <c r="A583" t="s">
        <v>1589</v>
      </c>
      <c r="B583" t="s">
        <v>1590</v>
      </c>
      <c r="C583">
        <v>167</v>
      </c>
    </row>
    <row r="584" spans="1:3" x14ac:dyDescent="0.75">
      <c r="A584" t="s">
        <v>2480</v>
      </c>
      <c r="B584" t="s">
        <v>2481</v>
      </c>
      <c r="C584">
        <v>166</v>
      </c>
    </row>
    <row r="585" spans="1:3" x14ac:dyDescent="0.75">
      <c r="A585" t="s">
        <v>2478</v>
      </c>
      <c r="B585" t="s">
        <v>2479</v>
      </c>
      <c r="C585">
        <v>165</v>
      </c>
    </row>
    <row r="586" spans="1:3" x14ac:dyDescent="0.75">
      <c r="A586" t="s">
        <v>1575</v>
      </c>
      <c r="B586" t="s">
        <v>1576</v>
      </c>
      <c r="C586">
        <v>164</v>
      </c>
    </row>
    <row r="587" spans="1:3" x14ac:dyDescent="0.75">
      <c r="A587" t="s">
        <v>2906</v>
      </c>
      <c r="B587" t="s">
        <v>468</v>
      </c>
      <c r="C587">
        <v>164</v>
      </c>
    </row>
    <row r="588" spans="1:3" x14ac:dyDescent="0.75">
      <c r="A588" t="s">
        <v>2686</v>
      </c>
      <c r="B588" t="s">
        <v>2687</v>
      </c>
      <c r="C588">
        <v>162</v>
      </c>
    </row>
    <row r="589" spans="1:3" x14ac:dyDescent="0.75">
      <c r="A589" t="s">
        <v>1704</v>
      </c>
      <c r="B589" t="s">
        <v>1705</v>
      </c>
      <c r="C589">
        <v>162</v>
      </c>
    </row>
    <row r="590" spans="1:3" x14ac:dyDescent="0.75">
      <c r="A590" t="s">
        <v>2336</v>
      </c>
      <c r="B590" t="s">
        <v>2337</v>
      </c>
      <c r="C590">
        <v>161</v>
      </c>
    </row>
    <row r="591" spans="1:3" x14ac:dyDescent="0.75">
      <c r="A591" t="s">
        <v>2288</v>
      </c>
      <c r="B591" t="s">
        <v>2289</v>
      </c>
      <c r="C591">
        <v>158</v>
      </c>
    </row>
    <row r="592" spans="1:3" x14ac:dyDescent="0.75">
      <c r="A592" t="s">
        <v>1802</v>
      </c>
      <c r="B592" t="s">
        <v>1803</v>
      </c>
      <c r="C592">
        <v>158</v>
      </c>
    </row>
    <row r="593" spans="1:3" x14ac:dyDescent="0.75">
      <c r="A593" t="s">
        <v>1720</v>
      </c>
      <c r="B593" t="s">
        <v>69</v>
      </c>
      <c r="C593">
        <v>151</v>
      </c>
    </row>
    <row r="594" spans="1:3" x14ac:dyDescent="0.75">
      <c r="A594" t="s">
        <v>2468</v>
      </c>
      <c r="B594" t="s">
        <v>2469</v>
      </c>
      <c r="C594">
        <v>148</v>
      </c>
    </row>
    <row r="595" spans="1:3" x14ac:dyDescent="0.75">
      <c r="A595" t="s">
        <v>1596</v>
      </c>
      <c r="B595" t="s">
        <v>1597</v>
      </c>
      <c r="C595">
        <v>147</v>
      </c>
    </row>
    <row r="596" spans="1:3" x14ac:dyDescent="0.75">
      <c r="A596" t="s">
        <v>2223</v>
      </c>
      <c r="B596" t="s">
        <v>2224</v>
      </c>
      <c r="C596">
        <v>145</v>
      </c>
    </row>
    <row r="597" spans="1:3" x14ac:dyDescent="0.75">
      <c r="A597" t="s">
        <v>1617</v>
      </c>
      <c r="B597" t="s">
        <v>1618</v>
      </c>
      <c r="C597">
        <v>145</v>
      </c>
    </row>
    <row r="598" spans="1:3" x14ac:dyDescent="0.75">
      <c r="A598" t="s">
        <v>1818</v>
      </c>
      <c r="B598" t="s">
        <v>1819</v>
      </c>
      <c r="C598">
        <v>144</v>
      </c>
    </row>
    <row r="599" spans="1:3" x14ac:dyDescent="0.75">
      <c r="A599" t="s">
        <v>1621</v>
      </c>
      <c r="B599" t="s">
        <v>1622</v>
      </c>
      <c r="C599">
        <v>143</v>
      </c>
    </row>
    <row r="600" spans="1:3" x14ac:dyDescent="0.75">
      <c r="A600" t="s">
        <v>2265</v>
      </c>
      <c r="B600" t="s">
        <v>2266</v>
      </c>
      <c r="C600">
        <v>140</v>
      </c>
    </row>
    <row r="601" spans="1:3" x14ac:dyDescent="0.75">
      <c r="A601" t="s">
        <v>1652</v>
      </c>
      <c r="B601" t="s">
        <v>1258</v>
      </c>
      <c r="C601">
        <v>139</v>
      </c>
    </row>
    <row r="602" spans="1:3" x14ac:dyDescent="0.75">
      <c r="A602" t="s">
        <v>2905</v>
      </c>
      <c r="B602" t="s">
        <v>466</v>
      </c>
      <c r="C602">
        <v>138</v>
      </c>
    </row>
    <row r="603" spans="1:3" x14ac:dyDescent="0.75">
      <c r="A603" t="s">
        <v>2900</v>
      </c>
      <c r="B603" t="s">
        <v>2901</v>
      </c>
      <c r="C603">
        <v>136</v>
      </c>
    </row>
    <row r="604" spans="1:3" x14ac:dyDescent="0.75">
      <c r="A604" t="s">
        <v>1708</v>
      </c>
      <c r="B604" t="s">
        <v>1709</v>
      </c>
      <c r="C604">
        <v>135</v>
      </c>
    </row>
    <row r="605" spans="1:3" x14ac:dyDescent="0.75">
      <c r="A605" t="s">
        <v>2201</v>
      </c>
      <c r="B605" t="s">
        <v>2202</v>
      </c>
      <c r="C605">
        <v>135</v>
      </c>
    </row>
    <row r="606" spans="1:3" x14ac:dyDescent="0.75">
      <c r="A606" t="s">
        <v>2902</v>
      </c>
      <c r="B606" t="s">
        <v>2903</v>
      </c>
      <c r="C606">
        <v>134</v>
      </c>
    </row>
    <row r="607" spans="1:3" x14ac:dyDescent="0.75">
      <c r="A607" t="s">
        <v>2286</v>
      </c>
      <c r="B607" t="s">
        <v>2287</v>
      </c>
      <c r="C607">
        <v>130</v>
      </c>
    </row>
    <row r="608" spans="1:3" x14ac:dyDescent="0.75">
      <c r="A608" t="s">
        <v>2603</v>
      </c>
      <c r="B608" t="s">
        <v>2604</v>
      </c>
      <c r="C608">
        <v>129</v>
      </c>
    </row>
    <row r="609" spans="1:3" x14ac:dyDescent="0.75">
      <c r="A609" t="s">
        <v>2267</v>
      </c>
      <c r="B609" t="s">
        <v>2268</v>
      </c>
      <c r="C609">
        <v>129</v>
      </c>
    </row>
    <row r="610" spans="1:3" x14ac:dyDescent="0.75">
      <c r="A610" t="s">
        <v>1666</v>
      </c>
      <c r="B610" t="s">
        <v>1667</v>
      </c>
      <c r="C610">
        <v>128</v>
      </c>
    </row>
    <row r="611" spans="1:3" x14ac:dyDescent="0.75">
      <c r="A611" t="s">
        <v>2635</v>
      </c>
      <c r="B611" t="s">
        <v>2636</v>
      </c>
      <c r="C611">
        <v>127</v>
      </c>
    </row>
    <row r="612" spans="1:3" x14ac:dyDescent="0.75">
      <c r="A612" t="s">
        <v>2593</v>
      </c>
      <c r="B612" t="s">
        <v>2594</v>
      </c>
      <c r="C612">
        <v>127</v>
      </c>
    </row>
    <row r="613" spans="1:3" x14ac:dyDescent="0.75">
      <c r="A613" t="s">
        <v>1627</v>
      </c>
      <c r="B613" t="s">
        <v>1628</v>
      </c>
      <c r="C613">
        <v>127</v>
      </c>
    </row>
    <row r="614" spans="1:3" x14ac:dyDescent="0.75">
      <c r="A614" t="s">
        <v>2343</v>
      </c>
      <c r="B614" t="s">
        <v>2344</v>
      </c>
      <c r="C614">
        <v>126</v>
      </c>
    </row>
    <row r="615" spans="1:3" x14ac:dyDescent="0.75">
      <c r="A615" t="s">
        <v>1746</v>
      </c>
      <c r="B615" t="s">
        <v>1747</v>
      </c>
      <c r="C615">
        <v>125</v>
      </c>
    </row>
    <row r="616" spans="1:3" x14ac:dyDescent="0.75">
      <c r="A616" t="s">
        <v>2448</v>
      </c>
      <c r="B616" t="s">
        <v>2449</v>
      </c>
      <c r="C616">
        <v>125</v>
      </c>
    </row>
    <row r="617" spans="1:3" x14ac:dyDescent="0.75">
      <c r="A617" t="s">
        <v>1644</v>
      </c>
      <c r="B617" t="s">
        <v>1645</v>
      </c>
      <c r="C617">
        <v>124</v>
      </c>
    </row>
    <row r="618" spans="1:3" x14ac:dyDescent="0.75">
      <c r="A618" t="s">
        <v>2414</v>
      </c>
      <c r="B618" t="s">
        <v>2415</v>
      </c>
      <c r="C618">
        <v>124</v>
      </c>
    </row>
    <row r="619" spans="1:3" x14ac:dyDescent="0.75">
      <c r="A619" t="s">
        <v>2316</v>
      </c>
      <c r="B619" t="s">
        <v>2317</v>
      </c>
      <c r="C619">
        <v>123</v>
      </c>
    </row>
    <row r="620" spans="1:3" x14ac:dyDescent="0.75">
      <c r="A620" t="s">
        <v>2559</v>
      </c>
      <c r="B620" t="s">
        <v>2560</v>
      </c>
      <c r="C620">
        <v>122</v>
      </c>
    </row>
    <row r="621" spans="1:3" x14ac:dyDescent="0.75">
      <c r="A621" t="s">
        <v>2521</v>
      </c>
      <c r="B621" t="s">
        <v>2522</v>
      </c>
      <c r="C621">
        <v>121</v>
      </c>
    </row>
    <row r="622" spans="1:3" x14ac:dyDescent="0.75">
      <c r="A622" t="s">
        <v>1816</v>
      </c>
      <c r="B622" t="s">
        <v>1817</v>
      </c>
      <c r="C622">
        <v>121</v>
      </c>
    </row>
    <row r="623" spans="1:3" x14ac:dyDescent="0.75">
      <c r="A623" t="s">
        <v>2231</v>
      </c>
      <c r="B623" t="s">
        <v>2232</v>
      </c>
      <c r="C623">
        <v>121</v>
      </c>
    </row>
    <row r="624" spans="1:3" x14ac:dyDescent="0.75">
      <c r="A624" t="s">
        <v>2351</v>
      </c>
      <c r="B624" t="s">
        <v>2352</v>
      </c>
      <c r="C624">
        <v>119</v>
      </c>
    </row>
    <row r="625" spans="1:3" x14ac:dyDescent="0.75">
      <c r="A625" t="s">
        <v>2312</v>
      </c>
      <c r="B625" t="s">
        <v>2313</v>
      </c>
      <c r="C625">
        <v>119</v>
      </c>
    </row>
    <row r="626" spans="1:3" x14ac:dyDescent="0.75">
      <c r="A626" t="s">
        <v>2511</v>
      </c>
      <c r="B626" t="s">
        <v>2512</v>
      </c>
      <c r="C626">
        <v>117</v>
      </c>
    </row>
    <row r="627" spans="1:3" x14ac:dyDescent="0.75">
      <c r="A627" t="s">
        <v>2525</v>
      </c>
      <c r="B627" t="s">
        <v>2526</v>
      </c>
      <c r="C627">
        <v>116</v>
      </c>
    </row>
    <row r="628" spans="1:3" x14ac:dyDescent="0.75">
      <c r="A628" t="s">
        <v>1625</v>
      </c>
      <c r="B628" t="s">
        <v>1626</v>
      </c>
      <c r="C628">
        <v>115</v>
      </c>
    </row>
    <row r="629" spans="1:3" x14ac:dyDescent="0.75">
      <c r="A629" t="s">
        <v>2221</v>
      </c>
      <c r="B629" t="s">
        <v>886</v>
      </c>
      <c r="C629">
        <v>114</v>
      </c>
    </row>
    <row r="630" spans="1:3" x14ac:dyDescent="0.75">
      <c r="A630" t="s">
        <v>1814</v>
      </c>
      <c r="B630" t="s">
        <v>1280</v>
      </c>
      <c r="C630">
        <v>112</v>
      </c>
    </row>
    <row r="631" spans="1:3" x14ac:dyDescent="0.75">
      <c r="A631" t="s">
        <v>1822</v>
      </c>
      <c r="B631" t="s">
        <v>1823</v>
      </c>
      <c r="C631">
        <v>112</v>
      </c>
    </row>
    <row r="632" spans="1:3" x14ac:dyDescent="0.75">
      <c r="A632" t="s">
        <v>2382</v>
      </c>
      <c r="B632" t="s">
        <v>2383</v>
      </c>
      <c r="C632">
        <v>111</v>
      </c>
    </row>
    <row r="633" spans="1:3" x14ac:dyDescent="0.75">
      <c r="A633" t="s">
        <v>2386</v>
      </c>
      <c r="B633" t="s">
        <v>2387</v>
      </c>
      <c r="C633">
        <v>111</v>
      </c>
    </row>
    <row r="634" spans="1:3" x14ac:dyDescent="0.75">
      <c r="A634" t="s">
        <v>1640</v>
      </c>
      <c r="B634" t="s">
        <v>1641</v>
      </c>
      <c r="C634">
        <v>110</v>
      </c>
    </row>
    <row r="635" spans="1:3" x14ac:dyDescent="0.75">
      <c r="A635" t="s">
        <v>2629</v>
      </c>
      <c r="B635" t="s">
        <v>2630</v>
      </c>
      <c r="C635">
        <v>108</v>
      </c>
    </row>
    <row r="636" spans="1:3" x14ac:dyDescent="0.75">
      <c r="A636" t="s">
        <v>1658</v>
      </c>
      <c r="B636" t="s">
        <v>1659</v>
      </c>
      <c r="C636">
        <v>108</v>
      </c>
    </row>
    <row r="637" spans="1:3" x14ac:dyDescent="0.75">
      <c r="A637" t="s">
        <v>2436</v>
      </c>
      <c r="B637" t="s">
        <v>2437</v>
      </c>
      <c r="C637">
        <v>107</v>
      </c>
    </row>
    <row r="638" spans="1:3" x14ac:dyDescent="0.75">
      <c r="A638" t="s">
        <v>1662</v>
      </c>
      <c r="B638" t="s">
        <v>1663</v>
      </c>
      <c r="C638">
        <v>107</v>
      </c>
    </row>
    <row r="639" spans="1:3" x14ac:dyDescent="0.75">
      <c r="A639" t="s">
        <v>2466</v>
      </c>
      <c r="B639" t="s">
        <v>2467</v>
      </c>
      <c r="C639">
        <v>106</v>
      </c>
    </row>
    <row r="640" spans="1:3" x14ac:dyDescent="0.75">
      <c r="A640" t="s">
        <v>1725</v>
      </c>
      <c r="B640" t="s">
        <v>1726</v>
      </c>
      <c r="C640">
        <v>106</v>
      </c>
    </row>
    <row r="641" spans="1:3" x14ac:dyDescent="0.75">
      <c r="A641" t="s">
        <v>2293</v>
      </c>
      <c r="B641" t="s">
        <v>2294</v>
      </c>
      <c r="C641">
        <v>103</v>
      </c>
    </row>
    <row r="642" spans="1:3" x14ac:dyDescent="0.75">
      <c r="A642" t="s">
        <v>2527</v>
      </c>
      <c r="B642" t="s">
        <v>2528</v>
      </c>
      <c r="C642">
        <v>102</v>
      </c>
    </row>
    <row r="643" spans="1:3" x14ac:dyDescent="0.75">
      <c r="A643" t="s">
        <v>2410</v>
      </c>
      <c r="B643" t="s">
        <v>2411</v>
      </c>
      <c r="C643">
        <v>100</v>
      </c>
    </row>
    <row r="644" spans="1:3" x14ac:dyDescent="0.75">
      <c r="A644" t="s">
        <v>1573</v>
      </c>
      <c r="B644" t="s">
        <v>1574</v>
      </c>
      <c r="C644">
        <v>99</v>
      </c>
    </row>
    <row r="645" spans="1:3" x14ac:dyDescent="0.75">
      <c r="A645" t="s">
        <v>2255</v>
      </c>
      <c r="B645" t="s">
        <v>2256</v>
      </c>
      <c r="C645">
        <v>98</v>
      </c>
    </row>
    <row r="646" spans="1:3" x14ac:dyDescent="0.75">
      <c r="A646" t="s">
        <v>2655</v>
      </c>
      <c r="B646" t="s">
        <v>2656</v>
      </c>
      <c r="C646">
        <v>97</v>
      </c>
    </row>
    <row r="647" spans="1:3" x14ac:dyDescent="0.75">
      <c r="A647" t="s">
        <v>2345</v>
      </c>
      <c r="B647" t="s">
        <v>2346</v>
      </c>
      <c r="C647">
        <v>97</v>
      </c>
    </row>
    <row r="648" spans="1:3" x14ac:dyDescent="0.75">
      <c r="A648" t="s">
        <v>2355</v>
      </c>
      <c r="B648" t="s">
        <v>2356</v>
      </c>
      <c r="C648">
        <v>96</v>
      </c>
    </row>
    <row r="649" spans="1:3" x14ac:dyDescent="0.75">
      <c r="A649" t="s">
        <v>2476</v>
      </c>
      <c r="B649" t="s">
        <v>2477</v>
      </c>
      <c r="C649">
        <v>95</v>
      </c>
    </row>
    <row r="650" spans="1:3" x14ac:dyDescent="0.75">
      <c r="A650" t="s">
        <v>2271</v>
      </c>
      <c r="B650" t="s">
        <v>2272</v>
      </c>
      <c r="C650">
        <v>94</v>
      </c>
    </row>
    <row r="651" spans="1:3" x14ac:dyDescent="0.75">
      <c r="A651" t="s">
        <v>1601</v>
      </c>
      <c r="B651" t="s">
        <v>1602</v>
      </c>
      <c r="C651">
        <v>93</v>
      </c>
    </row>
    <row r="652" spans="1:3" x14ac:dyDescent="0.75">
      <c r="A652" t="s">
        <v>2470</v>
      </c>
      <c r="B652" t="s">
        <v>2471</v>
      </c>
      <c r="C652">
        <v>92</v>
      </c>
    </row>
    <row r="653" spans="1:3" x14ac:dyDescent="0.75">
      <c r="A653" t="s">
        <v>2209</v>
      </c>
      <c r="B653" t="s">
        <v>2210</v>
      </c>
      <c r="C653">
        <v>91</v>
      </c>
    </row>
    <row r="654" spans="1:3" x14ac:dyDescent="0.75">
      <c r="A654" t="s">
        <v>1654</v>
      </c>
      <c r="B654" t="s">
        <v>1655</v>
      </c>
      <c r="C654">
        <v>90</v>
      </c>
    </row>
    <row r="655" spans="1:3" x14ac:dyDescent="0.75">
      <c r="A655" t="s">
        <v>1700</v>
      </c>
      <c r="B655" t="s">
        <v>1701</v>
      </c>
      <c r="C655">
        <v>90</v>
      </c>
    </row>
    <row r="656" spans="1:3" x14ac:dyDescent="0.75">
      <c r="A656" t="s">
        <v>2282</v>
      </c>
      <c r="B656" t="s">
        <v>2283</v>
      </c>
      <c r="C656">
        <v>89</v>
      </c>
    </row>
    <row r="657" spans="1:3" x14ac:dyDescent="0.75">
      <c r="A657" t="s">
        <v>2263</v>
      </c>
      <c r="B657" t="s">
        <v>2264</v>
      </c>
      <c r="C657">
        <v>89</v>
      </c>
    </row>
    <row r="658" spans="1:3" x14ac:dyDescent="0.75">
      <c r="A658" t="s">
        <v>1716</v>
      </c>
      <c r="B658" t="s">
        <v>161</v>
      </c>
      <c r="C658">
        <v>87</v>
      </c>
    </row>
    <row r="659" spans="1:3" x14ac:dyDescent="0.75">
      <c r="A659" t="s">
        <v>1676</v>
      </c>
      <c r="B659" t="s">
        <v>1677</v>
      </c>
      <c r="C659">
        <v>86</v>
      </c>
    </row>
    <row r="660" spans="1:3" x14ac:dyDescent="0.75">
      <c r="A660" t="s">
        <v>2446</v>
      </c>
      <c r="B660" t="s">
        <v>2447</v>
      </c>
      <c r="C660">
        <v>85</v>
      </c>
    </row>
    <row r="661" spans="1:3" x14ac:dyDescent="0.75">
      <c r="A661" t="s">
        <v>2639</v>
      </c>
      <c r="B661" t="s">
        <v>920</v>
      </c>
      <c r="C661">
        <v>83</v>
      </c>
    </row>
    <row r="662" spans="1:3" x14ac:dyDescent="0.75">
      <c r="A662" t="s">
        <v>2330</v>
      </c>
      <c r="B662" t="s">
        <v>2331</v>
      </c>
      <c r="C662">
        <v>83</v>
      </c>
    </row>
    <row r="663" spans="1:3" x14ac:dyDescent="0.75">
      <c r="A663" t="s">
        <v>2297</v>
      </c>
      <c r="B663" t="s">
        <v>2298</v>
      </c>
      <c r="C663">
        <v>83</v>
      </c>
    </row>
    <row r="664" spans="1:3" x14ac:dyDescent="0.75">
      <c r="A664" t="s">
        <v>1706</v>
      </c>
      <c r="B664" t="s">
        <v>1707</v>
      </c>
      <c r="C664">
        <v>82</v>
      </c>
    </row>
    <row r="665" spans="1:3" x14ac:dyDescent="0.75">
      <c r="A665" t="s">
        <v>2601</v>
      </c>
      <c r="B665" t="s">
        <v>2602</v>
      </c>
      <c r="C665">
        <v>81</v>
      </c>
    </row>
    <row r="666" spans="1:3" x14ac:dyDescent="0.75">
      <c r="A666" t="s">
        <v>1702</v>
      </c>
      <c r="B666" t="s">
        <v>1703</v>
      </c>
      <c r="C666">
        <v>81</v>
      </c>
    </row>
    <row r="667" spans="1:3" x14ac:dyDescent="0.75">
      <c r="A667" t="s">
        <v>1798</v>
      </c>
      <c r="B667" t="s">
        <v>1799</v>
      </c>
      <c r="C667">
        <v>81</v>
      </c>
    </row>
    <row r="668" spans="1:3" x14ac:dyDescent="0.75">
      <c r="A668" t="s">
        <v>2326</v>
      </c>
      <c r="B668" t="s">
        <v>2327</v>
      </c>
      <c r="C668">
        <v>80</v>
      </c>
    </row>
    <row r="669" spans="1:3" x14ac:dyDescent="0.75">
      <c r="A669" t="s">
        <v>1718</v>
      </c>
      <c r="B669" t="s">
        <v>1719</v>
      </c>
      <c r="C669">
        <v>79</v>
      </c>
    </row>
    <row r="670" spans="1:3" x14ac:dyDescent="0.75">
      <c r="A670" t="s">
        <v>1603</v>
      </c>
      <c r="B670" t="s">
        <v>1604</v>
      </c>
      <c r="C670">
        <v>79</v>
      </c>
    </row>
    <row r="671" spans="1:3" x14ac:dyDescent="0.75">
      <c r="A671" t="s">
        <v>2499</v>
      </c>
      <c r="B671" t="s">
        <v>2500</v>
      </c>
      <c r="C671">
        <v>78</v>
      </c>
    </row>
    <row r="672" spans="1:3" x14ac:dyDescent="0.75">
      <c r="A672" t="s">
        <v>2450</v>
      </c>
      <c r="B672" t="s">
        <v>2451</v>
      </c>
      <c r="C672">
        <v>78</v>
      </c>
    </row>
    <row r="673" spans="1:3" x14ac:dyDescent="0.75">
      <c r="A673" t="s">
        <v>2295</v>
      </c>
      <c r="B673" t="s">
        <v>2296</v>
      </c>
      <c r="C673">
        <v>76</v>
      </c>
    </row>
    <row r="674" spans="1:3" x14ac:dyDescent="0.75">
      <c r="A674" t="s">
        <v>2637</v>
      </c>
      <c r="B674" t="s">
        <v>2638</v>
      </c>
      <c r="C674">
        <v>75</v>
      </c>
    </row>
    <row r="675" spans="1:3" x14ac:dyDescent="0.75">
      <c r="A675" t="s">
        <v>1638</v>
      </c>
      <c r="B675" t="s">
        <v>1639</v>
      </c>
      <c r="C675">
        <v>74</v>
      </c>
    </row>
    <row r="676" spans="1:3" x14ac:dyDescent="0.75">
      <c r="A676" t="s">
        <v>1749</v>
      </c>
      <c r="B676" t="s">
        <v>1750</v>
      </c>
      <c r="C676">
        <v>74</v>
      </c>
    </row>
    <row r="677" spans="1:3" x14ac:dyDescent="0.75">
      <c r="A677" t="s">
        <v>2577</v>
      </c>
      <c r="B677" t="s">
        <v>932</v>
      </c>
      <c r="C677">
        <v>74</v>
      </c>
    </row>
    <row r="678" spans="1:3" x14ac:dyDescent="0.75">
      <c r="A678" t="s">
        <v>2557</v>
      </c>
      <c r="B678" t="s">
        <v>2558</v>
      </c>
      <c r="C678">
        <v>72</v>
      </c>
    </row>
    <row r="679" spans="1:3" x14ac:dyDescent="0.75">
      <c r="A679" t="s">
        <v>2197</v>
      </c>
      <c r="B679" t="s">
        <v>2198</v>
      </c>
      <c r="C679">
        <v>72</v>
      </c>
    </row>
    <row r="680" spans="1:3" x14ac:dyDescent="0.75">
      <c r="A680" t="s">
        <v>1680</v>
      </c>
      <c r="B680" t="s">
        <v>1681</v>
      </c>
      <c r="C680">
        <v>71</v>
      </c>
    </row>
    <row r="681" spans="1:3" x14ac:dyDescent="0.75">
      <c r="A681" t="s">
        <v>2358</v>
      </c>
      <c r="B681" t="s">
        <v>2359</v>
      </c>
      <c r="C681">
        <v>69</v>
      </c>
    </row>
    <row r="682" spans="1:3" x14ac:dyDescent="0.75">
      <c r="A682" t="s">
        <v>2456</v>
      </c>
      <c r="B682" t="s">
        <v>891</v>
      </c>
      <c r="C682">
        <v>69</v>
      </c>
    </row>
    <row r="683" spans="1:3" x14ac:dyDescent="0.75">
      <c r="A683" t="s">
        <v>1800</v>
      </c>
      <c r="B683" t="s">
        <v>1801</v>
      </c>
      <c r="C683">
        <v>68</v>
      </c>
    </row>
    <row r="684" spans="1:3" x14ac:dyDescent="0.75">
      <c r="A684" t="s">
        <v>2416</v>
      </c>
      <c r="B684" t="s">
        <v>2417</v>
      </c>
      <c r="C684">
        <v>68</v>
      </c>
    </row>
    <row r="685" spans="1:3" x14ac:dyDescent="0.75">
      <c r="A685" t="s">
        <v>2322</v>
      </c>
      <c r="B685" t="s">
        <v>2323</v>
      </c>
      <c r="C685">
        <v>68</v>
      </c>
    </row>
    <row r="686" spans="1:3" x14ac:dyDescent="0.75">
      <c r="A686" t="s">
        <v>1630</v>
      </c>
      <c r="B686" t="s">
        <v>1631</v>
      </c>
      <c r="C686">
        <v>68</v>
      </c>
    </row>
    <row r="687" spans="1:3" x14ac:dyDescent="0.75">
      <c r="A687" t="s">
        <v>2434</v>
      </c>
      <c r="B687" t="s">
        <v>2435</v>
      </c>
      <c r="C687">
        <v>68</v>
      </c>
    </row>
    <row r="688" spans="1:3" x14ac:dyDescent="0.75">
      <c r="A688" t="s">
        <v>2555</v>
      </c>
      <c r="B688" t="s">
        <v>2556</v>
      </c>
      <c r="C688">
        <v>66</v>
      </c>
    </row>
    <row r="689" spans="1:3" x14ac:dyDescent="0.75">
      <c r="A689" t="s">
        <v>2967</v>
      </c>
      <c r="B689" t="s">
        <v>2968</v>
      </c>
      <c r="C689">
        <v>66</v>
      </c>
    </row>
    <row r="690" spans="1:3" x14ac:dyDescent="0.75">
      <c r="A690" t="s">
        <v>2643</v>
      </c>
      <c r="B690" t="s">
        <v>2644</v>
      </c>
      <c r="C690">
        <v>65</v>
      </c>
    </row>
    <row r="691" spans="1:3" x14ac:dyDescent="0.75">
      <c r="A691" t="s">
        <v>2299</v>
      </c>
      <c r="B691" t="s">
        <v>2300</v>
      </c>
      <c r="C691">
        <v>65</v>
      </c>
    </row>
    <row r="692" spans="1:3" x14ac:dyDescent="0.75">
      <c r="A692" t="s">
        <v>1543</v>
      </c>
      <c r="B692" t="s">
        <v>1544</v>
      </c>
      <c r="C692">
        <v>63</v>
      </c>
    </row>
    <row r="693" spans="1:3" x14ac:dyDescent="0.75">
      <c r="A693" t="s">
        <v>2368</v>
      </c>
      <c r="B693" t="s">
        <v>2369</v>
      </c>
      <c r="C693">
        <v>62</v>
      </c>
    </row>
    <row r="694" spans="1:3" x14ac:dyDescent="0.75">
      <c r="A694" t="s">
        <v>2239</v>
      </c>
      <c r="B694" t="s">
        <v>2240</v>
      </c>
      <c r="C694">
        <v>62</v>
      </c>
    </row>
    <row r="695" spans="1:3" x14ac:dyDescent="0.75">
      <c r="A695" t="s">
        <v>2349</v>
      </c>
      <c r="B695" t="s">
        <v>2350</v>
      </c>
      <c r="C695">
        <v>61</v>
      </c>
    </row>
    <row r="696" spans="1:3" x14ac:dyDescent="0.75">
      <c r="A696" t="s">
        <v>2442</v>
      </c>
      <c r="B696" t="s">
        <v>2443</v>
      </c>
      <c r="C696">
        <v>60</v>
      </c>
    </row>
    <row r="697" spans="1:3" x14ac:dyDescent="0.75">
      <c r="A697" t="s">
        <v>1686</v>
      </c>
      <c r="B697" t="s">
        <v>1687</v>
      </c>
      <c r="C697">
        <v>59</v>
      </c>
    </row>
    <row r="698" spans="1:3" x14ac:dyDescent="0.75">
      <c r="A698" t="s">
        <v>2597</v>
      </c>
      <c r="B698" t="s">
        <v>2598</v>
      </c>
      <c r="C698">
        <v>59</v>
      </c>
    </row>
    <row r="699" spans="1:3" x14ac:dyDescent="0.75">
      <c r="A699" t="s">
        <v>2378</v>
      </c>
      <c r="B699" t="s">
        <v>2379</v>
      </c>
      <c r="C699">
        <v>59</v>
      </c>
    </row>
    <row r="700" spans="1:3" x14ac:dyDescent="0.75">
      <c r="A700" t="s">
        <v>2503</v>
      </c>
      <c r="B700" t="s">
        <v>2504</v>
      </c>
      <c r="C700">
        <v>58</v>
      </c>
    </row>
    <row r="701" spans="1:3" x14ac:dyDescent="0.75">
      <c r="A701" t="s">
        <v>1660</v>
      </c>
      <c r="B701" t="s">
        <v>1661</v>
      </c>
      <c r="C701">
        <v>58</v>
      </c>
    </row>
    <row r="702" spans="1:3" x14ac:dyDescent="0.75">
      <c r="A702" t="s">
        <v>2444</v>
      </c>
      <c r="B702" t="s">
        <v>2445</v>
      </c>
      <c r="C702">
        <v>57</v>
      </c>
    </row>
    <row r="703" spans="1:3" x14ac:dyDescent="0.75">
      <c r="A703" t="s">
        <v>2341</v>
      </c>
      <c r="B703" t="s">
        <v>2342</v>
      </c>
      <c r="C703">
        <v>56</v>
      </c>
    </row>
    <row r="704" spans="1:3" x14ac:dyDescent="0.75">
      <c r="A704" t="s">
        <v>2575</v>
      </c>
      <c r="B704" t="s">
        <v>137</v>
      </c>
      <c r="C704">
        <v>56</v>
      </c>
    </row>
    <row r="705" spans="1:3" x14ac:dyDescent="0.75">
      <c r="A705" t="s">
        <v>2334</v>
      </c>
      <c r="B705" t="s">
        <v>2335</v>
      </c>
      <c r="C705">
        <v>55</v>
      </c>
    </row>
    <row r="706" spans="1:3" x14ac:dyDescent="0.75">
      <c r="A706" t="s">
        <v>2519</v>
      </c>
      <c r="B706" t="s">
        <v>2520</v>
      </c>
      <c r="C706">
        <v>54</v>
      </c>
    </row>
    <row r="707" spans="1:3" x14ac:dyDescent="0.75">
      <c r="A707" t="s">
        <v>2523</v>
      </c>
      <c r="B707" t="s">
        <v>2524</v>
      </c>
      <c r="C707">
        <v>54</v>
      </c>
    </row>
    <row r="708" spans="1:3" x14ac:dyDescent="0.75">
      <c r="A708" t="s">
        <v>2497</v>
      </c>
      <c r="B708" t="s">
        <v>2498</v>
      </c>
      <c r="C708">
        <v>54</v>
      </c>
    </row>
    <row r="709" spans="1:3" x14ac:dyDescent="0.75">
      <c r="A709" t="s">
        <v>2273</v>
      </c>
      <c r="B709" t="s">
        <v>2274</v>
      </c>
      <c r="C709">
        <v>53</v>
      </c>
    </row>
    <row r="710" spans="1:3" x14ac:dyDescent="0.75">
      <c r="A710" t="s">
        <v>2237</v>
      </c>
      <c r="B710" t="s">
        <v>2238</v>
      </c>
      <c r="C710">
        <v>53</v>
      </c>
    </row>
    <row r="711" spans="1:3" x14ac:dyDescent="0.75">
      <c r="A711" t="s">
        <v>2422</v>
      </c>
      <c r="B711" t="s">
        <v>2423</v>
      </c>
      <c r="C711">
        <v>52</v>
      </c>
    </row>
    <row r="712" spans="1:3" x14ac:dyDescent="0.75">
      <c r="A712" t="s">
        <v>2233</v>
      </c>
      <c r="B712" t="s">
        <v>2234</v>
      </c>
      <c r="C712">
        <v>51</v>
      </c>
    </row>
    <row r="713" spans="1:3" x14ac:dyDescent="0.75">
      <c r="A713" t="s">
        <v>2406</v>
      </c>
      <c r="B713" t="s">
        <v>2407</v>
      </c>
      <c r="C713">
        <v>50</v>
      </c>
    </row>
    <row r="714" spans="1:3" x14ac:dyDescent="0.75">
      <c r="A714" t="s">
        <v>2428</v>
      </c>
      <c r="B714" t="s">
        <v>2429</v>
      </c>
      <c r="C714">
        <v>49</v>
      </c>
    </row>
    <row r="715" spans="1:3" x14ac:dyDescent="0.75">
      <c r="A715" t="s">
        <v>2374</v>
      </c>
      <c r="B715" t="s">
        <v>2375</v>
      </c>
      <c r="C715">
        <v>49</v>
      </c>
    </row>
    <row r="716" spans="1:3" x14ac:dyDescent="0.75">
      <c r="A716" t="s">
        <v>2533</v>
      </c>
      <c r="B716" t="s">
        <v>2534</v>
      </c>
      <c r="C716">
        <v>48</v>
      </c>
    </row>
    <row r="717" spans="1:3" x14ac:dyDescent="0.75">
      <c r="A717" t="s">
        <v>2513</v>
      </c>
      <c r="B717" t="s">
        <v>2514</v>
      </c>
      <c r="C717">
        <v>47</v>
      </c>
    </row>
    <row r="718" spans="1:3" x14ac:dyDescent="0.75">
      <c r="A718" t="s">
        <v>2306</v>
      </c>
      <c r="B718" t="s">
        <v>2307</v>
      </c>
      <c r="C718">
        <v>47</v>
      </c>
    </row>
    <row r="719" spans="1:3" x14ac:dyDescent="0.75">
      <c r="A719" t="s">
        <v>1650</v>
      </c>
      <c r="B719" t="s">
        <v>1651</v>
      </c>
      <c r="C719">
        <v>47</v>
      </c>
    </row>
    <row r="720" spans="1:3" x14ac:dyDescent="0.75">
      <c r="A720" t="s">
        <v>2376</v>
      </c>
      <c r="B720" t="s">
        <v>2377</v>
      </c>
      <c r="C720">
        <v>46</v>
      </c>
    </row>
    <row r="721" spans="1:3" x14ac:dyDescent="0.75">
      <c r="A721" t="s">
        <v>2364</v>
      </c>
      <c r="B721" t="s">
        <v>2365</v>
      </c>
      <c r="C721">
        <v>45</v>
      </c>
    </row>
    <row r="722" spans="1:3" x14ac:dyDescent="0.75">
      <c r="A722" t="s">
        <v>1591</v>
      </c>
      <c r="B722" t="s">
        <v>1592</v>
      </c>
      <c r="C722">
        <v>44</v>
      </c>
    </row>
    <row r="723" spans="1:3" x14ac:dyDescent="0.75">
      <c r="A723" t="s">
        <v>1619</v>
      </c>
      <c r="B723" t="s">
        <v>1620</v>
      </c>
      <c r="C723">
        <v>41</v>
      </c>
    </row>
    <row r="724" spans="1:3" x14ac:dyDescent="0.75">
      <c r="A724" t="s">
        <v>2426</v>
      </c>
      <c r="B724" t="s">
        <v>2427</v>
      </c>
      <c r="C724">
        <v>41</v>
      </c>
    </row>
    <row r="725" spans="1:3" x14ac:dyDescent="0.75">
      <c r="A725" t="s">
        <v>665</v>
      </c>
      <c r="B725" t="s">
        <v>69</v>
      </c>
      <c r="C725">
        <v>40</v>
      </c>
    </row>
    <row r="726" spans="1:3" x14ac:dyDescent="0.75">
      <c r="A726" t="s">
        <v>2402</v>
      </c>
      <c r="B726" t="s">
        <v>2403</v>
      </c>
      <c r="C726">
        <v>40</v>
      </c>
    </row>
    <row r="727" spans="1:3" x14ac:dyDescent="0.75">
      <c r="A727" t="s">
        <v>150</v>
      </c>
      <c r="B727" t="s">
        <v>151</v>
      </c>
      <c r="C727">
        <v>39</v>
      </c>
    </row>
    <row r="728" spans="1:3" x14ac:dyDescent="0.75">
      <c r="A728" t="s">
        <v>2408</v>
      </c>
      <c r="B728" t="s">
        <v>2409</v>
      </c>
      <c r="C728">
        <v>39</v>
      </c>
    </row>
    <row r="729" spans="1:3" x14ac:dyDescent="0.75">
      <c r="A729" t="s">
        <v>2424</v>
      </c>
      <c r="B729" t="s">
        <v>2425</v>
      </c>
      <c r="C729">
        <v>39</v>
      </c>
    </row>
    <row r="730" spans="1:3" x14ac:dyDescent="0.75">
      <c r="A730" t="s">
        <v>2161</v>
      </c>
      <c r="B730" t="s">
        <v>2162</v>
      </c>
      <c r="C730">
        <v>38</v>
      </c>
    </row>
    <row r="731" spans="1:3" x14ac:dyDescent="0.75">
      <c r="A731" t="s">
        <v>1688</v>
      </c>
      <c r="B731" t="s">
        <v>1689</v>
      </c>
      <c r="C731">
        <v>38</v>
      </c>
    </row>
    <row r="732" spans="1:3" x14ac:dyDescent="0.75">
      <c r="A732" t="s">
        <v>1714</v>
      </c>
      <c r="B732" t="s">
        <v>1715</v>
      </c>
      <c r="C732">
        <v>38</v>
      </c>
    </row>
    <row r="733" spans="1:3" x14ac:dyDescent="0.75">
      <c r="A733" t="s">
        <v>2595</v>
      </c>
      <c r="B733" t="s">
        <v>1922</v>
      </c>
      <c r="C733">
        <v>37</v>
      </c>
    </row>
    <row r="734" spans="1:3" x14ac:dyDescent="0.75">
      <c r="A734" t="s">
        <v>1607</v>
      </c>
      <c r="B734" t="s">
        <v>1608</v>
      </c>
      <c r="C734">
        <v>37</v>
      </c>
    </row>
    <row r="735" spans="1:3" x14ac:dyDescent="0.75">
      <c r="A735" t="s">
        <v>1682</v>
      </c>
      <c r="B735" t="s">
        <v>1683</v>
      </c>
      <c r="C735">
        <v>36</v>
      </c>
    </row>
    <row r="736" spans="1:3" x14ac:dyDescent="0.75">
      <c r="A736" t="s">
        <v>96</v>
      </c>
      <c r="B736" t="s">
        <v>97</v>
      </c>
      <c r="C736">
        <v>36</v>
      </c>
    </row>
    <row r="737" spans="1:3" x14ac:dyDescent="0.75">
      <c r="A737" t="s">
        <v>2310</v>
      </c>
      <c r="B737" t="s">
        <v>2311</v>
      </c>
      <c r="C737">
        <v>36</v>
      </c>
    </row>
    <row r="738" spans="1:3" x14ac:dyDescent="0.75">
      <c r="A738" t="s">
        <v>2563</v>
      </c>
      <c r="B738" t="s">
        <v>2564</v>
      </c>
      <c r="C738">
        <v>36</v>
      </c>
    </row>
    <row r="739" spans="1:3" x14ac:dyDescent="0.75">
      <c r="A739" t="s">
        <v>1648</v>
      </c>
      <c r="B739" t="s">
        <v>1649</v>
      </c>
      <c r="C739">
        <v>36</v>
      </c>
    </row>
    <row r="740" spans="1:3" x14ac:dyDescent="0.75">
      <c r="A740" t="s">
        <v>2191</v>
      </c>
      <c r="B740" t="s">
        <v>2192</v>
      </c>
      <c r="C740">
        <v>35</v>
      </c>
    </row>
    <row r="741" spans="1:3" x14ac:dyDescent="0.75">
      <c r="A741" t="s">
        <v>1712</v>
      </c>
      <c r="B741" t="s">
        <v>1713</v>
      </c>
      <c r="C741">
        <v>35</v>
      </c>
    </row>
    <row r="742" spans="1:3" x14ac:dyDescent="0.75">
      <c r="A742" t="s">
        <v>2362</v>
      </c>
      <c r="B742" t="s">
        <v>2363</v>
      </c>
      <c r="C742">
        <v>35</v>
      </c>
    </row>
    <row r="743" spans="1:3" x14ac:dyDescent="0.75">
      <c r="A743" t="s">
        <v>2199</v>
      </c>
      <c r="B743" t="s">
        <v>2200</v>
      </c>
      <c r="C743">
        <v>34</v>
      </c>
    </row>
    <row r="744" spans="1:3" x14ac:dyDescent="0.75">
      <c r="A744" t="s">
        <v>2324</v>
      </c>
      <c r="B744" t="s">
        <v>2325</v>
      </c>
      <c r="C744">
        <v>34</v>
      </c>
    </row>
    <row r="745" spans="1:3" x14ac:dyDescent="0.75">
      <c r="A745" t="s">
        <v>56</v>
      </c>
      <c r="B745" t="s">
        <v>57</v>
      </c>
      <c r="C745">
        <v>34</v>
      </c>
    </row>
    <row r="746" spans="1:3" x14ac:dyDescent="0.75">
      <c r="A746" t="s">
        <v>2531</v>
      </c>
      <c r="B746" t="s">
        <v>2532</v>
      </c>
      <c r="C746">
        <v>33</v>
      </c>
    </row>
    <row r="747" spans="1:3" x14ac:dyDescent="0.75">
      <c r="A747" t="s">
        <v>2551</v>
      </c>
      <c r="B747" t="s">
        <v>2552</v>
      </c>
      <c r="C747">
        <v>33</v>
      </c>
    </row>
    <row r="748" spans="1:3" x14ac:dyDescent="0.75">
      <c r="A748" t="s">
        <v>2591</v>
      </c>
      <c r="B748" t="s">
        <v>2592</v>
      </c>
      <c r="C748">
        <v>33</v>
      </c>
    </row>
    <row r="749" spans="1:3" x14ac:dyDescent="0.75">
      <c r="A749" t="s">
        <v>2219</v>
      </c>
      <c r="B749" t="s">
        <v>2220</v>
      </c>
      <c r="C749">
        <v>33</v>
      </c>
    </row>
    <row r="750" spans="1:3" x14ac:dyDescent="0.75">
      <c r="A750" t="s">
        <v>1634</v>
      </c>
      <c r="B750" t="s">
        <v>1635</v>
      </c>
      <c r="C750">
        <v>32</v>
      </c>
    </row>
    <row r="751" spans="1:3" x14ac:dyDescent="0.75">
      <c r="A751" t="s">
        <v>1585</v>
      </c>
      <c r="B751" t="s">
        <v>1219</v>
      </c>
      <c r="C751">
        <v>32</v>
      </c>
    </row>
    <row r="752" spans="1:3" x14ac:dyDescent="0.75">
      <c r="A752" t="s">
        <v>2529</v>
      </c>
      <c r="B752" t="s">
        <v>2530</v>
      </c>
      <c r="C752">
        <v>31</v>
      </c>
    </row>
    <row r="753" spans="1:3" x14ac:dyDescent="0.75">
      <c r="A753" t="s">
        <v>148</v>
      </c>
      <c r="B753" t="s">
        <v>149</v>
      </c>
      <c r="C753">
        <v>31</v>
      </c>
    </row>
    <row r="754" spans="1:3" x14ac:dyDescent="0.75">
      <c r="A754" t="s">
        <v>2249</v>
      </c>
      <c r="B754" t="s">
        <v>2250</v>
      </c>
      <c r="C754">
        <v>28</v>
      </c>
    </row>
    <row r="755" spans="1:3" x14ac:dyDescent="0.75">
      <c r="A755" t="s">
        <v>1810</v>
      </c>
      <c r="B755" t="s">
        <v>1811</v>
      </c>
      <c r="C755">
        <v>28</v>
      </c>
    </row>
    <row r="756" spans="1:3" x14ac:dyDescent="0.75">
      <c r="A756" t="s">
        <v>2353</v>
      </c>
      <c r="B756" t="s">
        <v>2354</v>
      </c>
      <c r="C756">
        <v>28</v>
      </c>
    </row>
    <row r="757" spans="1:3" x14ac:dyDescent="0.75">
      <c r="A757" t="s">
        <v>2565</v>
      </c>
      <c r="B757" t="s">
        <v>2566</v>
      </c>
      <c r="C757">
        <v>28</v>
      </c>
    </row>
    <row r="758" spans="1:3" x14ac:dyDescent="0.75">
      <c r="A758" t="s">
        <v>2278</v>
      </c>
      <c r="B758" t="s">
        <v>2279</v>
      </c>
      <c r="C758">
        <v>27</v>
      </c>
    </row>
    <row r="759" spans="1:3" x14ac:dyDescent="0.75">
      <c r="A759" t="s">
        <v>2581</v>
      </c>
      <c r="B759" t="s">
        <v>2582</v>
      </c>
      <c r="C759">
        <v>27</v>
      </c>
    </row>
    <row r="760" spans="1:3" x14ac:dyDescent="0.75">
      <c r="A760" t="s">
        <v>2394</v>
      </c>
      <c r="B760" t="s">
        <v>2395</v>
      </c>
      <c r="C760">
        <v>27</v>
      </c>
    </row>
    <row r="761" spans="1:3" x14ac:dyDescent="0.75">
      <c r="A761" t="s">
        <v>1664</v>
      </c>
      <c r="B761" t="s">
        <v>1665</v>
      </c>
      <c r="C761">
        <v>27</v>
      </c>
    </row>
    <row r="762" spans="1:3" x14ac:dyDescent="0.75">
      <c r="A762" t="s">
        <v>2589</v>
      </c>
      <c r="B762" t="s">
        <v>2590</v>
      </c>
      <c r="C762">
        <v>27</v>
      </c>
    </row>
    <row r="763" spans="1:3" x14ac:dyDescent="0.75">
      <c r="A763" t="s">
        <v>2567</v>
      </c>
      <c r="B763" t="s">
        <v>2568</v>
      </c>
      <c r="C763">
        <v>27</v>
      </c>
    </row>
    <row r="764" spans="1:3" x14ac:dyDescent="0.75">
      <c r="A764" t="s">
        <v>2243</v>
      </c>
      <c r="B764" t="s">
        <v>2244</v>
      </c>
      <c r="C764">
        <v>26</v>
      </c>
    </row>
    <row r="765" spans="1:3" x14ac:dyDescent="0.75">
      <c r="A765" t="s">
        <v>1222</v>
      </c>
      <c r="B765" t="s">
        <v>1223</v>
      </c>
      <c r="C765">
        <v>26</v>
      </c>
    </row>
    <row r="766" spans="1:3" x14ac:dyDescent="0.75">
      <c r="A766" t="s">
        <v>2308</v>
      </c>
      <c r="B766" t="s">
        <v>2309</v>
      </c>
      <c r="C766">
        <v>25</v>
      </c>
    </row>
    <row r="767" spans="1:3" x14ac:dyDescent="0.75">
      <c r="A767" t="s">
        <v>2548</v>
      </c>
      <c r="B767" t="s">
        <v>2549</v>
      </c>
      <c r="C767">
        <v>25</v>
      </c>
    </row>
    <row r="768" spans="1:3" x14ac:dyDescent="0.75">
      <c r="A768" t="s">
        <v>2366</v>
      </c>
      <c r="B768" t="s">
        <v>2367</v>
      </c>
      <c r="C768">
        <v>25</v>
      </c>
    </row>
    <row r="769" spans="1:3" x14ac:dyDescent="0.75">
      <c r="A769" t="s">
        <v>1393</v>
      </c>
      <c r="B769" t="s">
        <v>1394</v>
      </c>
      <c r="C769">
        <v>24</v>
      </c>
    </row>
    <row r="770" spans="1:3" x14ac:dyDescent="0.75">
      <c r="A770" t="s">
        <v>1387</v>
      </c>
      <c r="B770" t="s">
        <v>1388</v>
      </c>
      <c r="C770">
        <v>24</v>
      </c>
    </row>
    <row r="771" spans="1:3" x14ac:dyDescent="0.75">
      <c r="A771" t="s">
        <v>1384</v>
      </c>
      <c r="B771" t="s">
        <v>1385</v>
      </c>
      <c r="C771">
        <v>24</v>
      </c>
    </row>
    <row r="772" spans="1:3" x14ac:dyDescent="0.75">
      <c r="A772" t="s">
        <v>193</v>
      </c>
      <c r="B772" t="s">
        <v>194</v>
      </c>
      <c r="C772">
        <v>24</v>
      </c>
    </row>
    <row r="773" spans="1:3" x14ac:dyDescent="0.75">
      <c r="A773" t="s">
        <v>1389</v>
      </c>
      <c r="B773" t="s">
        <v>1390</v>
      </c>
      <c r="C773">
        <v>24</v>
      </c>
    </row>
    <row r="774" spans="1:3" x14ac:dyDescent="0.75">
      <c r="A774" t="s">
        <v>1391</v>
      </c>
      <c r="B774" t="s">
        <v>1392</v>
      </c>
      <c r="C774">
        <v>24</v>
      </c>
    </row>
    <row r="775" spans="1:3" x14ac:dyDescent="0.75">
      <c r="A775" t="s">
        <v>1395</v>
      </c>
      <c r="B775" t="s">
        <v>1396</v>
      </c>
      <c r="C775">
        <v>24</v>
      </c>
    </row>
    <row r="776" spans="1:3" x14ac:dyDescent="0.75">
      <c r="A776" t="s">
        <v>1636</v>
      </c>
      <c r="B776" t="s">
        <v>1637</v>
      </c>
      <c r="C776">
        <v>24</v>
      </c>
    </row>
    <row r="777" spans="1:3" x14ac:dyDescent="0.75">
      <c r="A777" t="s">
        <v>2227</v>
      </c>
      <c r="B777" t="s">
        <v>2228</v>
      </c>
      <c r="C777">
        <v>24</v>
      </c>
    </row>
    <row r="778" spans="1:3" x14ac:dyDescent="0.75">
      <c r="A778" t="s">
        <v>2647</v>
      </c>
      <c r="B778" t="s">
        <v>2648</v>
      </c>
      <c r="C778">
        <v>23</v>
      </c>
    </row>
    <row r="779" spans="1:3" x14ac:dyDescent="0.75">
      <c r="A779" t="s">
        <v>2501</v>
      </c>
      <c r="B779" t="s">
        <v>2502</v>
      </c>
      <c r="C779">
        <v>21</v>
      </c>
    </row>
    <row r="780" spans="1:3" x14ac:dyDescent="0.75">
      <c r="A780" t="s">
        <v>2241</v>
      </c>
      <c r="B780" t="s">
        <v>2242</v>
      </c>
      <c r="C780">
        <v>21</v>
      </c>
    </row>
    <row r="781" spans="1:3" x14ac:dyDescent="0.75">
      <c r="A781" t="s">
        <v>2599</v>
      </c>
      <c r="B781" t="s">
        <v>2600</v>
      </c>
      <c r="C781">
        <v>21</v>
      </c>
    </row>
    <row r="782" spans="1:3" x14ac:dyDescent="0.75">
      <c r="A782" t="s">
        <v>2561</v>
      </c>
      <c r="B782" t="s">
        <v>2562</v>
      </c>
      <c r="C782">
        <v>21</v>
      </c>
    </row>
    <row r="783" spans="1:3" x14ac:dyDescent="0.75">
      <c r="A783" t="s">
        <v>2491</v>
      </c>
      <c r="B783" t="s">
        <v>2492</v>
      </c>
      <c r="C783">
        <v>21</v>
      </c>
    </row>
    <row r="784" spans="1:3" x14ac:dyDescent="0.75">
      <c r="A784" t="s">
        <v>2587</v>
      </c>
      <c r="B784" t="s">
        <v>2588</v>
      </c>
      <c r="C784">
        <v>21</v>
      </c>
    </row>
    <row r="785" spans="1:3" x14ac:dyDescent="0.75">
      <c r="A785" t="s">
        <v>2275</v>
      </c>
      <c r="B785" t="s">
        <v>2276</v>
      </c>
      <c r="C785">
        <v>20</v>
      </c>
    </row>
    <row r="786" spans="1:3" x14ac:dyDescent="0.75">
      <c r="A786" t="s">
        <v>2573</v>
      </c>
      <c r="B786" t="s">
        <v>2574</v>
      </c>
      <c r="C786">
        <v>19</v>
      </c>
    </row>
    <row r="787" spans="1:3" x14ac:dyDescent="0.75">
      <c r="A787" t="s">
        <v>2611</v>
      </c>
      <c r="B787" t="s">
        <v>2612</v>
      </c>
      <c r="C787">
        <v>18</v>
      </c>
    </row>
    <row r="788" spans="1:3" x14ac:dyDescent="0.75">
      <c r="A788" t="s">
        <v>908</v>
      </c>
      <c r="B788" t="s">
        <v>909</v>
      </c>
      <c r="C788">
        <v>17</v>
      </c>
    </row>
    <row r="789" spans="1:3" x14ac:dyDescent="0.75">
      <c r="A789" t="s">
        <v>85</v>
      </c>
      <c r="B789" t="s">
        <v>86</v>
      </c>
      <c r="C789">
        <v>17</v>
      </c>
    </row>
    <row r="790" spans="1:3" x14ac:dyDescent="0.75">
      <c r="A790" t="s">
        <v>2541</v>
      </c>
      <c r="B790" t="s">
        <v>2542</v>
      </c>
      <c r="C790">
        <v>17</v>
      </c>
    </row>
    <row r="791" spans="1:3" x14ac:dyDescent="0.75">
      <c r="A791" t="s">
        <v>2613</v>
      </c>
      <c r="B791" t="s">
        <v>2614</v>
      </c>
      <c r="C791">
        <v>17</v>
      </c>
    </row>
    <row r="792" spans="1:3" x14ac:dyDescent="0.75">
      <c r="A792" t="s">
        <v>2569</v>
      </c>
      <c r="B792" t="s">
        <v>2570</v>
      </c>
      <c r="C792">
        <v>17</v>
      </c>
    </row>
    <row r="793" spans="1:3" x14ac:dyDescent="0.75">
      <c r="A793" t="s">
        <v>1298</v>
      </c>
      <c r="B793" t="s">
        <v>1299</v>
      </c>
      <c r="C793">
        <v>16</v>
      </c>
    </row>
    <row r="794" spans="1:3" x14ac:dyDescent="0.75">
      <c r="A794" t="s">
        <v>2360</v>
      </c>
      <c r="B794" t="s">
        <v>2361</v>
      </c>
      <c r="C794">
        <v>16</v>
      </c>
    </row>
    <row r="795" spans="1:3" x14ac:dyDescent="0.75">
      <c r="A795" t="s">
        <v>122</v>
      </c>
      <c r="B795" t="s">
        <v>123</v>
      </c>
      <c r="C795">
        <v>15</v>
      </c>
    </row>
    <row r="796" spans="1:3" x14ac:dyDescent="0.75">
      <c r="A796" t="s">
        <v>2195</v>
      </c>
      <c r="B796" t="s">
        <v>2196</v>
      </c>
      <c r="C796">
        <v>15</v>
      </c>
    </row>
    <row r="797" spans="1:3" x14ac:dyDescent="0.75">
      <c r="A797" t="s">
        <v>88</v>
      </c>
      <c r="B797" t="s">
        <v>89</v>
      </c>
      <c r="C797">
        <v>15</v>
      </c>
    </row>
    <row r="798" spans="1:3" x14ac:dyDescent="0.75">
      <c r="A798" t="s">
        <v>2404</v>
      </c>
      <c r="B798" t="s">
        <v>2405</v>
      </c>
      <c r="C798">
        <v>15</v>
      </c>
    </row>
    <row r="799" spans="1:3" x14ac:dyDescent="0.75">
      <c r="A799" t="s">
        <v>2553</v>
      </c>
      <c r="B799" t="s">
        <v>2554</v>
      </c>
      <c r="C799">
        <v>15</v>
      </c>
    </row>
    <row r="800" spans="1:3" x14ac:dyDescent="0.75">
      <c r="A800" t="s">
        <v>124</v>
      </c>
      <c r="B800" t="s">
        <v>125</v>
      </c>
      <c r="C800">
        <v>14</v>
      </c>
    </row>
    <row r="801" spans="1:3" x14ac:dyDescent="0.75">
      <c r="A801" t="s">
        <v>2420</v>
      </c>
      <c r="B801" t="s">
        <v>2421</v>
      </c>
      <c r="C801">
        <v>14</v>
      </c>
    </row>
    <row r="802" spans="1:3" x14ac:dyDescent="0.75">
      <c r="A802" t="s">
        <v>2585</v>
      </c>
      <c r="B802" t="s">
        <v>145</v>
      </c>
      <c r="C802">
        <v>14</v>
      </c>
    </row>
    <row r="803" spans="1:3" x14ac:dyDescent="0.75">
      <c r="A803" t="s">
        <v>102</v>
      </c>
      <c r="B803" t="s">
        <v>103</v>
      </c>
      <c r="C803">
        <v>14</v>
      </c>
    </row>
    <row r="804" spans="1:3" x14ac:dyDescent="0.75">
      <c r="A804" t="s">
        <v>2269</v>
      </c>
      <c r="B804" t="s">
        <v>2270</v>
      </c>
      <c r="C804">
        <v>13</v>
      </c>
    </row>
    <row r="805" spans="1:3" x14ac:dyDescent="0.75">
      <c r="A805" t="s">
        <v>1710</v>
      </c>
      <c r="B805" t="s">
        <v>1711</v>
      </c>
      <c r="C805">
        <v>13</v>
      </c>
    </row>
    <row r="806" spans="1:3" x14ac:dyDescent="0.75">
      <c r="A806" t="s">
        <v>2390</v>
      </c>
      <c r="B806" t="s">
        <v>2391</v>
      </c>
      <c r="C806">
        <v>13</v>
      </c>
    </row>
    <row r="807" spans="1:3" x14ac:dyDescent="0.75">
      <c r="A807" t="s">
        <v>2235</v>
      </c>
      <c r="B807" t="s">
        <v>2236</v>
      </c>
      <c r="C807">
        <v>12</v>
      </c>
    </row>
    <row r="808" spans="1:3" x14ac:dyDescent="0.75">
      <c r="A808" t="s">
        <v>191</v>
      </c>
      <c r="B808" t="s">
        <v>192</v>
      </c>
      <c r="C808">
        <v>12</v>
      </c>
    </row>
    <row r="809" spans="1:3" x14ac:dyDescent="0.75">
      <c r="A809" t="s">
        <v>1397</v>
      </c>
      <c r="B809" t="s">
        <v>1398</v>
      </c>
      <c r="C809">
        <v>12</v>
      </c>
    </row>
    <row r="810" spans="1:3" x14ac:dyDescent="0.75">
      <c r="A810" t="s">
        <v>1403</v>
      </c>
      <c r="B810" t="s">
        <v>1404</v>
      </c>
      <c r="C810">
        <v>12</v>
      </c>
    </row>
    <row r="811" spans="1:3" x14ac:dyDescent="0.75">
      <c r="A811" t="s">
        <v>1401</v>
      </c>
      <c r="B811" t="s">
        <v>1402</v>
      </c>
      <c r="C811">
        <v>12</v>
      </c>
    </row>
    <row r="812" spans="1:3" x14ac:dyDescent="0.75">
      <c r="A812" t="s">
        <v>1405</v>
      </c>
      <c r="B812" t="s">
        <v>1406</v>
      </c>
      <c r="C812">
        <v>12</v>
      </c>
    </row>
    <row r="813" spans="1:3" x14ac:dyDescent="0.75">
      <c r="A813" t="s">
        <v>1399</v>
      </c>
      <c r="B813" t="s">
        <v>1400</v>
      </c>
      <c r="C813">
        <v>12</v>
      </c>
    </row>
    <row r="814" spans="1:3" x14ac:dyDescent="0.75">
      <c r="A814" t="s">
        <v>1227</v>
      </c>
      <c r="B814" t="s">
        <v>1228</v>
      </c>
      <c r="C814">
        <v>12</v>
      </c>
    </row>
    <row r="815" spans="1:3" x14ac:dyDescent="0.75">
      <c r="A815" t="s">
        <v>2253</v>
      </c>
      <c r="B815" t="s">
        <v>2254</v>
      </c>
      <c r="C815">
        <v>12</v>
      </c>
    </row>
    <row r="816" spans="1:3" x14ac:dyDescent="0.75">
      <c r="A816" t="s">
        <v>2645</v>
      </c>
      <c r="B816" t="s">
        <v>2646</v>
      </c>
      <c r="C816">
        <v>11</v>
      </c>
    </row>
    <row r="817" spans="1:3" x14ac:dyDescent="0.75">
      <c r="A817" t="s">
        <v>1632</v>
      </c>
      <c r="B817" t="s">
        <v>1633</v>
      </c>
      <c r="C817">
        <v>11</v>
      </c>
    </row>
    <row r="818" spans="1:3" x14ac:dyDescent="0.75">
      <c r="A818" t="s">
        <v>1210</v>
      </c>
      <c r="B818" t="s">
        <v>1211</v>
      </c>
      <c r="C818">
        <v>11</v>
      </c>
    </row>
    <row r="819" spans="1:3" x14ac:dyDescent="0.75">
      <c r="A819" t="s">
        <v>2207</v>
      </c>
      <c r="B819" t="s">
        <v>2208</v>
      </c>
      <c r="C819">
        <v>11</v>
      </c>
    </row>
    <row r="820" spans="1:3" x14ac:dyDescent="0.75">
      <c r="A820" t="s">
        <v>115</v>
      </c>
      <c r="B820" t="s">
        <v>116</v>
      </c>
      <c r="C820">
        <v>10</v>
      </c>
    </row>
    <row r="821" spans="1:3" x14ac:dyDescent="0.75">
      <c r="A821" t="s">
        <v>2189</v>
      </c>
      <c r="B821" t="s">
        <v>2190</v>
      </c>
      <c r="C821">
        <v>10</v>
      </c>
    </row>
    <row r="822" spans="1:3" x14ac:dyDescent="0.75">
      <c r="A822" t="s">
        <v>90</v>
      </c>
      <c r="B822" t="s">
        <v>91</v>
      </c>
      <c r="C822">
        <v>10</v>
      </c>
    </row>
    <row r="823" spans="1:3" x14ac:dyDescent="0.75">
      <c r="A823" t="s">
        <v>158</v>
      </c>
      <c r="B823" t="s">
        <v>159</v>
      </c>
      <c r="C823">
        <v>10</v>
      </c>
    </row>
    <row r="824" spans="1:3" x14ac:dyDescent="0.75">
      <c r="A824" t="s">
        <v>2203</v>
      </c>
      <c r="B824" t="s">
        <v>2204</v>
      </c>
      <c r="C824">
        <v>10</v>
      </c>
    </row>
    <row r="825" spans="1:3" x14ac:dyDescent="0.75">
      <c r="A825" t="s">
        <v>2251</v>
      </c>
      <c r="B825" t="s">
        <v>2252</v>
      </c>
      <c r="C825">
        <v>9</v>
      </c>
    </row>
    <row r="826" spans="1:3" x14ac:dyDescent="0.75">
      <c r="A826" t="s">
        <v>126</v>
      </c>
      <c r="B826" t="s">
        <v>127</v>
      </c>
      <c r="C826">
        <v>9</v>
      </c>
    </row>
    <row r="827" spans="1:3" x14ac:dyDescent="0.75">
      <c r="A827" t="s">
        <v>68</v>
      </c>
      <c r="B827" t="s">
        <v>69</v>
      </c>
      <c r="C827">
        <v>9</v>
      </c>
    </row>
    <row r="828" spans="1:3" x14ac:dyDescent="0.75">
      <c r="A828" t="s">
        <v>1225</v>
      </c>
      <c r="B828" t="s">
        <v>1226</v>
      </c>
      <c r="C828">
        <v>8</v>
      </c>
    </row>
    <row r="829" spans="1:3" x14ac:dyDescent="0.75">
      <c r="A829" t="s">
        <v>98</v>
      </c>
      <c r="B829" t="s">
        <v>99</v>
      </c>
      <c r="C829">
        <v>8</v>
      </c>
    </row>
    <row r="830" spans="1:3" x14ac:dyDescent="0.75">
      <c r="A830" t="s">
        <v>109</v>
      </c>
      <c r="B830" t="s">
        <v>110</v>
      </c>
      <c r="C830">
        <v>8</v>
      </c>
    </row>
    <row r="831" spans="1:3" x14ac:dyDescent="0.75">
      <c r="A831" t="s">
        <v>2392</v>
      </c>
      <c r="B831" t="s">
        <v>2393</v>
      </c>
      <c r="C831">
        <v>8</v>
      </c>
    </row>
    <row r="832" spans="1:3" x14ac:dyDescent="0.75">
      <c r="A832" t="s">
        <v>2583</v>
      </c>
      <c r="B832" t="s">
        <v>2584</v>
      </c>
      <c r="C832">
        <v>8</v>
      </c>
    </row>
    <row r="833" spans="1:3" x14ac:dyDescent="0.75">
      <c r="A833" t="s">
        <v>900</v>
      </c>
      <c r="B833" t="s">
        <v>901</v>
      </c>
      <c r="C833">
        <v>8</v>
      </c>
    </row>
    <row r="834" spans="1:3" x14ac:dyDescent="0.75">
      <c r="A834" t="s">
        <v>2247</v>
      </c>
      <c r="B834" t="s">
        <v>2248</v>
      </c>
      <c r="C834">
        <v>7</v>
      </c>
    </row>
    <row r="835" spans="1:3" x14ac:dyDescent="0.75">
      <c r="A835" t="s">
        <v>51</v>
      </c>
      <c r="B835" t="s">
        <v>52</v>
      </c>
      <c r="C835">
        <v>7</v>
      </c>
    </row>
    <row r="836" spans="1:3" x14ac:dyDescent="0.75">
      <c r="A836" t="s">
        <v>924</v>
      </c>
      <c r="B836" t="s">
        <v>925</v>
      </c>
      <c r="C836">
        <v>7</v>
      </c>
    </row>
    <row r="837" spans="1:3" x14ac:dyDescent="0.75">
      <c r="A837" t="s">
        <v>2318</v>
      </c>
      <c r="B837" t="s">
        <v>2319</v>
      </c>
      <c r="C837">
        <v>7</v>
      </c>
    </row>
    <row r="838" spans="1:3" x14ac:dyDescent="0.75">
      <c r="A838" t="s">
        <v>2332</v>
      </c>
      <c r="B838" t="s">
        <v>2333</v>
      </c>
      <c r="C838">
        <v>7</v>
      </c>
    </row>
    <row r="839" spans="1:3" x14ac:dyDescent="0.75">
      <c r="A839" t="s">
        <v>1216</v>
      </c>
      <c r="B839" t="s">
        <v>1217</v>
      </c>
      <c r="C839">
        <v>7</v>
      </c>
    </row>
    <row r="840" spans="1:3" x14ac:dyDescent="0.75">
      <c r="A840" t="s">
        <v>1310</v>
      </c>
      <c r="B840" t="s">
        <v>1311</v>
      </c>
      <c r="C840">
        <v>7</v>
      </c>
    </row>
    <row r="841" spans="1:3" x14ac:dyDescent="0.75">
      <c r="A841" t="s">
        <v>963</v>
      </c>
      <c r="B841" t="s">
        <v>964</v>
      </c>
      <c r="C841">
        <v>6</v>
      </c>
    </row>
    <row r="842" spans="1:3" x14ac:dyDescent="0.75">
      <c r="A842" t="s">
        <v>1289</v>
      </c>
      <c r="B842" t="s">
        <v>1290</v>
      </c>
      <c r="C842">
        <v>6</v>
      </c>
    </row>
    <row r="843" spans="1:3" x14ac:dyDescent="0.75">
      <c r="A843" t="s">
        <v>187</v>
      </c>
      <c r="B843" t="s">
        <v>188</v>
      </c>
      <c r="C843">
        <v>6</v>
      </c>
    </row>
    <row r="844" spans="1:3" x14ac:dyDescent="0.75">
      <c r="A844" t="s">
        <v>2571</v>
      </c>
      <c r="B844" t="s">
        <v>2572</v>
      </c>
      <c r="C844">
        <v>6</v>
      </c>
    </row>
    <row r="845" spans="1:3" x14ac:dyDescent="0.75">
      <c r="A845" t="s">
        <v>1301</v>
      </c>
      <c r="B845" t="s">
        <v>1302</v>
      </c>
      <c r="C845">
        <v>6</v>
      </c>
    </row>
    <row r="846" spans="1:3" x14ac:dyDescent="0.75">
      <c r="A846" t="s">
        <v>1079</v>
      </c>
      <c r="B846" t="s">
        <v>1080</v>
      </c>
      <c r="C846">
        <v>6</v>
      </c>
    </row>
    <row r="847" spans="1:3" x14ac:dyDescent="0.75">
      <c r="A847" t="s">
        <v>120</v>
      </c>
      <c r="B847" t="s">
        <v>121</v>
      </c>
      <c r="C847">
        <v>5</v>
      </c>
    </row>
    <row r="848" spans="1:3" x14ac:dyDescent="0.75">
      <c r="A848" t="s">
        <v>118</v>
      </c>
      <c r="B848" t="s">
        <v>119</v>
      </c>
      <c r="C848">
        <v>5</v>
      </c>
    </row>
    <row r="849" spans="1:3" x14ac:dyDescent="0.75">
      <c r="A849" t="s">
        <v>152</v>
      </c>
      <c r="B849" t="s">
        <v>153</v>
      </c>
      <c r="C849">
        <v>5</v>
      </c>
    </row>
    <row r="850" spans="1:3" x14ac:dyDescent="0.75">
      <c r="A850" t="s">
        <v>156</v>
      </c>
      <c r="B850" t="s">
        <v>157</v>
      </c>
      <c r="C850">
        <v>5</v>
      </c>
    </row>
    <row r="851" spans="1:3" x14ac:dyDescent="0.75">
      <c r="A851" t="s">
        <v>160</v>
      </c>
      <c r="B851" t="s">
        <v>161</v>
      </c>
      <c r="C851">
        <v>5</v>
      </c>
    </row>
    <row r="852" spans="1:3" x14ac:dyDescent="0.75">
      <c r="A852" t="s">
        <v>2388</v>
      </c>
      <c r="B852" t="s">
        <v>2389</v>
      </c>
      <c r="C852">
        <v>5</v>
      </c>
    </row>
    <row r="853" spans="1:3" x14ac:dyDescent="0.75">
      <c r="A853" t="s">
        <v>1232</v>
      </c>
      <c r="B853" t="s">
        <v>1233</v>
      </c>
      <c r="C853">
        <v>5</v>
      </c>
    </row>
    <row r="854" spans="1:3" x14ac:dyDescent="0.75">
      <c r="A854" t="s">
        <v>2205</v>
      </c>
      <c r="B854" t="s">
        <v>2206</v>
      </c>
      <c r="C854">
        <v>5</v>
      </c>
    </row>
    <row r="855" spans="1:3" x14ac:dyDescent="0.75">
      <c r="A855" t="s">
        <v>1260</v>
      </c>
      <c r="B855" t="s">
        <v>1261</v>
      </c>
      <c r="C855">
        <v>5</v>
      </c>
    </row>
    <row r="856" spans="1:3" x14ac:dyDescent="0.75">
      <c r="A856" t="s">
        <v>2607</v>
      </c>
      <c r="B856" t="s">
        <v>2608</v>
      </c>
      <c r="C856">
        <v>5</v>
      </c>
    </row>
    <row r="857" spans="1:3" x14ac:dyDescent="0.75">
      <c r="A857" t="s">
        <v>134</v>
      </c>
      <c r="B857" t="s">
        <v>135</v>
      </c>
      <c r="C857">
        <v>5</v>
      </c>
    </row>
    <row r="858" spans="1:3" x14ac:dyDescent="0.75">
      <c r="A858" t="s">
        <v>61</v>
      </c>
      <c r="B858" t="s">
        <v>62</v>
      </c>
      <c r="C858">
        <v>4</v>
      </c>
    </row>
    <row r="859" spans="1:3" x14ac:dyDescent="0.75">
      <c r="A859" t="s">
        <v>58</v>
      </c>
      <c r="B859" t="s">
        <v>59</v>
      </c>
      <c r="C859">
        <v>4</v>
      </c>
    </row>
    <row r="860" spans="1:3" x14ac:dyDescent="0.75">
      <c r="A860" t="s">
        <v>140</v>
      </c>
      <c r="B860" t="s">
        <v>141</v>
      </c>
      <c r="C860">
        <v>4</v>
      </c>
    </row>
    <row r="861" spans="1:3" x14ac:dyDescent="0.75">
      <c r="A861" t="s">
        <v>1206</v>
      </c>
      <c r="B861" t="s">
        <v>1207</v>
      </c>
      <c r="C861">
        <v>4</v>
      </c>
    </row>
    <row r="862" spans="1:3" x14ac:dyDescent="0.75">
      <c r="A862" t="s">
        <v>100</v>
      </c>
      <c r="B862" t="s">
        <v>101</v>
      </c>
      <c r="C862">
        <v>4</v>
      </c>
    </row>
    <row r="863" spans="1:3" x14ac:dyDescent="0.75">
      <c r="A863" t="s">
        <v>1846</v>
      </c>
      <c r="B863" t="s">
        <v>1847</v>
      </c>
      <c r="C863">
        <v>4</v>
      </c>
    </row>
    <row r="864" spans="1:3" x14ac:dyDescent="0.75">
      <c r="A864" t="s">
        <v>94</v>
      </c>
      <c r="B864" t="s">
        <v>95</v>
      </c>
      <c r="C864">
        <v>4</v>
      </c>
    </row>
    <row r="865" spans="1:3" x14ac:dyDescent="0.75">
      <c r="A865" t="s">
        <v>162</v>
      </c>
      <c r="B865" t="s">
        <v>163</v>
      </c>
      <c r="C865">
        <v>4</v>
      </c>
    </row>
    <row r="866" spans="1:3" x14ac:dyDescent="0.75">
      <c r="A866" t="s">
        <v>54</v>
      </c>
      <c r="B866" t="s">
        <v>55</v>
      </c>
      <c r="C866">
        <v>3</v>
      </c>
    </row>
    <row r="867" spans="1:3" x14ac:dyDescent="0.75">
      <c r="A867" t="s">
        <v>92</v>
      </c>
      <c r="B867" t="s">
        <v>93</v>
      </c>
      <c r="C867">
        <v>3</v>
      </c>
    </row>
    <row r="868" spans="1:3" x14ac:dyDescent="0.75">
      <c r="A868" t="s">
        <v>906</v>
      </c>
      <c r="B868" t="s">
        <v>907</v>
      </c>
      <c r="C868">
        <v>3</v>
      </c>
    </row>
    <row r="869" spans="1:3" x14ac:dyDescent="0.75">
      <c r="A869" t="s">
        <v>2245</v>
      </c>
      <c r="B869" t="s">
        <v>2246</v>
      </c>
      <c r="C869">
        <v>3</v>
      </c>
    </row>
    <row r="870" spans="1:3" x14ac:dyDescent="0.75">
      <c r="A870" t="s">
        <v>1904</v>
      </c>
      <c r="B870" t="s">
        <v>1905</v>
      </c>
      <c r="C870">
        <v>3</v>
      </c>
    </row>
    <row r="871" spans="1:3" x14ac:dyDescent="0.75">
      <c r="A871" t="s">
        <v>70</v>
      </c>
      <c r="B871" t="s">
        <v>71</v>
      </c>
      <c r="C871">
        <v>3</v>
      </c>
    </row>
    <row r="872" spans="1:3" x14ac:dyDescent="0.75">
      <c r="A872" t="s">
        <v>2619</v>
      </c>
      <c r="B872" t="s">
        <v>2620</v>
      </c>
      <c r="C872">
        <v>3</v>
      </c>
    </row>
    <row r="873" spans="1:3" x14ac:dyDescent="0.75">
      <c r="A873" t="s">
        <v>138</v>
      </c>
      <c r="B873" t="s">
        <v>139</v>
      </c>
      <c r="C873">
        <v>3</v>
      </c>
    </row>
    <row r="874" spans="1:3" x14ac:dyDescent="0.75">
      <c r="A874" t="s">
        <v>1277</v>
      </c>
      <c r="B874" t="s">
        <v>1278</v>
      </c>
      <c r="C874">
        <v>3</v>
      </c>
    </row>
    <row r="875" spans="1:3" x14ac:dyDescent="0.75">
      <c r="A875" t="s">
        <v>881</v>
      </c>
      <c r="B875" t="s">
        <v>882</v>
      </c>
      <c r="C875">
        <v>3</v>
      </c>
    </row>
    <row r="876" spans="1:3" x14ac:dyDescent="0.75">
      <c r="A876" t="s">
        <v>112</v>
      </c>
      <c r="B876" t="s">
        <v>113</v>
      </c>
      <c r="C876">
        <v>3</v>
      </c>
    </row>
    <row r="877" spans="1:3" x14ac:dyDescent="0.75">
      <c r="A877" t="s">
        <v>1275</v>
      </c>
      <c r="B877" t="s">
        <v>1276</v>
      </c>
      <c r="C877">
        <v>3</v>
      </c>
    </row>
    <row r="878" spans="1:3" x14ac:dyDescent="0.75">
      <c r="A878" t="s">
        <v>885</v>
      </c>
      <c r="B878" t="s">
        <v>886</v>
      </c>
      <c r="C878">
        <v>3</v>
      </c>
    </row>
    <row r="879" spans="1:3" x14ac:dyDescent="0.75">
      <c r="A879" t="s">
        <v>911</v>
      </c>
      <c r="B879" t="s">
        <v>912</v>
      </c>
      <c r="C879">
        <v>3</v>
      </c>
    </row>
    <row r="880" spans="1:3" x14ac:dyDescent="0.75">
      <c r="A880" t="s">
        <v>1279</v>
      </c>
      <c r="B880" t="s">
        <v>1280</v>
      </c>
      <c r="C880">
        <v>3</v>
      </c>
    </row>
    <row r="881" spans="1:3" x14ac:dyDescent="0.75">
      <c r="A881" t="s">
        <v>142</v>
      </c>
      <c r="B881" t="s">
        <v>143</v>
      </c>
      <c r="C881">
        <v>3</v>
      </c>
    </row>
    <row r="882" spans="1:3" x14ac:dyDescent="0.75">
      <c r="A882" t="s">
        <v>921</v>
      </c>
      <c r="B882" t="s">
        <v>922</v>
      </c>
      <c r="C882">
        <v>2</v>
      </c>
    </row>
    <row r="883" spans="1:3" x14ac:dyDescent="0.75">
      <c r="A883" t="s">
        <v>682</v>
      </c>
      <c r="B883" t="s">
        <v>683</v>
      </c>
      <c r="C883">
        <v>2</v>
      </c>
    </row>
    <row r="884" spans="1:3" x14ac:dyDescent="0.75">
      <c r="A884" t="s">
        <v>1908</v>
      </c>
      <c r="B884" t="s">
        <v>1909</v>
      </c>
      <c r="C884">
        <v>2</v>
      </c>
    </row>
    <row r="885" spans="1:3" x14ac:dyDescent="0.75">
      <c r="A885" t="s">
        <v>919</v>
      </c>
      <c r="B885" t="s">
        <v>920</v>
      </c>
      <c r="C885">
        <v>2</v>
      </c>
    </row>
    <row r="886" spans="1:3" x14ac:dyDescent="0.75">
      <c r="A886" t="s">
        <v>128</v>
      </c>
      <c r="B886" t="s">
        <v>129</v>
      </c>
      <c r="C886">
        <v>2</v>
      </c>
    </row>
    <row r="887" spans="1:3" x14ac:dyDescent="0.75">
      <c r="A887" t="s">
        <v>887</v>
      </c>
      <c r="B887" t="s">
        <v>888</v>
      </c>
      <c r="C887">
        <v>2</v>
      </c>
    </row>
    <row r="888" spans="1:3" x14ac:dyDescent="0.75">
      <c r="A888" t="s">
        <v>1097</v>
      </c>
      <c r="B888" t="s">
        <v>1098</v>
      </c>
      <c r="C888">
        <v>2</v>
      </c>
    </row>
    <row r="889" spans="1:3" x14ac:dyDescent="0.75">
      <c r="A889" t="s">
        <v>64</v>
      </c>
      <c r="B889" t="s">
        <v>65</v>
      </c>
      <c r="C889">
        <v>2</v>
      </c>
    </row>
    <row r="890" spans="1:3" x14ac:dyDescent="0.75">
      <c r="A890" t="s">
        <v>1229</v>
      </c>
      <c r="B890" t="s">
        <v>1230</v>
      </c>
      <c r="C890">
        <v>2</v>
      </c>
    </row>
    <row r="891" spans="1:3" x14ac:dyDescent="0.75">
      <c r="A891" t="s">
        <v>48</v>
      </c>
      <c r="B891" t="s">
        <v>49</v>
      </c>
      <c r="C891">
        <v>2</v>
      </c>
    </row>
    <row r="892" spans="1:3" x14ac:dyDescent="0.75">
      <c r="A892" t="s">
        <v>893</v>
      </c>
      <c r="B892" t="s">
        <v>894</v>
      </c>
      <c r="C892">
        <v>2</v>
      </c>
    </row>
    <row r="893" spans="1:3" x14ac:dyDescent="0.75">
      <c r="A893" t="s">
        <v>154</v>
      </c>
      <c r="B893" t="s">
        <v>155</v>
      </c>
      <c r="C893">
        <v>2</v>
      </c>
    </row>
    <row r="894" spans="1:3" x14ac:dyDescent="0.75">
      <c r="A894" t="s">
        <v>1287</v>
      </c>
      <c r="B894" t="s">
        <v>1288</v>
      </c>
      <c r="C894">
        <v>2</v>
      </c>
    </row>
    <row r="895" spans="1:3" x14ac:dyDescent="0.75">
      <c r="A895" t="s">
        <v>1269</v>
      </c>
      <c r="B895" t="s">
        <v>1270</v>
      </c>
      <c r="C895">
        <v>2</v>
      </c>
    </row>
    <row r="896" spans="1:3" x14ac:dyDescent="0.75">
      <c r="A896" t="s">
        <v>935</v>
      </c>
      <c r="B896" t="s">
        <v>936</v>
      </c>
      <c r="C896">
        <v>2</v>
      </c>
    </row>
    <row r="897" spans="1:3" x14ac:dyDescent="0.75">
      <c r="A897" t="s">
        <v>1921</v>
      </c>
      <c r="B897" t="s">
        <v>1922</v>
      </c>
      <c r="C897">
        <v>2</v>
      </c>
    </row>
    <row r="898" spans="1:3" x14ac:dyDescent="0.75">
      <c r="A898" t="s">
        <v>73</v>
      </c>
      <c r="B898" t="s">
        <v>74</v>
      </c>
      <c r="C898">
        <v>2</v>
      </c>
    </row>
    <row r="899" spans="1:3" x14ac:dyDescent="0.75">
      <c r="A899" t="s">
        <v>136</v>
      </c>
      <c r="B899" t="s">
        <v>137</v>
      </c>
      <c r="C899">
        <v>2</v>
      </c>
    </row>
    <row r="900" spans="1:3" x14ac:dyDescent="0.75">
      <c r="A900" t="s">
        <v>939</v>
      </c>
      <c r="B900" t="s">
        <v>940</v>
      </c>
      <c r="C900">
        <v>2</v>
      </c>
    </row>
    <row r="901" spans="1:3" x14ac:dyDescent="0.75">
      <c r="A901" t="s">
        <v>131</v>
      </c>
      <c r="B901" t="s">
        <v>132</v>
      </c>
      <c r="C901">
        <v>2</v>
      </c>
    </row>
    <row r="902" spans="1:3" x14ac:dyDescent="0.75">
      <c r="A902" t="s">
        <v>931</v>
      </c>
      <c r="B902" t="s">
        <v>932</v>
      </c>
      <c r="C902">
        <v>2</v>
      </c>
    </row>
    <row r="903" spans="1:3" x14ac:dyDescent="0.75">
      <c r="A903" t="s">
        <v>1208</v>
      </c>
      <c r="B903" t="s">
        <v>1209</v>
      </c>
      <c r="C903">
        <v>2</v>
      </c>
    </row>
    <row r="904" spans="1:3" x14ac:dyDescent="0.75">
      <c r="A904" t="s">
        <v>916</v>
      </c>
      <c r="B904" t="s">
        <v>917</v>
      </c>
      <c r="C904">
        <v>2</v>
      </c>
    </row>
    <row r="905" spans="1:3" x14ac:dyDescent="0.75">
      <c r="A905" t="s">
        <v>937</v>
      </c>
      <c r="B905" t="s">
        <v>938</v>
      </c>
      <c r="C905">
        <v>2</v>
      </c>
    </row>
    <row r="906" spans="1:3" x14ac:dyDescent="0.75">
      <c r="A906" t="s">
        <v>927</v>
      </c>
      <c r="B906" t="s">
        <v>928</v>
      </c>
      <c r="C906">
        <v>2</v>
      </c>
    </row>
    <row r="907" spans="1:3" x14ac:dyDescent="0.75">
      <c r="A907" t="s">
        <v>929</v>
      </c>
      <c r="B907" t="s">
        <v>930</v>
      </c>
      <c r="C907">
        <v>2</v>
      </c>
    </row>
    <row r="908" spans="1:3" x14ac:dyDescent="0.75">
      <c r="A908" t="s">
        <v>144</v>
      </c>
      <c r="B908" t="s">
        <v>145</v>
      </c>
      <c r="C908">
        <v>2</v>
      </c>
    </row>
    <row r="909" spans="1:3" x14ac:dyDescent="0.75">
      <c r="A909" t="s">
        <v>146</v>
      </c>
      <c r="B909" t="s">
        <v>147</v>
      </c>
      <c r="C909">
        <v>2</v>
      </c>
    </row>
    <row r="910" spans="1:3" x14ac:dyDescent="0.75">
      <c r="A910" t="s">
        <v>914</v>
      </c>
      <c r="B910" t="s">
        <v>915</v>
      </c>
      <c r="C910">
        <v>2</v>
      </c>
    </row>
    <row r="911" spans="1:3" x14ac:dyDescent="0.75">
      <c r="A911" t="s">
        <v>1919</v>
      </c>
      <c r="B911" t="s">
        <v>1920</v>
      </c>
      <c r="C911">
        <v>2</v>
      </c>
    </row>
    <row r="912" spans="1:3" x14ac:dyDescent="0.75">
      <c r="A912" t="s">
        <v>1267</v>
      </c>
      <c r="B912" t="s">
        <v>1268</v>
      </c>
      <c r="C912">
        <v>1</v>
      </c>
    </row>
    <row r="913" spans="1:3" x14ac:dyDescent="0.75">
      <c r="A913" t="s">
        <v>673</v>
      </c>
      <c r="B913" t="s">
        <v>674</v>
      </c>
      <c r="C913">
        <v>1</v>
      </c>
    </row>
    <row r="914" spans="1:3" x14ac:dyDescent="0.75">
      <c r="A914" t="s">
        <v>1735</v>
      </c>
      <c r="B914" t="s">
        <v>1736</v>
      </c>
      <c r="C914">
        <v>1</v>
      </c>
    </row>
    <row r="915" spans="1:3" x14ac:dyDescent="0.75">
      <c r="A915" t="s">
        <v>1731</v>
      </c>
      <c r="B915" t="s">
        <v>1732</v>
      </c>
      <c r="C915">
        <v>1</v>
      </c>
    </row>
    <row r="916" spans="1:3" x14ac:dyDescent="0.75">
      <c r="A916" t="s">
        <v>384</v>
      </c>
      <c r="B916" t="s">
        <v>385</v>
      </c>
      <c r="C916">
        <v>1</v>
      </c>
    </row>
    <row r="917" spans="1:3" x14ac:dyDescent="0.75">
      <c r="A917" t="s">
        <v>1082</v>
      </c>
      <c r="B917" t="s">
        <v>1083</v>
      </c>
      <c r="C917">
        <v>1</v>
      </c>
    </row>
    <row r="918" spans="1:3" x14ac:dyDescent="0.75">
      <c r="A918" t="s">
        <v>183</v>
      </c>
      <c r="B918" t="s">
        <v>184</v>
      </c>
      <c r="C918">
        <v>1</v>
      </c>
    </row>
    <row r="919" spans="1:3" x14ac:dyDescent="0.75">
      <c r="A919" t="s">
        <v>324</v>
      </c>
      <c r="B919" t="s">
        <v>325</v>
      </c>
      <c r="C919">
        <v>1</v>
      </c>
    </row>
    <row r="920" spans="1:3" x14ac:dyDescent="0.75">
      <c r="A920" t="s">
        <v>904</v>
      </c>
      <c r="B920" t="s">
        <v>905</v>
      </c>
      <c r="C920">
        <v>1</v>
      </c>
    </row>
    <row r="921" spans="1:3" x14ac:dyDescent="0.75">
      <c r="A921" t="s">
        <v>671</v>
      </c>
      <c r="B921" t="s">
        <v>672</v>
      </c>
      <c r="C921">
        <v>1</v>
      </c>
    </row>
    <row r="922" spans="1:3" x14ac:dyDescent="0.75">
      <c r="A922" t="s">
        <v>1291</v>
      </c>
      <c r="B922" t="s">
        <v>1292</v>
      </c>
      <c r="C922">
        <v>1</v>
      </c>
    </row>
    <row r="923" spans="1:3" x14ac:dyDescent="0.75">
      <c r="A923" t="s">
        <v>1733</v>
      </c>
      <c r="B923" t="s">
        <v>1734</v>
      </c>
      <c r="C923">
        <v>1</v>
      </c>
    </row>
    <row r="924" spans="1:3" x14ac:dyDescent="0.75">
      <c r="A924" t="s">
        <v>1257</v>
      </c>
      <c r="B924" t="s">
        <v>1258</v>
      </c>
      <c r="C924">
        <v>1</v>
      </c>
    </row>
    <row r="925" spans="1:3" x14ac:dyDescent="0.75">
      <c r="A925" t="s">
        <v>634</v>
      </c>
      <c r="B925" t="s">
        <v>635</v>
      </c>
      <c r="C925">
        <v>1</v>
      </c>
    </row>
    <row r="926" spans="1:3" x14ac:dyDescent="0.75">
      <c r="A926" t="s">
        <v>630</v>
      </c>
      <c r="B926" t="s">
        <v>631</v>
      </c>
      <c r="C926">
        <v>1</v>
      </c>
    </row>
    <row r="927" spans="1:3" x14ac:dyDescent="0.75">
      <c r="A927" t="s">
        <v>66</v>
      </c>
      <c r="B927" t="s">
        <v>67</v>
      </c>
      <c r="C927">
        <v>1</v>
      </c>
    </row>
    <row r="928" spans="1:3" x14ac:dyDescent="0.75">
      <c r="A928" t="s">
        <v>1199</v>
      </c>
      <c r="B928" t="s">
        <v>1200</v>
      </c>
      <c r="C928">
        <v>1</v>
      </c>
    </row>
    <row r="929" spans="1:3" x14ac:dyDescent="0.75">
      <c r="A929" t="s">
        <v>224</v>
      </c>
      <c r="B929" t="s">
        <v>225</v>
      </c>
      <c r="C929">
        <v>1</v>
      </c>
    </row>
    <row r="930" spans="1:3" x14ac:dyDescent="0.75">
      <c r="A930" t="s">
        <v>1197</v>
      </c>
      <c r="B930" t="s">
        <v>1198</v>
      </c>
      <c r="C930">
        <v>1</v>
      </c>
    </row>
    <row r="931" spans="1:3" x14ac:dyDescent="0.75">
      <c r="A931" t="s">
        <v>1923</v>
      </c>
      <c r="B931" t="s">
        <v>1924</v>
      </c>
      <c r="C931">
        <v>1</v>
      </c>
    </row>
    <row r="932" spans="1:3" x14ac:dyDescent="0.75">
      <c r="A932" t="s">
        <v>1263</v>
      </c>
      <c r="B932" t="s">
        <v>1264</v>
      </c>
      <c r="C932">
        <v>1</v>
      </c>
    </row>
    <row r="933" spans="1:3" x14ac:dyDescent="0.75">
      <c r="A933" t="s">
        <v>82</v>
      </c>
      <c r="B933" t="s">
        <v>83</v>
      </c>
      <c r="C933">
        <v>1</v>
      </c>
    </row>
    <row r="934" spans="1:3" x14ac:dyDescent="0.75">
      <c r="A934" t="s">
        <v>1265</v>
      </c>
      <c r="B934" t="s">
        <v>1266</v>
      </c>
      <c r="C934">
        <v>1</v>
      </c>
    </row>
    <row r="935" spans="1:3" x14ac:dyDescent="0.75">
      <c r="A935" t="s">
        <v>1283</v>
      </c>
      <c r="B935" t="s">
        <v>1284</v>
      </c>
      <c r="C935">
        <v>1</v>
      </c>
    </row>
    <row r="936" spans="1:3" x14ac:dyDescent="0.75">
      <c r="A936" t="s">
        <v>1238</v>
      </c>
      <c r="B936" t="s">
        <v>1239</v>
      </c>
      <c r="C936">
        <v>1</v>
      </c>
    </row>
    <row r="937" spans="1:3" x14ac:dyDescent="0.75">
      <c r="A937" t="s">
        <v>1218</v>
      </c>
      <c r="B937" t="s">
        <v>1219</v>
      </c>
      <c r="C937">
        <v>1</v>
      </c>
    </row>
    <row r="938" spans="1:3" x14ac:dyDescent="0.75">
      <c r="A938" t="s">
        <v>1251</v>
      </c>
      <c r="B938" t="s">
        <v>1252</v>
      </c>
      <c r="C938">
        <v>1</v>
      </c>
    </row>
    <row r="939" spans="1:3" x14ac:dyDescent="0.75">
      <c r="A939" t="s">
        <v>1281</v>
      </c>
      <c r="B939" t="s">
        <v>1282</v>
      </c>
      <c r="C939">
        <v>1</v>
      </c>
    </row>
    <row r="940" spans="1:3" x14ac:dyDescent="0.75">
      <c r="A940" t="s">
        <v>1885</v>
      </c>
      <c r="B940" t="s">
        <v>1886</v>
      </c>
      <c r="C940">
        <v>1</v>
      </c>
    </row>
    <row r="941" spans="1:3" x14ac:dyDescent="0.75">
      <c r="A941" t="s">
        <v>933</v>
      </c>
      <c r="B941" t="s">
        <v>934</v>
      </c>
      <c r="C941">
        <v>1</v>
      </c>
    </row>
    <row r="942" spans="1:3" x14ac:dyDescent="0.75">
      <c r="A942" t="s">
        <v>1911</v>
      </c>
      <c r="B942" t="s">
        <v>1912</v>
      </c>
      <c r="C942">
        <v>1</v>
      </c>
    </row>
    <row r="943" spans="1:3" x14ac:dyDescent="0.75">
      <c r="A943" t="s">
        <v>1285</v>
      </c>
      <c r="B943" t="s">
        <v>1286</v>
      </c>
      <c r="C943">
        <v>1</v>
      </c>
    </row>
    <row r="944" spans="1:3" x14ac:dyDescent="0.75">
      <c r="A944" t="s">
        <v>1849</v>
      </c>
      <c r="B944" t="s">
        <v>1850</v>
      </c>
      <c r="C944">
        <v>1</v>
      </c>
    </row>
    <row r="945" spans="1:3" x14ac:dyDescent="0.75">
      <c r="A945" t="s">
        <v>1272</v>
      </c>
      <c r="B945" t="s">
        <v>1273</v>
      </c>
      <c r="C945">
        <v>1</v>
      </c>
    </row>
    <row r="946" spans="1:3" x14ac:dyDescent="0.75">
      <c r="A946" t="s">
        <v>79</v>
      </c>
      <c r="B946" t="s">
        <v>80</v>
      </c>
      <c r="C946">
        <v>1</v>
      </c>
    </row>
    <row r="947" spans="1:3" x14ac:dyDescent="0.75">
      <c r="A947" t="s">
        <v>1204</v>
      </c>
      <c r="B947" t="s">
        <v>1205</v>
      </c>
      <c r="C947">
        <v>1</v>
      </c>
    </row>
    <row r="948" spans="1:3" x14ac:dyDescent="0.75">
      <c r="A948" t="s">
        <v>1247</v>
      </c>
      <c r="B948" t="s">
        <v>1248</v>
      </c>
      <c r="C948">
        <v>1</v>
      </c>
    </row>
    <row r="949" spans="1:3" x14ac:dyDescent="0.75">
      <c r="A949" t="s">
        <v>1915</v>
      </c>
      <c r="B949" t="s">
        <v>1916</v>
      </c>
      <c r="C949">
        <v>1</v>
      </c>
    </row>
    <row r="950" spans="1:3" x14ac:dyDescent="0.75">
      <c r="A950" t="s">
        <v>1242</v>
      </c>
      <c r="B950" t="s">
        <v>161</v>
      </c>
      <c r="C950">
        <v>1</v>
      </c>
    </row>
    <row r="951" spans="1:3" x14ac:dyDescent="0.75">
      <c r="A951" t="s">
        <v>1852</v>
      </c>
      <c r="B951" t="s">
        <v>1853</v>
      </c>
      <c r="C951">
        <v>1</v>
      </c>
    </row>
    <row r="952" spans="1:3" x14ac:dyDescent="0.75">
      <c r="A952" t="s">
        <v>1243</v>
      </c>
      <c r="B952" t="s">
        <v>1244</v>
      </c>
      <c r="C952">
        <v>1</v>
      </c>
    </row>
    <row r="953" spans="1:3" x14ac:dyDescent="0.75">
      <c r="A953" t="s">
        <v>890</v>
      </c>
      <c r="B953" t="s">
        <v>891</v>
      </c>
      <c r="C953">
        <v>1</v>
      </c>
    </row>
    <row r="954" spans="1:3" x14ac:dyDescent="0.75">
      <c r="A954" t="s">
        <v>1917</v>
      </c>
      <c r="B954" t="s">
        <v>1918</v>
      </c>
      <c r="C954">
        <v>1</v>
      </c>
    </row>
    <row r="955" spans="1:3" x14ac:dyDescent="0.75">
      <c r="A955" t="s">
        <v>1212</v>
      </c>
      <c r="B955" t="s">
        <v>1213</v>
      </c>
      <c r="C955">
        <v>1</v>
      </c>
    </row>
    <row r="956" spans="1:3" x14ac:dyDescent="0.75">
      <c r="A956" t="s">
        <v>879</v>
      </c>
      <c r="B956" t="s">
        <v>880</v>
      </c>
      <c r="C956">
        <v>1</v>
      </c>
    </row>
    <row r="957" spans="1:3" x14ac:dyDescent="0.75">
      <c r="A957" t="s">
        <v>1202</v>
      </c>
      <c r="B957" t="s">
        <v>1203</v>
      </c>
      <c r="C957">
        <v>1</v>
      </c>
    </row>
    <row r="958" spans="1:3" x14ac:dyDescent="0.75">
      <c r="A958" t="s">
        <v>1245</v>
      </c>
      <c r="B958" t="s">
        <v>1246</v>
      </c>
      <c r="C958">
        <v>1</v>
      </c>
    </row>
    <row r="959" spans="1:3" x14ac:dyDescent="0.75">
      <c r="A959" t="s">
        <v>902</v>
      </c>
      <c r="B959" t="s">
        <v>903</v>
      </c>
      <c r="C959">
        <v>1</v>
      </c>
    </row>
    <row r="960" spans="1:3" x14ac:dyDescent="0.75">
      <c r="A960" t="s">
        <v>76</v>
      </c>
      <c r="B960" t="s">
        <v>77</v>
      </c>
      <c r="C960">
        <v>1</v>
      </c>
    </row>
    <row r="961" spans="1:3" x14ac:dyDescent="0.75">
      <c r="A961" t="s">
        <v>1249</v>
      </c>
      <c r="B961" t="s">
        <v>1250</v>
      </c>
      <c r="C961">
        <v>1</v>
      </c>
    </row>
    <row r="962" spans="1:3" x14ac:dyDescent="0.75">
      <c r="A962" t="s">
        <v>44</v>
      </c>
      <c r="B962" t="s">
        <v>45</v>
      </c>
      <c r="C962">
        <v>1</v>
      </c>
    </row>
    <row r="963" spans="1:3" x14ac:dyDescent="0.75">
      <c r="A963" t="s">
        <v>105</v>
      </c>
      <c r="B963" t="s">
        <v>106</v>
      </c>
      <c r="C963">
        <v>1</v>
      </c>
    </row>
    <row r="964" spans="1:3" x14ac:dyDescent="0.75">
      <c r="A964" t="s">
        <v>883</v>
      </c>
      <c r="B964" t="s">
        <v>884</v>
      </c>
      <c r="C964">
        <v>1</v>
      </c>
    </row>
    <row r="965" spans="1:3" x14ac:dyDescent="0.75">
      <c r="A965" t="s">
        <v>1214</v>
      </c>
      <c r="B965" t="s">
        <v>1215</v>
      </c>
      <c r="C965">
        <v>1</v>
      </c>
    </row>
    <row r="966" spans="1:3" x14ac:dyDescent="0.75">
      <c r="A966" t="s">
        <v>897</v>
      </c>
      <c r="B966" t="s">
        <v>898</v>
      </c>
      <c r="C966">
        <v>1</v>
      </c>
    </row>
    <row r="967" spans="1:3" x14ac:dyDescent="0.75">
      <c r="A967" t="s">
        <v>1235</v>
      </c>
      <c r="B967" t="s">
        <v>1236</v>
      </c>
      <c r="C967">
        <v>1</v>
      </c>
    </row>
    <row r="968" spans="1:3" x14ac:dyDescent="0.75">
      <c r="A968" t="s">
        <v>1253</v>
      </c>
      <c r="B968" t="s">
        <v>1254</v>
      </c>
      <c r="C968">
        <v>1</v>
      </c>
    </row>
    <row r="969" spans="1:3" x14ac:dyDescent="0.75">
      <c r="A969" t="s">
        <v>1255</v>
      </c>
      <c r="B969" t="s">
        <v>1256</v>
      </c>
      <c r="C969">
        <v>1</v>
      </c>
    </row>
    <row r="970" spans="1:3" x14ac:dyDescent="0.75">
      <c r="A970" t="s">
        <v>2987</v>
      </c>
      <c r="C970">
        <v>721025168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DA80-A7A7-4CF1-8848-178D2C441ACA}">
  <sheetPr filterMode="1"/>
  <dimension ref="A3:G102"/>
  <sheetViews>
    <sheetView tabSelected="1" workbookViewId="0">
      <selection activeCell="B13" sqref="B13"/>
    </sheetView>
  </sheetViews>
  <sheetFormatPr defaultRowHeight="14.75" x14ac:dyDescent="0.75"/>
  <cols>
    <col min="1" max="1" width="50.5" bestFit="1" customWidth="1"/>
    <col min="2" max="2" width="14.76953125" bestFit="1" customWidth="1"/>
    <col min="3" max="3" width="17.08984375" customWidth="1"/>
    <col min="4" max="4" width="14.58984375" customWidth="1"/>
    <col min="5" max="5" width="28.26953125" bestFit="1" customWidth="1"/>
    <col min="6" max="6" width="16.76953125" customWidth="1"/>
    <col min="7" max="7" width="19.81640625" bestFit="1" customWidth="1"/>
  </cols>
  <sheetData>
    <row r="3" spans="1:7" x14ac:dyDescent="0.75">
      <c r="A3" s="4" t="s">
        <v>2986</v>
      </c>
      <c r="B3" t="s">
        <v>2988</v>
      </c>
      <c r="E3" t="s">
        <v>3003</v>
      </c>
      <c r="F3" t="s">
        <v>2997</v>
      </c>
      <c r="G3" t="s">
        <v>3007</v>
      </c>
    </row>
    <row r="4" spans="1:7" x14ac:dyDescent="0.75">
      <c r="A4" s="7" t="s">
        <v>699</v>
      </c>
      <c r="B4">
        <v>298127655</v>
      </c>
      <c r="C4" t="s">
        <v>3076</v>
      </c>
      <c r="D4" t="s">
        <v>3014</v>
      </c>
      <c r="E4" t="s">
        <v>3023</v>
      </c>
      <c r="F4" t="s">
        <v>2998</v>
      </c>
    </row>
    <row r="5" spans="1:7" x14ac:dyDescent="0.75">
      <c r="A5" s="7" t="s">
        <v>23</v>
      </c>
      <c r="B5">
        <v>85017459</v>
      </c>
      <c r="C5" t="s">
        <v>3076</v>
      </c>
      <c r="D5" t="s">
        <v>3014</v>
      </c>
      <c r="E5" t="s">
        <v>3024</v>
      </c>
      <c r="F5" t="s">
        <v>2999</v>
      </c>
    </row>
    <row r="6" spans="1:7" x14ac:dyDescent="0.75">
      <c r="A6" s="7" t="s">
        <v>550</v>
      </c>
      <c r="B6">
        <v>66546750</v>
      </c>
      <c r="C6" t="s">
        <v>3076</v>
      </c>
      <c r="D6" t="s">
        <v>3014</v>
      </c>
      <c r="E6" t="s">
        <v>3023</v>
      </c>
      <c r="F6" t="s">
        <v>2998</v>
      </c>
    </row>
    <row r="7" spans="1:7" x14ac:dyDescent="0.75">
      <c r="A7" s="7" t="s">
        <v>847</v>
      </c>
      <c r="B7">
        <v>61098680</v>
      </c>
      <c r="C7" t="s">
        <v>3076</v>
      </c>
      <c r="D7" t="s">
        <v>3014</v>
      </c>
      <c r="E7" t="s">
        <v>3025</v>
      </c>
      <c r="F7" t="s">
        <v>3000</v>
      </c>
    </row>
    <row r="8" spans="1:7" x14ac:dyDescent="0.75">
      <c r="A8" s="7" t="s">
        <v>566</v>
      </c>
      <c r="B8">
        <v>57043200</v>
      </c>
      <c r="C8" t="s">
        <v>3076</v>
      </c>
      <c r="D8" t="s">
        <v>3014</v>
      </c>
      <c r="E8" t="s">
        <v>3023</v>
      </c>
      <c r="F8" t="s">
        <v>2998</v>
      </c>
    </row>
    <row r="9" spans="1:7" x14ac:dyDescent="0.75">
      <c r="A9" s="7" t="s">
        <v>758</v>
      </c>
      <c r="B9">
        <v>50469600</v>
      </c>
      <c r="C9" t="s">
        <v>3076</v>
      </c>
      <c r="D9" t="s">
        <v>3014</v>
      </c>
      <c r="E9" t="s">
        <v>3023</v>
      </c>
      <c r="F9" t="s">
        <v>2998</v>
      </c>
    </row>
    <row r="10" spans="1:7" x14ac:dyDescent="0.75">
      <c r="A10" s="7" t="s">
        <v>289</v>
      </c>
      <c r="B10">
        <v>39507200</v>
      </c>
      <c r="C10" t="s">
        <v>3076</v>
      </c>
      <c r="D10" t="s">
        <v>3014</v>
      </c>
      <c r="E10" t="s">
        <v>3023</v>
      </c>
      <c r="F10" t="s">
        <v>2998</v>
      </c>
    </row>
    <row r="11" spans="1:7" x14ac:dyDescent="0.75">
      <c r="A11" s="7" t="s">
        <v>474</v>
      </c>
      <c r="B11">
        <v>18793536</v>
      </c>
      <c r="C11" t="s">
        <v>3076</v>
      </c>
      <c r="D11" t="s">
        <v>3014</v>
      </c>
      <c r="E11" t="s">
        <v>3055</v>
      </c>
      <c r="F11" t="s">
        <v>3001</v>
      </c>
    </row>
    <row r="12" spans="1:7" hidden="1" x14ac:dyDescent="0.75">
      <c r="A12" s="5" t="s">
        <v>201</v>
      </c>
      <c r="B12">
        <v>4509584</v>
      </c>
      <c r="C12" t="s">
        <v>3077</v>
      </c>
      <c r="D12" t="s">
        <v>3014</v>
      </c>
      <c r="E12" t="s">
        <v>3027</v>
      </c>
      <c r="F12" t="s">
        <v>3002</v>
      </c>
    </row>
    <row r="13" spans="1:7" x14ac:dyDescent="0.75">
      <c r="A13" s="7" t="s">
        <v>743</v>
      </c>
      <c r="B13">
        <v>3533436</v>
      </c>
      <c r="C13" t="s">
        <v>3076</v>
      </c>
      <c r="D13" t="s">
        <v>3014</v>
      </c>
      <c r="E13" t="s">
        <v>3051</v>
      </c>
    </row>
    <row r="14" spans="1:7" hidden="1" x14ac:dyDescent="0.75">
      <c r="A14" s="5" t="s">
        <v>168</v>
      </c>
      <c r="B14">
        <v>2927109</v>
      </c>
      <c r="C14" t="s">
        <v>3077</v>
      </c>
      <c r="D14" t="s">
        <v>3014</v>
      </c>
      <c r="E14" t="s">
        <v>3029</v>
      </c>
      <c r="F14" t="s">
        <v>3004</v>
      </c>
    </row>
    <row r="15" spans="1:7" hidden="1" x14ac:dyDescent="0.75">
      <c r="A15" s="5" t="s">
        <v>589</v>
      </c>
      <c r="B15">
        <v>2839674</v>
      </c>
      <c r="C15" t="s">
        <v>3077</v>
      </c>
      <c r="D15" t="s">
        <v>3014</v>
      </c>
      <c r="E15" t="s">
        <v>3030</v>
      </c>
      <c r="F15" t="s">
        <v>3005</v>
      </c>
    </row>
    <row r="16" spans="1:7" hidden="1" x14ac:dyDescent="0.75">
      <c r="A16" s="5" t="s">
        <v>390</v>
      </c>
      <c r="B16">
        <v>2457311</v>
      </c>
      <c r="C16" t="s">
        <v>3077</v>
      </c>
      <c r="D16" t="s">
        <v>3014</v>
      </c>
      <c r="E16" t="s">
        <v>3031</v>
      </c>
      <c r="F16" t="s">
        <v>3008</v>
      </c>
    </row>
    <row r="17" spans="1:6" x14ac:dyDescent="0.75">
      <c r="A17" s="7" t="s">
        <v>794</v>
      </c>
      <c r="B17">
        <v>2401024</v>
      </c>
      <c r="C17" t="s">
        <v>3076</v>
      </c>
      <c r="D17" t="s">
        <v>3014</v>
      </c>
      <c r="E17" t="s">
        <v>3032</v>
      </c>
      <c r="F17" t="s">
        <v>3000</v>
      </c>
    </row>
    <row r="18" spans="1:6" hidden="1" x14ac:dyDescent="0.75">
      <c r="A18" s="5" t="s">
        <v>238</v>
      </c>
      <c r="B18">
        <v>2190942</v>
      </c>
      <c r="C18" t="s">
        <v>3077</v>
      </c>
      <c r="D18" t="s">
        <v>3014</v>
      </c>
      <c r="F18" t="s">
        <v>3006</v>
      </c>
    </row>
    <row r="19" spans="1:6" hidden="1" x14ac:dyDescent="0.75">
      <c r="A19" s="5" t="s">
        <v>487</v>
      </c>
      <c r="B19">
        <v>2000972</v>
      </c>
      <c r="C19" t="s">
        <v>3077</v>
      </c>
      <c r="D19" t="s">
        <v>3014</v>
      </c>
      <c r="E19" t="s">
        <v>3033</v>
      </c>
      <c r="F19" t="s">
        <v>3009</v>
      </c>
    </row>
    <row r="20" spans="1:6" x14ac:dyDescent="0.75">
      <c r="A20" s="7" t="s">
        <v>2730</v>
      </c>
      <c r="B20">
        <v>1926400</v>
      </c>
      <c r="C20" t="s">
        <v>3076</v>
      </c>
      <c r="D20" t="s">
        <v>3014</v>
      </c>
      <c r="E20" t="s">
        <v>3023</v>
      </c>
      <c r="F20" t="s">
        <v>3000</v>
      </c>
    </row>
    <row r="21" spans="1:6" hidden="1" x14ac:dyDescent="0.75">
      <c r="A21" s="5" t="s">
        <v>297</v>
      </c>
      <c r="B21">
        <v>1791540</v>
      </c>
      <c r="C21" t="s">
        <v>3077</v>
      </c>
      <c r="D21" t="s">
        <v>3014</v>
      </c>
      <c r="E21" t="s">
        <v>3029</v>
      </c>
      <c r="F21" t="s">
        <v>3004</v>
      </c>
    </row>
    <row r="22" spans="1:6" hidden="1" x14ac:dyDescent="0.75">
      <c r="A22" s="5" t="s">
        <v>1444</v>
      </c>
      <c r="B22">
        <v>1362764</v>
      </c>
      <c r="C22" t="s">
        <v>3077</v>
      </c>
      <c r="D22" t="s">
        <v>3014</v>
      </c>
      <c r="E22" t="s">
        <v>3019</v>
      </c>
      <c r="F22" t="s">
        <v>3010</v>
      </c>
    </row>
    <row r="23" spans="1:6" hidden="1" x14ac:dyDescent="0.75">
      <c r="A23" s="5" t="s">
        <v>1788</v>
      </c>
      <c r="B23">
        <v>1156830</v>
      </c>
      <c r="C23" t="s">
        <v>3077</v>
      </c>
      <c r="D23" t="s">
        <v>3014</v>
      </c>
      <c r="E23" t="s">
        <v>3029</v>
      </c>
    </row>
    <row r="24" spans="1:6" hidden="1" x14ac:dyDescent="0.75">
      <c r="A24" s="5" t="s">
        <v>360</v>
      </c>
      <c r="B24">
        <v>1100236</v>
      </c>
      <c r="C24" t="s">
        <v>3077</v>
      </c>
      <c r="D24" t="s">
        <v>3014</v>
      </c>
      <c r="E24" t="s">
        <v>3033</v>
      </c>
      <c r="F24" t="s">
        <v>3009</v>
      </c>
    </row>
    <row r="25" spans="1:6" hidden="1" x14ac:dyDescent="0.75">
      <c r="A25" s="5" t="s">
        <v>1125</v>
      </c>
      <c r="B25">
        <v>931792</v>
      </c>
      <c r="C25" t="s">
        <v>3077</v>
      </c>
      <c r="D25" t="s">
        <v>3014</v>
      </c>
      <c r="E25" t="s">
        <v>3035</v>
      </c>
      <c r="F25" t="s">
        <v>3012</v>
      </c>
    </row>
    <row r="26" spans="1:6" x14ac:dyDescent="0.75">
      <c r="A26" s="7" t="s">
        <v>762</v>
      </c>
      <c r="B26">
        <v>900500</v>
      </c>
      <c r="C26" t="s">
        <v>3076</v>
      </c>
    </row>
    <row r="27" spans="1:6" hidden="1" x14ac:dyDescent="0.75">
      <c r="A27" s="5" t="s">
        <v>1766</v>
      </c>
      <c r="B27">
        <v>871780</v>
      </c>
      <c r="C27" t="s">
        <v>3077</v>
      </c>
      <c r="D27" t="s">
        <v>3014</v>
      </c>
    </row>
    <row r="28" spans="1:6" hidden="1" x14ac:dyDescent="0.75">
      <c r="A28" s="5" t="s">
        <v>1113</v>
      </c>
      <c r="B28">
        <v>810186</v>
      </c>
      <c r="C28" t="s">
        <v>3077</v>
      </c>
      <c r="D28" t="s">
        <v>3014</v>
      </c>
      <c r="E28" t="s">
        <v>3034</v>
      </c>
      <c r="F28" t="s">
        <v>3009</v>
      </c>
    </row>
    <row r="29" spans="1:6" x14ac:dyDescent="0.75">
      <c r="A29" s="7" t="s">
        <v>2179</v>
      </c>
      <c r="B29">
        <v>803724</v>
      </c>
      <c r="C29" t="s">
        <v>3076</v>
      </c>
      <c r="D29" t="s">
        <v>3014</v>
      </c>
      <c r="E29" t="s">
        <v>3017</v>
      </c>
      <c r="F29" t="s">
        <v>3005</v>
      </c>
    </row>
    <row r="30" spans="1:6" hidden="1" x14ac:dyDescent="0.75">
      <c r="A30" s="5" t="s">
        <v>407</v>
      </c>
      <c r="B30">
        <v>750722</v>
      </c>
      <c r="C30" t="s">
        <v>3077</v>
      </c>
      <c r="D30" t="s">
        <v>3014</v>
      </c>
      <c r="E30" t="s">
        <v>3020</v>
      </c>
      <c r="F30" t="s">
        <v>3010</v>
      </c>
    </row>
    <row r="31" spans="1:6" x14ac:dyDescent="0.75">
      <c r="A31" s="7" t="s">
        <v>262</v>
      </c>
      <c r="B31">
        <v>683597</v>
      </c>
      <c r="C31" t="s">
        <v>3076</v>
      </c>
      <c r="D31" t="s">
        <v>3014</v>
      </c>
      <c r="E31" t="s">
        <v>3019</v>
      </c>
      <c r="F31" t="s">
        <v>3010</v>
      </c>
    </row>
    <row r="32" spans="1:6" hidden="1" x14ac:dyDescent="0.75">
      <c r="A32" s="5" t="s">
        <v>256</v>
      </c>
      <c r="B32">
        <v>674226</v>
      </c>
      <c r="C32" t="s">
        <v>3077</v>
      </c>
      <c r="D32" t="s">
        <v>3014</v>
      </c>
      <c r="E32" t="s">
        <v>3030</v>
      </c>
      <c r="F32" t="s">
        <v>3011</v>
      </c>
    </row>
    <row r="33" spans="1:6" hidden="1" x14ac:dyDescent="0.75">
      <c r="A33" s="5" t="s">
        <v>38</v>
      </c>
      <c r="B33">
        <v>621674</v>
      </c>
      <c r="C33" t="s">
        <v>3077</v>
      </c>
      <c r="D33" t="s">
        <v>3014</v>
      </c>
      <c r="E33" t="s">
        <v>3036</v>
      </c>
    </row>
    <row r="34" spans="1:6" x14ac:dyDescent="0.75">
      <c r="A34" s="7" t="s">
        <v>583</v>
      </c>
      <c r="B34">
        <v>620004</v>
      </c>
      <c r="C34" t="s">
        <v>3076</v>
      </c>
      <c r="D34" t="s">
        <v>3014</v>
      </c>
      <c r="E34" t="s">
        <v>3037</v>
      </c>
    </row>
    <row r="35" spans="1:6" x14ac:dyDescent="0.75">
      <c r="A35" s="7" t="s">
        <v>1858</v>
      </c>
      <c r="B35">
        <v>519984</v>
      </c>
      <c r="C35" t="s">
        <v>3076</v>
      </c>
      <c r="D35" t="s">
        <v>3014</v>
      </c>
      <c r="E35" t="s">
        <v>3038</v>
      </c>
    </row>
    <row r="36" spans="1:6" hidden="1" x14ac:dyDescent="0.75">
      <c r="A36" s="5" t="s">
        <v>1121</v>
      </c>
      <c r="B36">
        <v>504180</v>
      </c>
      <c r="C36" t="s">
        <v>3077</v>
      </c>
      <c r="D36" t="s">
        <v>3014</v>
      </c>
      <c r="E36" t="s">
        <v>3052</v>
      </c>
      <c r="F36" t="s">
        <v>3016</v>
      </c>
    </row>
    <row r="37" spans="1:6" hidden="1" x14ac:dyDescent="0.75">
      <c r="A37" s="5" t="s">
        <v>1353</v>
      </c>
      <c r="B37">
        <v>455220</v>
      </c>
      <c r="C37" t="s">
        <v>3077</v>
      </c>
      <c r="D37" t="s">
        <v>3014</v>
      </c>
      <c r="E37" t="s">
        <v>3030</v>
      </c>
      <c r="F37" t="s">
        <v>3011</v>
      </c>
    </row>
    <row r="38" spans="1:6" hidden="1" x14ac:dyDescent="0.75">
      <c r="A38" s="5" t="s">
        <v>429</v>
      </c>
      <c r="B38">
        <v>409920</v>
      </c>
      <c r="C38" t="s">
        <v>3077</v>
      </c>
      <c r="D38" t="s">
        <v>3014</v>
      </c>
      <c r="E38" t="s">
        <v>3027</v>
      </c>
      <c r="F38" t="s">
        <v>3002</v>
      </c>
    </row>
    <row r="39" spans="1:6" hidden="1" x14ac:dyDescent="0.75">
      <c r="A39" s="5" t="s">
        <v>208</v>
      </c>
      <c r="B39">
        <v>396923</v>
      </c>
      <c r="C39" t="s">
        <v>3077</v>
      </c>
      <c r="D39" t="s">
        <v>3014</v>
      </c>
      <c r="E39" t="s">
        <v>3040</v>
      </c>
      <c r="F39" t="s">
        <v>3012</v>
      </c>
    </row>
    <row r="40" spans="1:6" hidden="1" x14ac:dyDescent="0.75">
      <c r="A40" s="5" t="s">
        <v>279</v>
      </c>
      <c r="B40">
        <v>318060</v>
      </c>
      <c r="C40" t="s">
        <v>3077</v>
      </c>
      <c r="D40" t="s">
        <v>3014</v>
      </c>
      <c r="E40" t="s">
        <v>3041</v>
      </c>
      <c r="F40" t="s">
        <v>3009</v>
      </c>
    </row>
    <row r="41" spans="1:6" hidden="1" x14ac:dyDescent="0.75">
      <c r="A41" s="5" t="s">
        <v>311</v>
      </c>
      <c r="B41">
        <v>293722</v>
      </c>
      <c r="C41" t="s">
        <v>3077</v>
      </c>
      <c r="D41" t="s">
        <v>3014</v>
      </c>
      <c r="E41" t="s">
        <v>3021</v>
      </c>
      <c r="F41" t="s">
        <v>3004</v>
      </c>
    </row>
    <row r="42" spans="1:6" hidden="1" x14ac:dyDescent="0.75">
      <c r="A42" s="5" t="s">
        <v>1386</v>
      </c>
      <c r="B42">
        <v>274968</v>
      </c>
      <c r="C42" t="s">
        <v>3077</v>
      </c>
      <c r="D42" t="s">
        <v>3014</v>
      </c>
      <c r="E42" t="s">
        <v>3022</v>
      </c>
      <c r="F42" t="s">
        <v>3015</v>
      </c>
    </row>
    <row r="43" spans="1:6" x14ac:dyDescent="0.75">
      <c r="A43" s="7" t="s">
        <v>412</v>
      </c>
      <c r="B43">
        <v>268392</v>
      </c>
      <c r="C43" t="s">
        <v>3076</v>
      </c>
      <c r="D43" t="s">
        <v>3014</v>
      </c>
      <c r="E43" t="s">
        <v>3019</v>
      </c>
      <c r="F43" t="s">
        <v>3010</v>
      </c>
    </row>
    <row r="44" spans="1:6" hidden="1" x14ac:dyDescent="0.75">
      <c r="A44" s="5" t="s">
        <v>641</v>
      </c>
      <c r="B44">
        <v>244480</v>
      </c>
      <c r="C44" t="s">
        <v>3077</v>
      </c>
      <c r="D44" t="s">
        <v>3014</v>
      </c>
      <c r="E44" t="s">
        <v>3040</v>
      </c>
      <c r="F44" t="s">
        <v>3012</v>
      </c>
    </row>
    <row r="45" spans="1:6" hidden="1" x14ac:dyDescent="0.75">
      <c r="A45" s="5" t="s">
        <v>1457</v>
      </c>
      <c r="B45">
        <v>237358</v>
      </c>
      <c r="C45" t="s">
        <v>3077</v>
      </c>
      <c r="D45" t="s">
        <v>3014</v>
      </c>
      <c r="E45" t="s">
        <v>3053</v>
      </c>
    </row>
    <row r="46" spans="1:6" hidden="1" x14ac:dyDescent="0.75">
      <c r="A46" s="5" t="s">
        <v>17</v>
      </c>
      <c r="B46">
        <v>230630</v>
      </c>
      <c r="C46" t="s">
        <v>3077</v>
      </c>
      <c r="D46" t="s">
        <v>3014</v>
      </c>
      <c r="E46" t="s">
        <v>3030</v>
      </c>
      <c r="F46" t="s">
        <v>3011</v>
      </c>
    </row>
    <row r="47" spans="1:6" x14ac:dyDescent="0.75">
      <c r="A47" s="7" t="s">
        <v>500</v>
      </c>
      <c r="B47">
        <v>230004</v>
      </c>
      <c r="C47" t="s">
        <v>3076</v>
      </c>
      <c r="D47" t="s">
        <v>3014</v>
      </c>
      <c r="E47" t="s">
        <v>3017</v>
      </c>
      <c r="F47" t="s">
        <v>3005</v>
      </c>
    </row>
    <row r="48" spans="1:6" hidden="1" x14ac:dyDescent="0.75">
      <c r="A48" s="5" t="s">
        <v>441</v>
      </c>
      <c r="B48">
        <v>227407</v>
      </c>
      <c r="C48" t="s">
        <v>3077</v>
      </c>
      <c r="D48" t="s">
        <v>3014</v>
      </c>
      <c r="E48" t="s">
        <v>3030</v>
      </c>
      <c r="F48" t="s">
        <v>3008</v>
      </c>
    </row>
    <row r="49" spans="1:6" hidden="1" x14ac:dyDescent="0.75">
      <c r="A49" s="5" t="s">
        <v>1930</v>
      </c>
      <c r="B49">
        <v>200178</v>
      </c>
      <c r="C49" t="s">
        <v>3077</v>
      </c>
      <c r="D49" t="s">
        <v>3014</v>
      </c>
      <c r="E49" t="s">
        <v>3029</v>
      </c>
    </row>
    <row r="50" spans="1:6" hidden="1" x14ac:dyDescent="0.75">
      <c r="A50" s="5" t="s">
        <v>661</v>
      </c>
      <c r="B50">
        <v>200016</v>
      </c>
      <c r="C50" t="s">
        <v>3077</v>
      </c>
      <c r="D50" t="s">
        <v>3014</v>
      </c>
      <c r="E50" t="s">
        <v>3019</v>
      </c>
    </row>
    <row r="51" spans="1:6" x14ac:dyDescent="0.75">
      <c r="A51" s="7" t="s">
        <v>534</v>
      </c>
      <c r="B51">
        <v>194553</v>
      </c>
      <c r="C51" t="s">
        <v>3076</v>
      </c>
      <c r="D51" t="s">
        <v>3014</v>
      </c>
      <c r="E51" t="s">
        <v>3020</v>
      </c>
    </row>
    <row r="52" spans="1:6" hidden="1" x14ac:dyDescent="0.75">
      <c r="A52" s="5" t="s">
        <v>1486</v>
      </c>
      <c r="B52">
        <v>183018</v>
      </c>
      <c r="C52" t="s">
        <v>3077</v>
      </c>
      <c r="D52" t="s">
        <v>3014</v>
      </c>
      <c r="E52" t="s">
        <v>3018</v>
      </c>
      <c r="F52" t="s">
        <v>3016</v>
      </c>
    </row>
    <row r="53" spans="1:6" x14ac:dyDescent="0.75">
      <c r="A53" s="7" t="s">
        <v>1948</v>
      </c>
      <c r="B53">
        <v>180000</v>
      </c>
      <c r="C53" t="s">
        <v>3076</v>
      </c>
      <c r="D53" t="s">
        <v>3014</v>
      </c>
      <c r="E53" t="s">
        <v>3017</v>
      </c>
    </row>
    <row r="54" spans="1:6" hidden="1" x14ac:dyDescent="0.75">
      <c r="A54" s="5" t="s">
        <v>437</v>
      </c>
      <c r="B54">
        <v>160326</v>
      </c>
      <c r="C54" t="s">
        <v>3077</v>
      </c>
      <c r="D54" t="s">
        <v>3014</v>
      </c>
      <c r="E54" t="s">
        <v>3039</v>
      </c>
      <c r="F54" t="s">
        <v>3002</v>
      </c>
    </row>
    <row r="55" spans="1:6" hidden="1" x14ac:dyDescent="0.75">
      <c r="A55" s="5" t="s">
        <v>1957</v>
      </c>
      <c r="B55">
        <v>116496</v>
      </c>
      <c r="C55" t="s">
        <v>3077</v>
      </c>
      <c r="D55" t="s">
        <v>3014</v>
      </c>
      <c r="E55" t="s">
        <v>3029</v>
      </c>
    </row>
    <row r="56" spans="1:6" hidden="1" x14ac:dyDescent="0.75">
      <c r="A56" s="5" t="s">
        <v>1790</v>
      </c>
      <c r="B56">
        <v>83880</v>
      </c>
      <c r="C56" t="s">
        <v>3077</v>
      </c>
      <c r="D56" t="s">
        <v>3014</v>
      </c>
      <c r="E56" t="s">
        <v>3029</v>
      </c>
    </row>
    <row r="57" spans="1:6" hidden="1" x14ac:dyDescent="0.75">
      <c r="A57" s="5" t="s">
        <v>2933</v>
      </c>
      <c r="B57">
        <v>69102</v>
      </c>
      <c r="C57" t="s">
        <v>3077</v>
      </c>
      <c r="D57" t="s">
        <v>3014</v>
      </c>
      <c r="E57" t="s">
        <v>3022</v>
      </c>
      <c r="F57" t="s">
        <v>3015</v>
      </c>
    </row>
    <row r="58" spans="1:6" x14ac:dyDescent="0.75">
      <c r="A58" s="7" t="s">
        <v>522</v>
      </c>
      <c r="B58">
        <v>50163</v>
      </c>
      <c r="C58" t="s">
        <v>3076</v>
      </c>
      <c r="D58" t="s">
        <v>3014</v>
      </c>
      <c r="E58" t="s">
        <v>3030</v>
      </c>
      <c r="F58" t="s">
        <v>3005</v>
      </c>
    </row>
    <row r="59" spans="1:6" hidden="1" x14ac:dyDescent="0.75">
      <c r="A59" s="5" t="s">
        <v>663</v>
      </c>
      <c r="B59">
        <v>45781</v>
      </c>
      <c r="C59" t="s">
        <v>3077</v>
      </c>
      <c r="D59" t="s">
        <v>3014</v>
      </c>
      <c r="E59" t="s">
        <v>3040</v>
      </c>
    </row>
    <row r="60" spans="1:6" hidden="1" x14ac:dyDescent="0.75">
      <c r="A60" s="5" t="s">
        <v>2064</v>
      </c>
      <c r="B60">
        <v>43398</v>
      </c>
      <c r="C60" t="s">
        <v>3077</v>
      </c>
      <c r="D60" t="s">
        <v>3014</v>
      </c>
      <c r="E60" t="s">
        <v>3039</v>
      </c>
      <c r="F60" t="s">
        <v>3002</v>
      </c>
    </row>
    <row r="61" spans="1:6" hidden="1" x14ac:dyDescent="0.75">
      <c r="A61" s="5" t="s">
        <v>783</v>
      </c>
      <c r="B61">
        <v>38502</v>
      </c>
      <c r="C61" t="s">
        <v>3077</v>
      </c>
      <c r="D61" t="s">
        <v>3014</v>
      </c>
      <c r="E61" t="s">
        <v>3056</v>
      </c>
    </row>
    <row r="62" spans="1:6" hidden="1" x14ac:dyDescent="0.75">
      <c r="A62" s="5" t="s">
        <v>53</v>
      </c>
      <c r="B62">
        <v>31615</v>
      </c>
      <c r="C62" t="s">
        <v>3045</v>
      </c>
      <c r="D62" t="s">
        <v>3014</v>
      </c>
      <c r="E62" t="s">
        <v>3045</v>
      </c>
    </row>
    <row r="63" spans="1:6" x14ac:dyDescent="0.75">
      <c r="A63" s="7" t="s">
        <v>1876</v>
      </c>
      <c r="B63">
        <v>30000</v>
      </c>
      <c r="C63" t="s">
        <v>3076</v>
      </c>
      <c r="D63" t="s">
        <v>3014</v>
      </c>
      <c r="E63" t="s">
        <v>3029</v>
      </c>
    </row>
    <row r="64" spans="1:6" x14ac:dyDescent="0.75">
      <c r="A64" s="7" t="s">
        <v>695</v>
      </c>
      <c r="B64">
        <v>29514</v>
      </c>
      <c r="C64" t="s">
        <v>3076</v>
      </c>
      <c r="D64" t="s">
        <v>3014</v>
      </c>
      <c r="E64" t="s">
        <v>3049</v>
      </c>
    </row>
    <row r="65" spans="1:6" x14ac:dyDescent="0.75">
      <c r="A65" s="7" t="s">
        <v>1872</v>
      </c>
      <c r="B65">
        <v>28000</v>
      </c>
      <c r="C65" t="s">
        <v>3076</v>
      </c>
      <c r="D65" t="s">
        <v>3014</v>
      </c>
      <c r="E65" t="s">
        <v>3050</v>
      </c>
    </row>
    <row r="66" spans="1:6" hidden="1" x14ac:dyDescent="0.75">
      <c r="A66" s="5" t="s">
        <v>509</v>
      </c>
      <c r="B66">
        <v>27825</v>
      </c>
      <c r="C66" t="s">
        <v>3077</v>
      </c>
      <c r="D66" t="s">
        <v>3014</v>
      </c>
      <c r="E66" t="s">
        <v>3030</v>
      </c>
      <c r="F66" t="s">
        <v>3011</v>
      </c>
    </row>
    <row r="67" spans="1:6" hidden="1" x14ac:dyDescent="0.75">
      <c r="A67" s="5" t="s">
        <v>234</v>
      </c>
      <c r="B67">
        <v>25200</v>
      </c>
      <c r="C67" t="s">
        <v>3077</v>
      </c>
      <c r="D67" t="s">
        <v>3014</v>
      </c>
      <c r="E67" t="s">
        <v>3030</v>
      </c>
      <c r="F67" t="s">
        <v>3008</v>
      </c>
    </row>
    <row r="68" spans="1:6" hidden="1" x14ac:dyDescent="0.75">
      <c r="A68" s="5" t="s">
        <v>1469</v>
      </c>
      <c r="B68">
        <v>23991</v>
      </c>
      <c r="C68" t="s">
        <v>3077</v>
      </c>
      <c r="D68" t="s">
        <v>3014</v>
      </c>
      <c r="E68" t="s">
        <v>3019</v>
      </c>
    </row>
    <row r="69" spans="1:6" hidden="1" x14ac:dyDescent="0.75">
      <c r="A69" s="5" t="s">
        <v>1756</v>
      </c>
      <c r="B69">
        <v>22824</v>
      </c>
      <c r="C69" t="s">
        <v>3077</v>
      </c>
      <c r="D69" t="s">
        <v>3014</v>
      </c>
      <c r="E69" t="s">
        <v>3044</v>
      </c>
    </row>
    <row r="70" spans="1:6" x14ac:dyDescent="0.75">
      <c r="A70" s="7" t="s">
        <v>546</v>
      </c>
      <c r="B70">
        <v>20016</v>
      </c>
      <c r="C70" t="s">
        <v>3076</v>
      </c>
      <c r="D70" t="s">
        <v>3014</v>
      </c>
      <c r="E70" t="s">
        <v>3057</v>
      </c>
    </row>
    <row r="71" spans="1:6" hidden="1" x14ac:dyDescent="0.75">
      <c r="A71" s="5" t="s">
        <v>2670</v>
      </c>
      <c r="B71">
        <v>17000</v>
      </c>
      <c r="C71" t="s">
        <v>3077</v>
      </c>
      <c r="D71" t="s">
        <v>3014</v>
      </c>
      <c r="E71" t="s">
        <v>3019</v>
      </c>
      <c r="F71" t="s">
        <v>3043</v>
      </c>
    </row>
    <row r="72" spans="1:6" hidden="1" x14ac:dyDescent="0.75">
      <c r="A72" s="5" t="s">
        <v>560</v>
      </c>
      <c r="B72">
        <v>13454</v>
      </c>
      <c r="C72" t="s">
        <v>3045</v>
      </c>
      <c r="D72" t="s">
        <v>3014</v>
      </c>
      <c r="E72" t="s">
        <v>3045</v>
      </c>
    </row>
    <row r="73" spans="1:6" hidden="1" x14ac:dyDescent="0.75">
      <c r="A73" s="5" t="s">
        <v>63</v>
      </c>
      <c r="B73">
        <v>11796</v>
      </c>
      <c r="C73" t="s">
        <v>3045</v>
      </c>
      <c r="D73" t="s">
        <v>3014</v>
      </c>
      <c r="E73" t="s">
        <v>3045</v>
      </c>
    </row>
    <row r="74" spans="1:6" x14ac:dyDescent="0.75">
      <c r="A74" s="7" t="s">
        <v>2141</v>
      </c>
      <c r="B74">
        <v>11610</v>
      </c>
      <c r="C74" t="s">
        <v>3076</v>
      </c>
      <c r="D74" t="s">
        <v>3014</v>
      </c>
      <c r="E74" t="s">
        <v>3046</v>
      </c>
      <c r="F74" t="s">
        <v>3010</v>
      </c>
    </row>
    <row r="75" spans="1:6" hidden="1" x14ac:dyDescent="0.75">
      <c r="A75" s="5" t="s">
        <v>13</v>
      </c>
      <c r="B75">
        <v>11400</v>
      </c>
      <c r="C75" t="s">
        <v>3077</v>
      </c>
      <c r="D75" t="s">
        <v>3014</v>
      </c>
      <c r="E75" t="s">
        <v>3047</v>
      </c>
    </row>
    <row r="76" spans="1:6" x14ac:dyDescent="0.75">
      <c r="A76" s="7" t="s">
        <v>1435</v>
      </c>
      <c r="B76">
        <v>10000</v>
      </c>
      <c r="C76" t="s">
        <v>3076</v>
      </c>
      <c r="D76" t="s">
        <v>3014</v>
      </c>
      <c r="E76" t="s">
        <v>3048</v>
      </c>
    </row>
    <row r="77" spans="1:6" x14ac:dyDescent="0.75">
      <c r="A77" s="7" t="s">
        <v>747</v>
      </c>
      <c r="B77">
        <v>9168</v>
      </c>
      <c r="C77" t="s">
        <v>3076</v>
      </c>
      <c r="D77" t="s">
        <v>3014</v>
      </c>
      <c r="E77" t="s">
        <v>746</v>
      </c>
    </row>
    <row r="78" spans="1:6" x14ac:dyDescent="0.75">
      <c r="A78" s="7" t="s">
        <v>690</v>
      </c>
      <c r="B78">
        <v>8004</v>
      </c>
      <c r="C78" t="s">
        <v>3076</v>
      </c>
      <c r="D78" t="s">
        <v>3014</v>
      </c>
      <c r="E78" t="s">
        <v>3020</v>
      </c>
    </row>
    <row r="79" spans="1:6" hidden="1" x14ac:dyDescent="0.75">
      <c r="A79" s="5" t="s">
        <v>87</v>
      </c>
      <c r="B79">
        <v>6683</v>
      </c>
      <c r="C79" t="s">
        <v>3045</v>
      </c>
      <c r="D79" t="s">
        <v>3014</v>
      </c>
      <c r="E79" t="s">
        <v>3045</v>
      </c>
    </row>
    <row r="80" spans="1:6" x14ac:dyDescent="0.75">
      <c r="A80" s="7" t="s">
        <v>733</v>
      </c>
      <c r="B80">
        <v>6600</v>
      </c>
      <c r="C80" t="s">
        <v>3076</v>
      </c>
      <c r="D80" t="s">
        <v>3014</v>
      </c>
      <c r="E80" t="s">
        <v>3017</v>
      </c>
    </row>
    <row r="81" spans="1:5" hidden="1" x14ac:dyDescent="0.75">
      <c r="A81" s="5" t="s">
        <v>1274</v>
      </c>
      <c r="B81">
        <v>5708</v>
      </c>
      <c r="C81" t="s">
        <v>3045</v>
      </c>
      <c r="D81" t="s">
        <v>3014</v>
      </c>
      <c r="E81" t="s">
        <v>3045</v>
      </c>
    </row>
    <row r="82" spans="1:5" x14ac:dyDescent="0.75">
      <c r="A82" s="5" t="s">
        <v>726</v>
      </c>
      <c r="B82">
        <v>5008</v>
      </c>
      <c r="C82" t="s">
        <v>3076</v>
      </c>
      <c r="D82" t="s">
        <v>3014</v>
      </c>
      <c r="E82" t="s">
        <v>3046</v>
      </c>
    </row>
    <row r="83" spans="1:5" hidden="1" x14ac:dyDescent="0.75">
      <c r="A83" s="5" t="s">
        <v>190</v>
      </c>
      <c r="B83">
        <v>4597</v>
      </c>
      <c r="C83" t="s">
        <v>3045</v>
      </c>
      <c r="D83" t="s">
        <v>3014</v>
      </c>
      <c r="E83" t="s">
        <v>3045</v>
      </c>
    </row>
    <row r="84" spans="1:5" hidden="1" x14ac:dyDescent="0.75">
      <c r="A84" s="5" t="s">
        <v>117</v>
      </c>
      <c r="B84">
        <v>4497</v>
      </c>
      <c r="C84" t="s">
        <v>3045</v>
      </c>
      <c r="D84" t="s">
        <v>3014</v>
      </c>
      <c r="E84" t="s">
        <v>3045</v>
      </c>
    </row>
    <row r="85" spans="1:5" hidden="1" x14ac:dyDescent="0.75">
      <c r="A85" s="5" t="s">
        <v>739</v>
      </c>
      <c r="B85">
        <v>4008</v>
      </c>
      <c r="D85" t="s">
        <v>3014</v>
      </c>
    </row>
    <row r="86" spans="1:5" hidden="1" x14ac:dyDescent="0.75">
      <c r="A86" s="5" t="s">
        <v>1234</v>
      </c>
      <c r="B86">
        <v>3247</v>
      </c>
      <c r="C86" t="s">
        <v>3045</v>
      </c>
      <c r="D86" t="s">
        <v>3014</v>
      </c>
      <c r="E86" t="s">
        <v>3045</v>
      </c>
    </row>
    <row r="87" spans="1:5" hidden="1" x14ac:dyDescent="0.75">
      <c r="A87" s="5" t="s">
        <v>133</v>
      </c>
      <c r="B87">
        <v>2645</v>
      </c>
      <c r="C87" t="s">
        <v>3045</v>
      </c>
      <c r="D87" t="s">
        <v>3014</v>
      </c>
      <c r="E87" t="s">
        <v>3045</v>
      </c>
    </row>
    <row r="88" spans="1:5" hidden="1" x14ac:dyDescent="0.75">
      <c r="A88" s="5" t="s">
        <v>2546</v>
      </c>
      <c r="B88">
        <v>2310</v>
      </c>
      <c r="C88" t="s">
        <v>3045</v>
      </c>
      <c r="D88" t="s">
        <v>3014</v>
      </c>
      <c r="E88" t="s">
        <v>3045</v>
      </c>
    </row>
    <row r="89" spans="1:5" hidden="1" x14ac:dyDescent="0.75">
      <c r="A89" s="5" t="s">
        <v>1724</v>
      </c>
      <c r="B89">
        <v>352</v>
      </c>
      <c r="C89" t="s">
        <v>3045</v>
      </c>
      <c r="D89" t="s">
        <v>3014</v>
      </c>
      <c r="E89" t="s">
        <v>3045</v>
      </c>
    </row>
    <row r="90" spans="1:5" hidden="1" x14ac:dyDescent="0.75">
      <c r="A90" s="5" t="s">
        <v>1740</v>
      </c>
      <c r="B90">
        <v>320</v>
      </c>
      <c r="C90" t="s">
        <v>3045</v>
      </c>
      <c r="D90" t="s">
        <v>3014</v>
      </c>
      <c r="E90" t="s">
        <v>3045</v>
      </c>
    </row>
    <row r="91" spans="1:5" hidden="1" x14ac:dyDescent="0.75">
      <c r="A91" s="5" t="s">
        <v>1744</v>
      </c>
      <c r="B91">
        <v>299</v>
      </c>
      <c r="C91" t="s">
        <v>3045</v>
      </c>
      <c r="D91" t="s">
        <v>3014</v>
      </c>
      <c r="E91" t="s">
        <v>3045</v>
      </c>
    </row>
    <row r="92" spans="1:5" hidden="1" x14ac:dyDescent="0.75">
      <c r="A92" s="5" t="s">
        <v>81</v>
      </c>
      <c r="B92">
        <v>255</v>
      </c>
      <c r="C92" t="s">
        <v>3045</v>
      </c>
      <c r="D92" t="s">
        <v>3014</v>
      </c>
      <c r="E92" t="s">
        <v>3045</v>
      </c>
    </row>
    <row r="93" spans="1:5" hidden="1" x14ac:dyDescent="0.75">
      <c r="A93" s="5" t="s">
        <v>1748</v>
      </c>
      <c r="B93">
        <v>199</v>
      </c>
      <c r="C93" t="s">
        <v>3045</v>
      </c>
      <c r="D93" t="s">
        <v>3014</v>
      </c>
      <c r="E93" t="s">
        <v>3045</v>
      </c>
    </row>
    <row r="94" spans="1:5" hidden="1" x14ac:dyDescent="0.75">
      <c r="A94" s="5" t="s">
        <v>1240</v>
      </c>
      <c r="B94">
        <v>148</v>
      </c>
      <c r="C94" t="s">
        <v>3045</v>
      </c>
      <c r="D94" t="s">
        <v>3014</v>
      </c>
      <c r="E94" t="s">
        <v>3045</v>
      </c>
    </row>
    <row r="95" spans="1:5" hidden="1" x14ac:dyDescent="0.75">
      <c r="A95" s="5" t="s">
        <v>111</v>
      </c>
      <c r="B95">
        <v>41</v>
      </c>
      <c r="C95" t="s">
        <v>3045</v>
      </c>
      <c r="D95" t="s">
        <v>3014</v>
      </c>
      <c r="E95" t="s">
        <v>3045</v>
      </c>
    </row>
    <row r="96" spans="1:5" hidden="1" x14ac:dyDescent="0.75">
      <c r="A96" s="5" t="s">
        <v>1262</v>
      </c>
      <c r="B96">
        <v>26</v>
      </c>
      <c r="C96" t="s">
        <v>3045</v>
      </c>
      <c r="D96" t="s">
        <v>3014</v>
      </c>
      <c r="E96" t="s">
        <v>3045</v>
      </c>
    </row>
    <row r="97" spans="1:5" hidden="1" x14ac:dyDescent="0.75">
      <c r="A97" s="5" t="s">
        <v>1224</v>
      </c>
      <c r="B97">
        <v>24</v>
      </c>
      <c r="C97" t="s">
        <v>3045</v>
      </c>
      <c r="D97" t="s">
        <v>3014</v>
      </c>
      <c r="E97" t="s">
        <v>3045</v>
      </c>
    </row>
    <row r="98" spans="1:5" hidden="1" x14ac:dyDescent="0.75">
      <c r="A98" s="5" t="s">
        <v>75</v>
      </c>
      <c r="B98">
        <v>6</v>
      </c>
      <c r="C98" t="s">
        <v>3045</v>
      </c>
      <c r="D98" t="s">
        <v>3014</v>
      </c>
      <c r="E98" t="s">
        <v>3045</v>
      </c>
    </row>
    <row r="99" spans="1:5" hidden="1" x14ac:dyDescent="0.75">
      <c r="A99" s="5" t="s">
        <v>47</v>
      </c>
      <c r="B99">
        <v>5</v>
      </c>
      <c r="C99" t="s">
        <v>3045</v>
      </c>
      <c r="D99" t="s">
        <v>3014</v>
      </c>
      <c r="E99" t="s">
        <v>3045</v>
      </c>
    </row>
    <row r="100" spans="1:5" hidden="1" x14ac:dyDescent="0.75">
      <c r="A100" s="5" t="s">
        <v>107</v>
      </c>
      <c r="B100">
        <v>4</v>
      </c>
      <c r="C100" t="s">
        <v>3045</v>
      </c>
      <c r="D100" t="s">
        <v>3014</v>
      </c>
      <c r="E100" t="s">
        <v>3045</v>
      </c>
    </row>
    <row r="101" spans="1:5" hidden="1" x14ac:dyDescent="0.75">
      <c r="A101" s="5" t="s">
        <v>1477</v>
      </c>
      <c r="B101">
        <v>1</v>
      </c>
      <c r="D101" t="s">
        <v>3014</v>
      </c>
    </row>
    <row r="102" spans="1:5" hidden="1" x14ac:dyDescent="0.75">
      <c r="A102" s="5" t="s">
        <v>2987</v>
      </c>
      <c r="B102">
        <v>721025168</v>
      </c>
      <c r="D102" t="s">
        <v>3014</v>
      </c>
    </row>
  </sheetData>
  <autoFilter ref="A3:H102" xr:uid="{E3D6DA80-A7A7-4CF1-8848-178D2C441ACA}">
    <filterColumn colId="2">
      <filters>
        <filter val="Entertainmen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91CE-0C77-4A08-97DF-35E55BF2319F}">
  <dimension ref="A1:J152"/>
  <sheetViews>
    <sheetView topLeftCell="C109" workbookViewId="0">
      <selection activeCell="D115" sqref="D115:D118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3" width="40.6796875" bestFit="1" customWidth="1"/>
    <col min="4" max="4" width="40.6796875" customWidth="1"/>
    <col min="5" max="5" width="40.6796875" bestFit="1" customWidth="1"/>
    <col min="6" max="6" width="10.54296875" bestFit="1" customWidth="1"/>
    <col min="7" max="7" width="19.26953125" bestFit="1" customWidth="1"/>
    <col min="8" max="8" width="9.26953125" bestFit="1" customWidth="1"/>
    <col min="9" max="9" width="21.1796875" bestFit="1" customWidth="1"/>
    <col min="10" max="10" width="32.36328125" bestFit="1" customWidth="1"/>
  </cols>
  <sheetData>
    <row r="1" spans="1:10" x14ac:dyDescent="0.75">
      <c r="A1" s="6" t="s">
        <v>2995</v>
      </c>
    </row>
    <row r="3" spans="1:10" x14ac:dyDescent="0.75">
      <c r="A3" t="s">
        <v>0</v>
      </c>
      <c r="B3" t="s">
        <v>1</v>
      </c>
      <c r="C3" t="s">
        <v>2</v>
      </c>
      <c r="D3" t="s">
        <v>3063</v>
      </c>
      <c r="E3" t="s">
        <v>2989</v>
      </c>
      <c r="F3" t="s">
        <v>3</v>
      </c>
      <c r="G3" t="s">
        <v>4</v>
      </c>
      <c r="H3" t="s">
        <v>5</v>
      </c>
      <c r="I3" t="s">
        <v>6</v>
      </c>
      <c r="J3" t="s">
        <v>7</v>
      </c>
    </row>
    <row r="4" spans="1:10" x14ac:dyDescent="0.75">
      <c r="A4" t="s">
        <v>2850</v>
      </c>
      <c r="B4" t="s">
        <v>2834</v>
      </c>
      <c r="C4" t="s">
        <v>2835</v>
      </c>
      <c r="E4" t="s">
        <v>2835</v>
      </c>
      <c r="F4">
        <v>90240</v>
      </c>
      <c r="G4">
        <v>0</v>
      </c>
      <c r="H4" t="s">
        <v>196</v>
      </c>
      <c r="I4" t="s">
        <v>2833</v>
      </c>
      <c r="J4" t="s">
        <v>699</v>
      </c>
    </row>
    <row r="5" spans="1:10" x14ac:dyDescent="0.75">
      <c r="A5" t="s">
        <v>2850</v>
      </c>
      <c r="B5" t="s">
        <v>2831</v>
      </c>
      <c r="C5" t="s">
        <v>2832</v>
      </c>
      <c r="D5">
        <v>4</v>
      </c>
      <c r="E5" t="s">
        <v>2832</v>
      </c>
      <c r="F5">
        <v>3100800</v>
      </c>
      <c r="G5">
        <v>0</v>
      </c>
      <c r="H5" t="s">
        <v>196</v>
      </c>
      <c r="I5" t="s">
        <v>2833</v>
      </c>
      <c r="J5" t="s">
        <v>699</v>
      </c>
    </row>
    <row r="6" spans="1:10" x14ac:dyDescent="0.75">
      <c r="A6" t="s">
        <v>2849</v>
      </c>
      <c r="B6" t="s">
        <v>2834</v>
      </c>
      <c r="C6" t="s">
        <v>2835</v>
      </c>
      <c r="E6" t="s">
        <v>2835</v>
      </c>
      <c r="F6">
        <v>63360</v>
      </c>
      <c r="G6">
        <v>0</v>
      </c>
      <c r="H6" t="s">
        <v>196</v>
      </c>
      <c r="I6" t="s">
        <v>2833</v>
      </c>
      <c r="J6" t="s">
        <v>699</v>
      </c>
    </row>
    <row r="7" spans="1:10" x14ac:dyDescent="0.75">
      <c r="A7" t="s">
        <v>2849</v>
      </c>
      <c r="B7" t="s">
        <v>2831</v>
      </c>
      <c r="C7" t="s">
        <v>2832</v>
      </c>
      <c r="D7">
        <v>4</v>
      </c>
      <c r="E7" t="s">
        <v>2832</v>
      </c>
      <c r="F7">
        <v>3410880</v>
      </c>
      <c r="G7">
        <v>0</v>
      </c>
      <c r="H7" t="s">
        <v>196</v>
      </c>
      <c r="I7" t="s">
        <v>2833</v>
      </c>
      <c r="J7" t="s">
        <v>699</v>
      </c>
    </row>
    <row r="8" spans="1:10" x14ac:dyDescent="0.75">
      <c r="A8" t="s">
        <v>2848</v>
      </c>
      <c r="B8" t="s">
        <v>2834</v>
      </c>
      <c r="C8" t="s">
        <v>2835</v>
      </c>
      <c r="E8" t="s">
        <v>2835</v>
      </c>
      <c r="F8">
        <v>63360</v>
      </c>
      <c r="G8">
        <v>0</v>
      </c>
      <c r="H8" t="s">
        <v>196</v>
      </c>
      <c r="I8" t="s">
        <v>2833</v>
      </c>
      <c r="J8" t="s">
        <v>699</v>
      </c>
    </row>
    <row r="9" spans="1:10" x14ac:dyDescent="0.75">
      <c r="A9" t="s">
        <v>2848</v>
      </c>
      <c r="B9" t="s">
        <v>2831</v>
      </c>
      <c r="C9" t="s">
        <v>2832</v>
      </c>
      <c r="D9">
        <v>4</v>
      </c>
      <c r="E9" t="s">
        <v>2832</v>
      </c>
      <c r="F9">
        <v>3410880</v>
      </c>
      <c r="G9">
        <v>0</v>
      </c>
      <c r="H9" t="s">
        <v>196</v>
      </c>
      <c r="I9" t="s">
        <v>2833</v>
      </c>
      <c r="J9" t="s">
        <v>699</v>
      </c>
    </row>
    <row r="10" spans="1:10" x14ac:dyDescent="0.75">
      <c r="A10" t="s">
        <v>2847</v>
      </c>
      <c r="B10" t="s">
        <v>2834</v>
      </c>
      <c r="C10" t="s">
        <v>2835</v>
      </c>
      <c r="E10" t="s">
        <v>2835</v>
      </c>
      <c r="F10">
        <v>63360</v>
      </c>
      <c r="G10">
        <v>0</v>
      </c>
      <c r="H10" t="s">
        <v>196</v>
      </c>
      <c r="I10" t="s">
        <v>2833</v>
      </c>
      <c r="J10" t="s">
        <v>699</v>
      </c>
    </row>
    <row r="11" spans="1:10" x14ac:dyDescent="0.75">
      <c r="A11" t="s">
        <v>2847</v>
      </c>
      <c r="B11" t="s">
        <v>2831</v>
      </c>
      <c r="C11" t="s">
        <v>2832</v>
      </c>
      <c r="D11">
        <v>4</v>
      </c>
      <c r="E11" t="s">
        <v>2832</v>
      </c>
      <c r="F11">
        <v>3410880</v>
      </c>
      <c r="G11">
        <v>0</v>
      </c>
      <c r="H11" t="s">
        <v>196</v>
      </c>
      <c r="I11" t="s">
        <v>2833</v>
      </c>
      <c r="J11" t="s">
        <v>699</v>
      </c>
    </row>
    <row r="12" spans="1:10" x14ac:dyDescent="0.75">
      <c r="A12" t="s">
        <v>2846</v>
      </c>
      <c r="B12" t="s">
        <v>2831</v>
      </c>
      <c r="C12" t="s">
        <v>2832</v>
      </c>
      <c r="D12">
        <v>4</v>
      </c>
      <c r="E12" t="s">
        <v>2832</v>
      </c>
      <c r="F12">
        <v>3410880</v>
      </c>
      <c r="G12">
        <v>0</v>
      </c>
      <c r="H12" t="s">
        <v>196</v>
      </c>
      <c r="I12" t="s">
        <v>2833</v>
      </c>
      <c r="J12" t="s">
        <v>699</v>
      </c>
    </row>
    <row r="13" spans="1:10" x14ac:dyDescent="0.75">
      <c r="A13" t="s">
        <v>2845</v>
      </c>
      <c r="B13" t="s">
        <v>2834</v>
      </c>
      <c r="C13" t="s">
        <v>2835</v>
      </c>
      <c r="E13" t="s">
        <v>2835</v>
      </c>
      <c r="F13">
        <v>63360</v>
      </c>
      <c r="G13">
        <v>63360</v>
      </c>
      <c r="H13" t="s">
        <v>11</v>
      </c>
      <c r="I13" t="s">
        <v>2833</v>
      </c>
      <c r="J13" t="s">
        <v>699</v>
      </c>
    </row>
    <row r="14" spans="1:10" x14ac:dyDescent="0.75">
      <c r="A14" t="s">
        <v>2844</v>
      </c>
      <c r="B14" t="s">
        <v>2831</v>
      </c>
      <c r="C14" t="s">
        <v>2832</v>
      </c>
      <c r="D14">
        <v>4</v>
      </c>
      <c r="E14" t="s">
        <v>2832</v>
      </c>
      <c r="F14">
        <v>3410880</v>
      </c>
      <c r="G14">
        <v>3410880</v>
      </c>
      <c r="H14" t="s">
        <v>11</v>
      </c>
      <c r="I14" t="s">
        <v>2833</v>
      </c>
      <c r="J14" t="s">
        <v>699</v>
      </c>
    </row>
    <row r="15" spans="1:10" x14ac:dyDescent="0.75">
      <c r="A15" t="s">
        <v>2843</v>
      </c>
      <c r="B15" t="s">
        <v>2834</v>
      </c>
      <c r="C15" t="s">
        <v>2835</v>
      </c>
      <c r="E15" t="s">
        <v>2835</v>
      </c>
      <c r="F15">
        <v>63360</v>
      </c>
      <c r="G15">
        <v>63360</v>
      </c>
      <c r="H15" t="s">
        <v>11</v>
      </c>
      <c r="I15" t="s">
        <v>2833</v>
      </c>
      <c r="J15" t="s">
        <v>699</v>
      </c>
    </row>
    <row r="16" spans="1:10" x14ac:dyDescent="0.75">
      <c r="A16" t="s">
        <v>2842</v>
      </c>
      <c r="B16" t="s">
        <v>2831</v>
      </c>
      <c r="C16" t="s">
        <v>2832</v>
      </c>
      <c r="D16">
        <v>4</v>
      </c>
      <c r="E16" t="s">
        <v>2832</v>
      </c>
      <c r="F16">
        <v>3410880</v>
      </c>
      <c r="G16">
        <v>3410880</v>
      </c>
      <c r="H16" t="s">
        <v>196</v>
      </c>
      <c r="I16" t="s">
        <v>2833</v>
      </c>
      <c r="J16" t="s">
        <v>699</v>
      </c>
    </row>
    <row r="17" spans="1:10" x14ac:dyDescent="0.75">
      <c r="A17" t="s">
        <v>2841</v>
      </c>
      <c r="B17" t="s">
        <v>2834</v>
      </c>
      <c r="C17" t="s">
        <v>2835</v>
      </c>
      <c r="E17" t="s">
        <v>2835</v>
      </c>
      <c r="F17">
        <v>63360</v>
      </c>
      <c r="G17">
        <v>63360</v>
      </c>
      <c r="H17" t="s">
        <v>11</v>
      </c>
      <c r="I17" t="s">
        <v>2833</v>
      </c>
      <c r="J17" t="s">
        <v>699</v>
      </c>
    </row>
    <row r="18" spans="1:10" x14ac:dyDescent="0.75">
      <c r="A18" t="s">
        <v>2840</v>
      </c>
      <c r="B18" t="s">
        <v>2831</v>
      </c>
      <c r="C18" t="s">
        <v>2832</v>
      </c>
      <c r="D18">
        <v>4</v>
      </c>
      <c r="E18" t="s">
        <v>2832</v>
      </c>
      <c r="F18">
        <v>3410880</v>
      </c>
      <c r="G18">
        <v>3410880</v>
      </c>
      <c r="H18" t="s">
        <v>11</v>
      </c>
      <c r="I18" t="s">
        <v>2833</v>
      </c>
      <c r="J18" t="s">
        <v>699</v>
      </c>
    </row>
    <row r="19" spans="1:10" x14ac:dyDescent="0.75">
      <c r="A19" t="s">
        <v>2839</v>
      </c>
      <c r="B19" t="s">
        <v>2834</v>
      </c>
      <c r="C19" t="s">
        <v>2835</v>
      </c>
      <c r="E19" t="s">
        <v>2835</v>
      </c>
      <c r="F19">
        <v>63360</v>
      </c>
      <c r="G19">
        <v>63360</v>
      </c>
      <c r="H19" t="s">
        <v>11</v>
      </c>
      <c r="I19" t="s">
        <v>2833</v>
      </c>
      <c r="J19" t="s">
        <v>699</v>
      </c>
    </row>
    <row r="20" spans="1:10" x14ac:dyDescent="0.75">
      <c r="A20" t="s">
        <v>2838</v>
      </c>
      <c r="B20" t="s">
        <v>2834</v>
      </c>
      <c r="C20" t="s">
        <v>2835</v>
      </c>
      <c r="E20" t="s">
        <v>2835</v>
      </c>
      <c r="F20">
        <v>63360</v>
      </c>
      <c r="G20">
        <v>63360</v>
      </c>
      <c r="H20" t="s">
        <v>11</v>
      </c>
      <c r="I20" t="s">
        <v>2833</v>
      </c>
      <c r="J20" t="s">
        <v>699</v>
      </c>
    </row>
    <row r="21" spans="1:10" x14ac:dyDescent="0.75">
      <c r="A21" t="s">
        <v>2838</v>
      </c>
      <c r="B21" t="s">
        <v>2831</v>
      </c>
      <c r="C21" t="s">
        <v>2832</v>
      </c>
      <c r="D21">
        <v>4</v>
      </c>
      <c r="E21" t="s">
        <v>2832</v>
      </c>
      <c r="F21">
        <v>3410880</v>
      </c>
      <c r="G21">
        <v>3410880</v>
      </c>
      <c r="H21" t="s">
        <v>11</v>
      </c>
      <c r="I21" t="s">
        <v>2833</v>
      </c>
      <c r="J21" t="s">
        <v>699</v>
      </c>
    </row>
    <row r="22" spans="1:10" x14ac:dyDescent="0.75">
      <c r="A22" t="s">
        <v>2837</v>
      </c>
      <c r="B22" t="s">
        <v>2831</v>
      </c>
      <c r="C22" t="s">
        <v>2832</v>
      </c>
      <c r="D22">
        <v>4</v>
      </c>
      <c r="E22" t="s">
        <v>2832</v>
      </c>
      <c r="F22">
        <v>3410880</v>
      </c>
      <c r="G22">
        <v>3410880</v>
      </c>
      <c r="H22" t="s">
        <v>11</v>
      </c>
      <c r="I22" t="s">
        <v>2833</v>
      </c>
      <c r="J22" t="s">
        <v>699</v>
      </c>
    </row>
    <row r="23" spans="1:10" x14ac:dyDescent="0.75">
      <c r="A23" t="s">
        <v>2836</v>
      </c>
      <c r="B23" t="s">
        <v>2831</v>
      </c>
      <c r="C23" t="s">
        <v>2832</v>
      </c>
      <c r="E23" t="s">
        <v>2832</v>
      </c>
      <c r="F23">
        <v>3410880</v>
      </c>
      <c r="G23">
        <v>3410880</v>
      </c>
      <c r="H23" t="s">
        <v>11</v>
      </c>
      <c r="I23" t="s">
        <v>2833</v>
      </c>
      <c r="J23" t="s">
        <v>699</v>
      </c>
    </row>
    <row r="24" spans="1:10" x14ac:dyDescent="0.75">
      <c r="A24" t="s">
        <v>2830</v>
      </c>
      <c r="B24" t="s">
        <v>2834</v>
      </c>
      <c r="C24" t="s">
        <v>2835</v>
      </c>
      <c r="D24">
        <v>4</v>
      </c>
      <c r="E24" t="s">
        <v>2835</v>
      </c>
      <c r="F24">
        <v>63360</v>
      </c>
      <c r="G24">
        <v>63360</v>
      </c>
      <c r="H24" t="s">
        <v>11</v>
      </c>
      <c r="I24" t="s">
        <v>2833</v>
      </c>
      <c r="J24" t="s">
        <v>699</v>
      </c>
    </row>
    <row r="25" spans="1:10" x14ac:dyDescent="0.75">
      <c r="A25" t="s">
        <v>2830</v>
      </c>
      <c r="B25" t="s">
        <v>2831</v>
      </c>
      <c r="C25" t="s">
        <v>2832</v>
      </c>
      <c r="D25">
        <v>4</v>
      </c>
      <c r="E25" t="s">
        <v>2832</v>
      </c>
      <c r="F25">
        <v>3410880</v>
      </c>
      <c r="G25">
        <v>3410880</v>
      </c>
      <c r="H25" t="s">
        <v>11</v>
      </c>
      <c r="I25" t="s">
        <v>2833</v>
      </c>
      <c r="J25" t="s">
        <v>699</v>
      </c>
    </row>
    <row r="26" spans="1:10" x14ac:dyDescent="0.75">
      <c r="A26" t="s">
        <v>2777</v>
      </c>
      <c r="B26" t="s">
        <v>2778</v>
      </c>
      <c r="C26" t="s">
        <v>2779</v>
      </c>
      <c r="D26">
        <v>4</v>
      </c>
      <c r="E26" t="s">
        <v>2779</v>
      </c>
      <c r="F26">
        <v>2571840</v>
      </c>
      <c r="G26">
        <v>0</v>
      </c>
      <c r="H26" t="s">
        <v>196</v>
      </c>
      <c r="I26" t="s">
        <v>2776</v>
      </c>
      <c r="J26" t="s">
        <v>699</v>
      </c>
    </row>
    <row r="27" spans="1:10" x14ac:dyDescent="0.75">
      <c r="A27" t="s">
        <v>2773</v>
      </c>
      <c r="B27" t="s">
        <v>2774</v>
      </c>
      <c r="C27" t="s">
        <v>2775</v>
      </c>
      <c r="D27">
        <v>4</v>
      </c>
      <c r="E27" t="s">
        <v>2775</v>
      </c>
      <c r="F27">
        <v>10287360</v>
      </c>
      <c r="G27">
        <v>10287360</v>
      </c>
      <c r="H27" t="s">
        <v>11</v>
      </c>
      <c r="I27" t="s">
        <v>2776</v>
      </c>
      <c r="J27" t="s">
        <v>699</v>
      </c>
    </row>
    <row r="28" spans="1:10" x14ac:dyDescent="0.75">
      <c r="A28" t="s">
        <v>2762</v>
      </c>
      <c r="B28" t="s">
        <v>834</v>
      </c>
      <c r="C28" t="s">
        <v>835</v>
      </c>
      <c r="E28" t="s">
        <v>835</v>
      </c>
      <c r="F28">
        <v>100000</v>
      </c>
      <c r="G28">
        <v>100000</v>
      </c>
      <c r="H28" t="s">
        <v>11</v>
      </c>
      <c r="I28" t="s">
        <v>2740</v>
      </c>
      <c r="J28" t="s">
        <v>699</v>
      </c>
    </row>
    <row r="29" spans="1:10" x14ac:dyDescent="0.75">
      <c r="A29" t="s">
        <v>2761</v>
      </c>
      <c r="B29" t="s">
        <v>2756</v>
      </c>
      <c r="C29" t="s">
        <v>2757</v>
      </c>
      <c r="D29">
        <v>4</v>
      </c>
      <c r="E29" t="s">
        <v>2757</v>
      </c>
      <c r="F29">
        <v>7531466</v>
      </c>
      <c r="G29">
        <v>0</v>
      </c>
      <c r="H29" t="s">
        <v>196</v>
      </c>
      <c r="I29" t="s">
        <v>2740</v>
      </c>
      <c r="J29" t="s">
        <v>699</v>
      </c>
    </row>
    <row r="30" spans="1:10" x14ac:dyDescent="0.75">
      <c r="A30" t="s">
        <v>2760</v>
      </c>
      <c r="B30" t="s">
        <v>2756</v>
      </c>
      <c r="C30" t="s">
        <v>2757</v>
      </c>
      <c r="D30">
        <v>4</v>
      </c>
      <c r="E30" t="s">
        <v>2757</v>
      </c>
      <c r="F30">
        <v>5700000</v>
      </c>
      <c r="G30">
        <v>0</v>
      </c>
      <c r="H30" t="s">
        <v>196</v>
      </c>
      <c r="I30" t="s">
        <v>2740</v>
      </c>
      <c r="J30" t="s">
        <v>699</v>
      </c>
    </row>
    <row r="31" spans="1:10" x14ac:dyDescent="0.75">
      <c r="A31" t="s">
        <v>2759</v>
      </c>
      <c r="B31" t="s">
        <v>2756</v>
      </c>
      <c r="C31" t="s">
        <v>2757</v>
      </c>
      <c r="D31">
        <v>4</v>
      </c>
      <c r="E31" t="s">
        <v>2757</v>
      </c>
      <c r="F31">
        <v>11400000</v>
      </c>
      <c r="G31">
        <v>0</v>
      </c>
      <c r="H31" t="s">
        <v>196</v>
      </c>
      <c r="I31" t="s">
        <v>2740</v>
      </c>
      <c r="J31" t="s">
        <v>699</v>
      </c>
    </row>
    <row r="32" spans="1:10" x14ac:dyDescent="0.75">
      <c r="A32" t="s">
        <v>2758</v>
      </c>
      <c r="B32" t="s">
        <v>2756</v>
      </c>
      <c r="C32" t="s">
        <v>2757</v>
      </c>
      <c r="D32">
        <v>4</v>
      </c>
      <c r="E32" t="s">
        <v>2757</v>
      </c>
      <c r="F32">
        <v>5700000</v>
      </c>
      <c r="G32">
        <v>0</v>
      </c>
      <c r="H32" t="s">
        <v>196</v>
      </c>
      <c r="I32" t="s">
        <v>2740</v>
      </c>
      <c r="J32" t="s">
        <v>699</v>
      </c>
    </row>
    <row r="33" spans="1:10" x14ac:dyDescent="0.75">
      <c r="A33" t="s">
        <v>2755</v>
      </c>
      <c r="B33" t="s">
        <v>2756</v>
      </c>
      <c r="C33" t="s">
        <v>2757</v>
      </c>
      <c r="D33">
        <v>4</v>
      </c>
      <c r="E33" t="s">
        <v>2757</v>
      </c>
      <c r="F33">
        <v>11400000</v>
      </c>
      <c r="G33">
        <v>0</v>
      </c>
      <c r="H33" t="s">
        <v>196</v>
      </c>
      <c r="I33" t="s">
        <v>2740</v>
      </c>
      <c r="J33" t="s">
        <v>699</v>
      </c>
    </row>
    <row r="34" spans="1:10" x14ac:dyDescent="0.75">
      <c r="A34" t="s">
        <v>2754</v>
      </c>
      <c r="B34" t="s">
        <v>2749</v>
      </c>
      <c r="C34" t="s">
        <v>2750</v>
      </c>
      <c r="D34">
        <v>4</v>
      </c>
      <c r="E34" t="s">
        <v>2750</v>
      </c>
      <c r="F34">
        <v>17660</v>
      </c>
      <c r="G34">
        <v>0</v>
      </c>
      <c r="H34" t="s">
        <v>196</v>
      </c>
      <c r="I34" t="s">
        <v>2740</v>
      </c>
      <c r="J34" t="s">
        <v>699</v>
      </c>
    </row>
    <row r="35" spans="1:10" x14ac:dyDescent="0.75">
      <c r="A35" t="s">
        <v>2753</v>
      </c>
      <c r="B35" t="s">
        <v>2749</v>
      </c>
      <c r="C35" t="s">
        <v>2750</v>
      </c>
      <c r="D35">
        <v>4</v>
      </c>
      <c r="E35" t="s">
        <v>2750</v>
      </c>
      <c r="F35">
        <v>115500</v>
      </c>
      <c r="G35">
        <v>0</v>
      </c>
      <c r="H35" t="s">
        <v>196</v>
      </c>
      <c r="I35" t="s">
        <v>2740</v>
      </c>
      <c r="J35" t="s">
        <v>699</v>
      </c>
    </row>
    <row r="36" spans="1:10" x14ac:dyDescent="0.75">
      <c r="A36" t="s">
        <v>2752</v>
      </c>
      <c r="B36" t="s">
        <v>2749</v>
      </c>
      <c r="C36" t="s">
        <v>2750</v>
      </c>
      <c r="D36">
        <v>4</v>
      </c>
      <c r="E36" t="s">
        <v>2750</v>
      </c>
      <c r="F36">
        <v>115500</v>
      </c>
      <c r="G36">
        <v>0</v>
      </c>
      <c r="H36" t="s">
        <v>196</v>
      </c>
      <c r="I36" t="s">
        <v>2740</v>
      </c>
      <c r="J36" t="s">
        <v>699</v>
      </c>
    </row>
    <row r="37" spans="1:10" x14ac:dyDescent="0.75">
      <c r="A37" t="s">
        <v>2751</v>
      </c>
      <c r="B37" t="s">
        <v>2749</v>
      </c>
      <c r="C37" t="s">
        <v>2750</v>
      </c>
      <c r="D37">
        <v>4</v>
      </c>
      <c r="E37" t="s">
        <v>2750</v>
      </c>
      <c r="F37">
        <v>36659</v>
      </c>
      <c r="G37">
        <v>0</v>
      </c>
      <c r="H37" t="s">
        <v>196</v>
      </c>
      <c r="I37" t="s">
        <v>2740</v>
      </c>
      <c r="J37" t="s">
        <v>699</v>
      </c>
    </row>
    <row r="38" spans="1:10" x14ac:dyDescent="0.75">
      <c r="A38" t="s">
        <v>2748</v>
      </c>
      <c r="B38" t="s">
        <v>2749</v>
      </c>
      <c r="C38" t="s">
        <v>2750</v>
      </c>
      <c r="D38">
        <v>4</v>
      </c>
      <c r="E38" t="s">
        <v>2750</v>
      </c>
      <c r="F38">
        <v>115500</v>
      </c>
      <c r="G38">
        <v>0</v>
      </c>
      <c r="H38" t="s">
        <v>196</v>
      </c>
      <c r="I38" t="s">
        <v>2740</v>
      </c>
      <c r="J38" t="s">
        <v>699</v>
      </c>
    </row>
    <row r="39" spans="1:10" x14ac:dyDescent="0.75">
      <c r="A39" t="s">
        <v>2745</v>
      </c>
      <c r="B39" t="s">
        <v>2746</v>
      </c>
      <c r="C39" t="s">
        <v>2747</v>
      </c>
      <c r="D39">
        <v>4</v>
      </c>
      <c r="E39" t="s">
        <v>2747</v>
      </c>
      <c r="F39">
        <v>77002</v>
      </c>
      <c r="G39">
        <v>0</v>
      </c>
      <c r="H39" t="s">
        <v>196</v>
      </c>
      <c r="I39" t="s">
        <v>2740</v>
      </c>
      <c r="J39" t="s">
        <v>699</v>
      </c>
    </row>
    <row r="40" spans="1:10" x14ac:dyDescent="0.75">
      <c r="A40" t="s">
        <v>2742</v>
      </c>
      <c r="B40" t="s">
        <v>2743</v>
      </c>
      <c r="C40" t="s">
        <v>2744</v>
      </c>
      <c r="D40">
        <v>4</v>
      </c>
      <c r="E40" t="s">
        <v>2744</v>
      </c>
      <c r="F40">
        <v>8017134</v>
      </c>
      <c r="G40">
        <v>0</v>
      </c>
      <c r="H40" t="s">
        <v>196</v>
      </c>
      <c r="I40" t="s">
        <v>2740</v>
      </c>
      <c r="J40" t="s">
        <v>699</v>
      </c>
    </row>
    <row r="41" spans="1:10" x14ac:dyDescent="0.75">
      <c r="A41" t="s">
        <v>2734</v>
      </c>
      <c r="B41" t="s">
        <v>834</v>
      </c>
      <c r="C41" t="s">
        <v>835</v>
      </c>
      <c r="E41" t="s">
        <v>835</v>
      </c>
      <c r="F41">
        <v>100000</v>
      </c>
      <c r="G41">
        <v>100000</v>
      </c>
      <c r="H41" t="s">
        <v>11</v>
      </c>
      <c r="I41" t="s">
        <v>2735</v>
      </c>
      <c r="J41" t="s">
        <v>699</v>
      </c>
    </row>
    <row r="42" spans="1:10" x14ac:dyDescent="0.75">
      <c r="A42" t="s">
        <v>1001</v>
      </c>
      <c r="B42" t="s">
        <v>834</v>
      </c>
      <c r="C42" t="s">
        <v>835</v>
      </c>
      <c r="E42" t="s">
        <v>835</v>
      </c>
      <c r="F42">
        <v>95300</v>
      </c>
      <c r="G42">
        <v>95300</v>
      </c>
      <c r="H42" t="s">
        <v>11</v>
      </c>
      <c r="I42" t="s">
        <v>941</v>
      </c>
      <c r="J42" t="s">
        <v>699</v>
      </c>
    </row>
    <row r="43" spans="1:10" x14ac:dyDescent="0.75">
      <c r="A43" t="s">
        <v>959</v>
      </c>
      <c r="B43" t="s">
        <v>960</v>
      </c>
      <c r="C43" t="s">
        <v>961</v>
      </c>
      <c r="D43" t="s">
        <v>3064</v>
      </c>
      <c r="E43" t="s">
        <v>961</v>
      </c>
      <c r="F43">
        <v>150840</v>
      </c>
      <c r="G43">
        <v>150840</v>
      </c>
      <c r="H43" t="s">
        <v>11</v>
      </c>
      <c r="I43" t="s">
        <v>945</v>
      </c>
      <c r="J43" t="s">
        <v>699</v>
      </c>
    </row>
    <row r="44" spans="1:10" x14ac:dyDescent="0.75">
      <c r="A44" t="s">
        <v>958</v>
      </c>
      <c r="B44" t="s">
        <v>956</v>
      </c>
      <c r="C44" t="s">
        <v>957</v>
      </c>
      <c r="E44" t="s">
        <v>957</v>
      </c>
      <c r="F44">
        <v>21720</v>
      </c>
      <c r="G44">
        <v>21720</v>
      </c>
      <c r="H44" t="s">
        <v>11</v>
      </c>
      <c r="I44" t="s">
        <v>945</v>
      </c>
      <c r="J44" t="s">
        <v>699</v>
      </c>
    </row>
    <row r="45" spans="1:10" x14ac:dyDescent="0.75">
      <c r="A45" t="s">
        <v>955</v>
      </c>
      <c r="B45" t="s">
        <v>956</v>
      </c>
      <c r="C45" t="s">
        <v>957</v>
      </c>
      <c r="E45" t="s">
        <v>957</v>
      </c>
      <c r="F45">
        <v>79200</v>
      </c>
      <c r="G45">
        <v>79200</v>
      </c>
      <c r="H45" t="s">
        <v>11</v>
      </c>
      <c r="I45" t="s">
        <v>945</v>
      </c>
      <c r="J45" t="s">
        <v>699</v>
      </c>
    </row>
    <row r="46" spans="1:10" x14ac:dyDescent="0.75">
      <c r="A46" t="s">
        <v>954</v>
      </c>
      <c r="B46" t="s">
        <v>947</v>
      </c>
      <c r="C46" t="s">
        <v>948</v>
      </c>
      <c r="D46">
        <v>2</v>
      </c>
      <c r="E46" t="s">
        <v>948</v>
      </c>
      <c r="F46">
        <v>1682080</v>
      </c>
      <c r="G46">
        <v>1682080</v>
      </c>
      <c r="H46" t="s">
        <v>11</v>
      </c>
      <c r="I46" t="s">
        <v>945</v>
      </c>
      <c r="J46" t="s">
        <v>699</v>
      </c>
    </row>
    <row r="47" spans="1:10" x14ac:dyDescent="0.75">
      <c r="A47" t="s">
        <v>953</v>
      </c>
      <c r="B47" t="s">
        <v>947</v>
      </c>
      <c r="C47" t="s">
        <v>948</v>
      </c>
      <c r="D47">
        <v>2</v>
      </c>
      <c r="E47" t="s">
        <v>948</v>
      </c>
      <c r="F47">
        <v>3953664</v>
      </c>
      <c r="G47">
        <v>3953664</v>
      </c>
      <c r="H47" t="s">
        <v>11</v>
      </c>
      <c r="I47" t="s">
        <v>945</v>
      </c>
      <c r="J47" t="s">
        <v>699</v>
      </c>
    </row>
    <row r="48" spans="1:10" x14ac:dyDescent="0.75">
      <c r="A48" t="s">
        <v>952</v>
      </c>
      <c r="B48" t="s">
        <v>947</v>
      </c>
      <c r="C48" t="s">
        <v>948</v>
      </c>
      <c r="D48">
        <v>2</v>
      </c>
      <c r="E48" t="s">
        <v>948</v>
      </c>
      <c r="F48">
        <v>3953664</v>
      </c>
      <c r="G48">
        <v>3953664</v>
      </c>
      <c r="H48" t="s">
        <v>11</v>
      </c>
      <c r="I48" t="s">
        <v>945</v>
      </c>
      <c r="J48" t="s">
        <v>699</v>
      </c>
    </row>
    <row r="49" spans="1:10" x14ac:dyDescent="0.75">
      <c r="A49" t="s">
        <v>951</v>
      </c>
      <c r="B49" t="s">
        <v>947</v>
      </c>
      <c r="C49" t="s">
        <v>948</v>
      </c>
      <c r="D49">
        <v>2</v>
      </c>
      <c r="E49" t="s">
        <v>948</v>
      </c>
      <c r="F49">
        <v>3953664</v>
      </c>
      <c r="G49">
        <v>3953664</v>
      </c>
      <c r="H49" t="s">
        <v>11</v>
      </c>
      <c r="I49" t="s">
        <v>945</v>
      </c>
      <c r="J49" t="s">
        <v>699</v>
      </c>
    </row>
    <row r="50" spans="1:10" x14ac:dyDescent="0.75">
      <c r="A50" t="s">
        <v>950</v>
      </c>
      <c r="B50" t="s">
        <v>947</v>
      </c>
      <c r="C50" t="s">
        <v>948</v>
      </c>
      <c r="D50">
        <v>2</v>
      </c>
      <c r="E50" t="s">
        <v>948</v>
      </c>
      <c r="F50">
        <v>3953664</v>
      </c>
      <c r="G50">
        <v>3953664</v>
      </c>
      <c r="H50" t="s">
        <v>11</v>
      </c>
      <c r="I50" t="s">
        <v>945</v>
      </c>
      <c r="J50" t="s">
        <v>699</v>
      </c>
    </row>
    <row r="51" spans="1:10" x14ac:dyDescent="0.75">
      <c r="A51" t="s">
        <v>949</v>
      </c>
      <c r="B51" t="s">
        <v>947</v>
      </c>
      <c r="C51" t="s">
        <v>948</v>
      </c>
      <c r="D51">
        <v>2</v>
      </c>
      <c r="E51" t="s">
        <v>948</v>
      </c>
      <c r="F51">
        <v>3953664</v>
      </c>
      <c r="G51">
        <v>3953664</v>
      </c>
      <c r="H51" t="s">
        <v>11</v>
      </c>
      <c r="I51" t="s">
        <v>945</v>
      </c>
      <c r="J51" t="s">
        <v>699</v>
      </c>
    </row>
    <row r="52" spans="1:10" x14ac:dyDescent="0.75">
      <c r="A52" t="s">
        <v>946</v>
      </c>
      <c r="B52" t="s">
        <v>947</v>
      </c>
      <c r="C52" t="s">
        <v>948</v>
      </c>
      <c r="D52">
        <v>2</v>
      </c>
      <c r="E52" t="s">
        <v>948</v>
      </c>
      <c r="F52">
        <v>3953664</v>
      </c>
      <c r="G52">
        <v>3953664</v>
      </c>
      <c r="H52" t="s">
        <v>11</v>
      </c>
      <c r="I52" t="s">
        <v>945</v>
      </c>
      <c r="J52" t="s">
        <v>699</v>
      </c>
    </row>
    <row r="53" spans="1:10" x14ac:dyDescent="0.75">
      <c r="A53" t="s">
        <v>844</v>
      </c>
      <c r="B53" t="s">
        <v>796</v>
      </c>
      <c r="C53" t="s">
        <v>797</v>
      </c>
      <c r="D53" t="s">
        <v>3065</v>
      </c>
      <c r="E53" t="s">
        <v>797</v>
      </c>
      <c r="F53">
        <v>3345408</v>
      </c>
      <c r="G53">
        <v>3345408</v>
      </c>
      <c r="H53" t="s">
        <v>11</v>
      </c>
      <c r="I53" t="s">
        <v>845</v>
      </c>
      <c r="J53" t="s">
        <v>699</v>
      </c>
    </row>
    <row r="54" spans="1:10" x14ac:dyDescent="0.75">
      <c r="A54" t="s">
        <v>841</v>
      </c>
      <c r="B54" t="s">
        <v>834</v>
      </c>
      <c r="C54" t="s">
        <v>835</v>
      </c>
      <c r="E54" t="s">
        <v>835</v>
      </c>
      <c r="F54">
        <v>115500</v>
      </c>
      <c r="G54">
        <v>115500</v>
      </c>
      <c r="H54" t="s">
        <v>11</v>
      </c>
      <c r="I54" t="s">
        <v>798</v>
      </c>
      <c r="J54" t="s">
        <v>699</v>
      </c>
    </row>
    <row r="55" spans="1:10" x14ac:dyDescent="0.75">
      <c r="A55" t="s">
        <v>840</v>
      </c>
      <c r="B55" t="s">
        <v>834</v>
      </c>
      <c r="C55" t="s">
        <v>835</v>
      </c>
      <c r="E55" t="s">
        <v>835</v>
      </c>
      <c r="F55">
        <v>115500</v>
      </c>
      <c r="G55">
        <v>115500</v>
      </c>
      <c r="H55" t="s">
        <v>11</v>
      </c>
      <c r="I55" t="s">
        <v>798</v>
      </c>
      <c r="J55" t="s">
        <v>699</v>
      </c>
    </row>
    <row r="56" spans="1:10" x14ac:dyDescent="0.75">
      <c r="A56" t="s">
        <v>839</v>
      </c>
      <c r="B56" t="s">
        <v>834</v>
      </c>
      <c r="C56" t="s">
        <v>835</v>
      </c>
      <c r="E56" t="s">
        <v>835</v>
      </c>
      <c r="F56">
        <v>115500</v>
      </c>
      <c r="G56">
        <v>115500</v>
      </c>
      <c r="H56" t="s">
        <v>11</v>
      </c>
      <c r="I56" t="s">
        <v>798</v>
      </c>
      <c r="J56" t="s">
        <v>699</v>
      </c>
    </row>
    <row r="57" spans="1:10" x14ac:dyDescent="0.75">
      <c r="A57" t="s">
        <v>838</v>
      </c>
      <c r="B57" t="s">
        <v>834</v>
      </c>
      <c r="C57" t="s">
        <v>835</v>
      </c>
      <c r="E57" t="s">
        <v>835</v>
      </c>
      <c r="F57">
        <v>115500</v>
      </c>
      <c r="G57">
        <v>115500</v>
      </c>
      <c r="H57" t="s">
        <v>11</v>
      </c>
      <c r="I57" t="s">
        <v>798</v>
      </c>
      <c r="J57" t="s">
        <v>699</v>
      </c>
    </row>
    <row r="58" spans="1:10" x14ac:dyDescent="0.75">
      <c r="A58" t="s">
        <v>837</v>
      </c>
      <c r="B58" t="s">
        <v>834</v>
      </c>
      <c r="C58" t="s">
        <v>835</v>
      </c>
      <c r="E58" t="s">
        <v>835</v>
      </c>
      <c r="F58">
        <v>115500</v>
      </c>
      <c r="G58">
        <v>115500</v>
      </c>
      <c r="H58" t="s">
        <v>11</v>
      </c>
      <c r="I58" t="s">
        <v>798</v>
      </c>
      <c r="J58" t="s">
        <v>699</v>
      </c>
    </row>
    <row r="59" spans="1:10" x14ac:dyDescent="0.75">
      <c r="A59" t="s">
        <v>836</v>
      </c>
      <c r="B59" t="s">
        <v>834</v>
      </c>
      <c r="C59" t="s">
        <v>835</v>
      </c>
      <c r="E59" t="s">
        <v>835</v>
      </c>
      <c r="F59">
        <v>115500</v>
      </c>
      <c r="G59">
        <v>115500</v>
      </c>
      <c r="H59" t="s">
        <v>11</v>
      </c>
      <c r="I59" t="s">
        <v>798</v>
      </c>
      <c r="J59" t="s">
        <v>699</v>
      </c>
    </row>
    <row r="60" spans="1:10" x14ac:dyDescent="0.75">
      <c r="A60" t="s">
        <v>833</v>
      </c>
      <c r="B60" t="s">
        <v>834</v>
      </c>
      <c r="C60" t="s">
        <v>835</v>
      </c>
      <c r="E60" t="s">
        <v>835</v>
      </c>
      <c r="F60">
        <v>115500</v>
      </c>
      <c r="G60">
        <v>115500</v>
      </c>
      <c r="H60" t="s">
        <v>11</v>
      </c>
      <c r="I60" t="s">
        <v>798</v>
      </c>
      <c r="J60" t="s">
        <v>699</v>
      </c>
    </row>
    <row r="61" spans="1:10" x14ac:dyDescent="0.75">
      <c r="A61" t="s">
        <v>832</v>
      </c>
      <c r="B61" t="s">
        <v>796</v>
      </c>
      <c r="C61" t="s">
        <v>797</v>
      </c>
      <c r="D61" t="s">
        <v>3066</v>
      </c>
      <c r="E61" t="s">
        <v>797</v>
      </c>
      <c r="F61">
        <v>2914560</v>
      </c>
      <c r="G61">
        <v>2914560</v>
      </c>
      <c r="H61" t="s">
        <v>11</v>
      </c>
      <c r="I61" t="s">
        <v>798</v>
      </c>
      <c r="J61" t="s">
        <v>699</v>
      </c>
    </row>
    <row r="62" spans="1:10" x14ac:dyDescent="0.75">
      <c r="A62" t="s">
        <v>831</v>
      </c>
      <c r="B62" t="s">
        <v>796</v>
      </c>
      <c r="C62" t="s">
        <v>797</v>
      </c>
      <c r="D62" t="s">
        <v>3066</v>
      </c>
      <c r="E62" t="s">
        <v>797</v>
      </c>
      <c r="F62">
        <v>3345408</v>
      </c>
      <c r="G62">
        <v>3345408</v>
      </c>
      <c r="H62" t="s">
        <v>11</v>
      </c>
      <c r="I62" t="s">
        <v>798</v>
      </c>
      <c r="J62" t="s">
        <v>699</v>
      </c>
    </row>
    <row r="63" spans="1:10" x14ac:dyDescent="0.75">
      <c r="A63" t="s">
        <v>830</v>
      </c>
      <c r="B63" t="s">
        <v>796</v>
      </c>
      <c r="C63" t="s">
        <v>797</v>
      </c>
      <c r="D63" t="s">
        <v>3066</v>
      </c>
      <c r="E63" t="s">
        <v>797</v>
      </c>
      <c r="F63">
        <v>3345408</v>
      </c>
      <c r="G63">
        <v>3345408</v>
      </c>
      <c r="H63" t="s">
        <v>11</v>
      </c>
      <c r="I63" t="s">
        <v>798</v>
      </c>
      <c r="J63" t="s">
        <v>699</v>
      </c>
    </row>
    <row r="64" spans="1:10" x14ac:dyDescent="0.75">
      <c r="A64" t="s">
        <v>829</v>
      </c>
      <c r="B64" t="s">
        <v>796</v>
      </c>
      <c r="C64" t="s">
        <v>797</v>
      </c>
      <c r="D64" t="s">
        <v>3066</v>
      </c>
      <c r="E64" t="s">
        <v>797</v>
      </c>
      <c r="F64">
        <v>3345408</v>
      </c>
      <c r="G64">
        <v>3345408</v>
      </c>
      <c r="H64" t="s">
        <v>11</v>
      </c>
      <c r="I64" t="s">
        <v>798</v>
      </c>
      <c r="J64" t="s">
        <v>699</v>
      </c>
    </row>
    <row r="65" spans="1:10" x14ac:dyDescent="0.75">
      <c r="A65" t="s">
        <v>828</v>
      </c>
      <c r="B65" t="s">
        <v>796</v>
      </c>
      <c r="C65" t="s">
        <v>797</v>
      </c>
      <c r="D65" t="s">
        <v>3066</v>
      </c>
      <c r="E65" t="s">
        <v>797</v>
      </c>
      <c r="F65">
        <v>3345408</v>
      </c>
      <c r="G65">
        <v>3345408</v>
      </c>
      <c r="H65" t="s">
        <v>11</v>
      </c>
      <c r="I65" t="s">
        <v>798</v>
      </c>
      <c r="J65" t="s">
        <v>699</v>
      </c>
    </row>
    <row r="66" spans="1:10" x14ac:dyDescent="0.75">
      <c r="A66" t="s">
        <v>827</v>
      </c>
      <c r="B66" t="s">
        <v>796</v>
      </c>
      <c r="C66" t="s">
        <v>797</v>
      </c>
      <c r="D66" t="s">
        <v>3066</v>
      </c>
      <c r="E66" t="s">
        <v>797</v>
      </c>
      <c r="F66">
        <v>3345408</v>
      </c>
      <c r="G66">
        <v>3345408</v>
      </c>
      <c r="H66" t="s">
        <v>11</v>
      </c>
      <c r="I66" t="s">
        <v>798</v>
      </c>
      <c r="J66" t="s">
        <v>699</v>
      </c>
    </row>
    <row r="67" spans="1:10" x14ac:dyDescent="0.75">
      <c r="A67" t="s">
        <v>826</v>
      </c>
      <c r="B67" t="s">
        <v>796</v>
      </c>
      <c r="C67" t="s">
        <v>797</v>
      </c>
      <c r="D67" t="s">
        <v>3066</v>
      </c>
      <c r="E67" t="s">
        <v>797</v>
      </c>
      <c r="F67">
        <v>3345408</v>
      </c>
      <c r="G67">
        <v>3345408</v>
      </c>
      <c r="H67" t="s">
        <v>11</v>
      </c>
      <c r="I67" t="s">
        <v>798</v>
      </c>
      <c r="J67" t="s">
        <v>699</v>
      </c>
    </row>
    <row r="68" spans="1:10" x14ac:dyDescent="0.75">
      <c r="A68" t="s">
        <v>825</v>
      </c>
      <c r="B68" t="s">
        <v>796</v>
      </c>
      <c r="C68" t="s">
        <v>797</v>
      </c>
      <c r="D68" t="s">
        <v>3066</v>
      </c>
      <c r="E68" t="s">
        <v>797</v>
      </c>
      <c r="F68">
        <v>3345408</v>
      </c>
      <c r="G68">
        <v>3345408</v>
      </c>
      <c r="H68" t="s">
        <v>11</v>
      </c>
      <c r="I68" t="s">
        <v>798</v>
      </c>
      <c r="J68" t="s">
        <v>699</v>
      </c>
    </row>
    <row r="69" spans="1:10" x14ac:dyDescent="0.75">
      <c r="A69" t="s">
        <v>824</v>
      </c>
      <c r="B69" t="s">
        <v>796</v>
      </c>
      <c r="C69" t="s">
        <v>797</v>
      </c>
      <c r="D69" t="s">
        <v>3066</v>
      </c>
      <c r="E69" t="s">
        <v>797</v>
      </c>
      <c r="F69">
        <v>3345408</v>
      </c>
      <c r="G69">
        <v>3345408</v>
      </c>
      <c r="H69" t="s">
        <v>11</v>
      </c>
      <c r="I69" t="s">
        <v>798</v>
      </c>
      <c r="J69" t="s">
        <v>699</v>
      </c>
    </row>
    <row r="70" spans="1:10" x14ac:dyDescent="0.75">
      <c r="A70" t="s">
        <v>823</v>
      </c>
      <c r="B70" t="s">
        <v>796</v>
      </c>
      <c r="C70" t="s">
        <v>797</v>
      </c>
      <c r="D70" t="s">
        <v>3066</v>
      </c>
      <c r="E70" t="s">
        <v>797</v>
      </c>
      <c r="F70">
        <v>3345408</v>
      </c>
      <c r="G70">
        <v>3345408</v>
      </c>
      <c r="H70" t="s">
        <v>11</v>
      </c>
      <c r="I70" t="s">
        <v>798</v>
      </c>
      <c r="J70" t="s">
        <v>699</v>
      </c>
    </row>
    <row r="71" spans="1:10" x14ac:dyDescent="0.75">
      <c r="A71" t="s">
        <v>822</v>
      </c>
      <c r="B71" t="s">
        <v>796</v>
      </c>
      <c r="C71" t="s">
        <v>797</v>
      </c>
      <c r="D71" t="s">
        <v>3066</v>
      </c>
      <c r="E71" t="s">
        <v>797</v>
      </c>
      <c r="F71">
        <v>3345408</v>
      </c>
      <c r="G71">
        <v>3345408</v>
      </c>
      <c r="H71" t="s">
        <v>11</v>
      </c>
      <c r="I71" t="s">
        <v>798</v>
      </c>
      <c r="J71" t="s">
        <v>699</v>
      </c>
    </row>
    <row r="72" spans="1:10" x14ac:dyDescent="0.75">
      <c r="A72" t="s">
        <v>821</v>
      </c>
      <c r="B72" t="s">
        <v>796</v>
      </c>
      <c r="C72" t="s">
        <v>797</v>
      </c>
      <c r="D72" t="s">
        <v>3066</v>
      </c>
      <c r="E72" t="s">
        <v>797</v>
      </c>
      <c r="F72">
        <v>3345408</v>
      </c>
      <c r="G72">
        <v>3345408</v>
      </c>
      <c r="H72" t="s">
        <v>11</v>
      </c>
      <c r="I72" t="s">
        <v>798</v>
      </c>
      <c r="J72" t="s">
        <v>699</v>
      </c>
    </row>
    <row r="73" spans="1:10" x14ac:dyDescent="0.75">
      <c r="A73" t="s">
        <v>820</v>
      </c>
      <c r="B73" t="s">
        <v>796</v>
      </c>
      <c r="C73" t="s">
        <v>797</v>
      </c>
      <c r="D73" t="s">
        <v>3066</v>
      </c>
      <c r="E73" t="s">
        <v>797</v>
      </c>
      <c r="F73">
        <v>3345408</v>
      </c>
      <c r="G73">
        <v>3345408</v>
      </c>
      <c r="H73" t="s">
        <v>11</v>
      </c>
      <c r="I73" t="s">
        <v>798</v>
      </c>
      <c r="J73" t="s">
        <v>699</v>
      </c>
    </row>
    <row r="74" spans="1:10" x14ac:dyDescent="0.75">
      <c r="A74" t="s">
        <v>819</v>
      </c>
      <c r="B74" t="s">
        <v>796</v>
      </c>
      <c r="C74" t="s">
        <v>797</v>
      </c>
      <c r="D74" t="s">
        <v>3066</v>
      </c>
      <c r="E74" t="s">
        <v>797</v>
      </c>
      <c r="F74">
        <v>3345408</v>
      </c>
      <c r="G74">
        <v>3345408</v>
      </c>
      <c r="H74" t="s">
        <v>11</v>
      </c>
      <c r="I74" t="s">
        <v>798</v>
      </c>
      <c r="J74" t="s">
        <v>699</v>
      </c>
    </row>
    <row r="75" spans="1:10" x14ac:dyDescent="0.75">
      <c r="A75" t="s">
        <v>818</v>
      </c>
      <c r="B75" t="s">
        <v>796</v>
      </c>
      <c r="C75" t="s">
        <v>797</v>
      </c>
      <c r="D75" t="s">
        <v>3066</v>
      </c>
      <c r="E75" t="s">
        <v>797</v>
      </c>
      <c r="F75">
        <v>3345408</v>
      </c>
      <c r="G75">
        <v>3345408</v>
      </c>
      <c r="H75" t="s">
        <v>11</v>
      </c>
      <c r="I75" t="s">
        <v>798</v>
      </c>
      <c r="J75" t="s">
        <v>699</v>
      </c>
    </row>
    <row r="76" spans="1:10" x14ac:dyDescent="0.75">
      <c r="A76" t="s">
        <v>817</v>
      </c>
      <c r="B76" t="s">
        <v>796</v>
      </c>
      <c r="C76" t="s">
        <v>797</v>
      </c>
      <c r="D76" t="s">
        <v>3066</v>
      </c>
      <c r="E76" t="s">
        <v>797</v>
      </c>
      <c r="F76">
        <v>3345408</v>
      </c>
      <c r="G76">
        <v>3345408</v>
      </c>
      <c r="H76" t="s">
        <v>11</v>
      </c>
      <c r="I76" t="s">
        <v>798</v>
      </c>
      <c r="J76" t="s">
        <v>699</v>
      </c>
    </row>
    <row r="77" spans="1:10" x14ac:dyDescent="0.75">
      <c r="A77" t="s">
        <v>816</v>
      </c>
      <c r="B77" t="s">
        <v>796</v>
      </c>
      <c r="C77" t="s">
        <v>797</v>
      </c>
      <c r="D77" t="s">
        <v>3066</v>
      </c>
      <c r="E77" t="s">
        <v>797</v>
      </c>
      <c r="F77">
        <v>3345408</v>
      </c>
      <c r="G77">
        <v>3345408</v>
      </c>
      <c r="H77" t="s">
        <v>11</v>
      </c>
      <c r="I77" t="s">
        <v>798</v>
      </c>
      <c r="J77" t="s">
        <v>699</v>
      </c>
    </row>
    <row r="78" spans="1:10" x14ac:dyDescent="0.75">
      <c r="A78" t="s">
        <v>815</v>
      </c>
      <c r="B78" t="s">
        <v>796</v>
      </c>
      <c r="C78" t="s">
        <v>797</v>
      </c>
      <c r="D78" t="s">
        <v>3066</v>
      </c>
      <c r="E78" t="s">
        <v>797</v>
      </c>
      <c r="F78">
        <v>3345408</v>
      </c>
      <c r="G78">
        <v>3345408</v>
      </c>
      <c r="H78" t="s">
        <v>11</v>
      </c>
      <c r="I78" t="s">
        <v>798</v>
      </c>
      <c r="J78" t="s">
        <v>699</v>
      </c>
    </row>
    <row r="79" spans="1:10" x14ac:dyDescent="0.75">
      <c r="A79" t="s">
        <v>814</v>
      </c>
      <c r="B79" t="s">
        <v>796</v>
      </c>
      <c r="C79" t="s">
        <v>797</v>
      </c>
      <c r="D79" t="s">
        <v>3066</v>
      </c>
      <c r="E79" t="s">
        <v>797</v>
      </c>
      <c r="F79">
        <v>3345408</v>
      </c>
      <c r="G79">
        <v>3345408</v>
      </c>
      <c r="H79" t="s">
        <v>11</v>
      </c>
      <c r="I79" t="s">
        <v>798</v>
      </c>
      <c r="J79" t="s">
        <v>699</v>
      </c>
    </row>
    <row r="80" spans="1:10" x14ac:dyDescent="0.75">
      <c r="A80" t="s">
        <v>813</v>
      </c>
      <c r="B80" t="s">
        <v>796</v>
      </c>
      <c r="C80" t="s">
        <v>797</v>
      </c>
      <c r="D80" t="s">
        <v>3066</v>
      </c>
      <c r="E80" t="s">
        <v>797</v>
      </c>
      <c r="F80">
        <v>3345408</v>
      </c>
      <c r="G80">
        <v>3345408</v>
      </c>
      <c r="H80" t="s">
        <v>11</v>
      </c>
      <c r="I80" t="s">
        <v>798</v>
      </c>
      <c r="J80" t="s">
        <v>699</v>
      </c>
    </row>
    <row r="81" spans="1:10" x14ac:dyDescent="0.75">
      <c r="A81" t="s">
        <v>812</v>
      </c>
      <c r="B81" t="s">
        <v>796</v>
      </c>
      <c r="C81" t="s">
        <v>797</v>
      </c>
      <c r="D81" t="s">
        <v>3066</v>
      </c>
      <c r="E81" t="s">
        <v>797</v>
      </c>
      <c r="F81">
        <v>3345408</v>
      </c>
      <c r="G81">
        <v>3345408</v>
      </c>
      <c r="H81" t="s">
        <v>11</v>
      </c>
      <c r="I81" t="s">
        <v>798</v>
      </c>
      <c r="J81" t="s">
        <v>699</v>
      </c>
    </row>
    <row r="82" spans="1:10" x14ac:dyDescent="0.75">
      <c r="A82" t="s">
        <v>811</v>
      </c>
      <c r="B82" t="s">
        <v>796</v>
      </c>
      <c r="C82" t="s">
        <v>797</v>
      </c>
      <c r="D82" t="s">
        <v>3066</v>
      </c>
      <c r="E82" t="s">
        <v>797</v>
      </c>
      <c r="F82">
        <v>3345408</v>
      </c>
      <c r="G82">
        <v>3345408</v>
      </c>
      <c r="H82" t="s">
        <v>11</v>
      </c>
      <c r="I82" t="s">
        <v>798</v>
      </c>
      <c r="J82" t="s">
        <v>699</v>
      </c>
    </row>
    <row r="83" spans="1:10" x14ac:dyDescent="0.75">
      <c r="A83" t="s">
        <v>810</v>
      </c>
      <c r="B83" t="s">
        <v>796</v>
      </c>
      <c r="C83" t="s">
        <v>797</v>
      </c>
      <c r="D83" t="s">
        <v>3066</v>
      </c>
      <c r="E83" t="s">
        <v>797</v>
      </c>
      <c r="F83">
        <v>3345408</v>
      </c>
      <c r="G83">
        <v>3345408</v>
      </c>
      <c r="H83" t="s">
        <v>196</v>
      </c>
      <c r="I83" t="s">
        <v>798</v>
      </c>
      <c r="J83" t="s">
        <v>699</v>
      </c>
    </row>
    <row r="84" spans="1:10" x14ac:dyDescent="0.75">
      <c r="A84" t="s">
        <v>809</v>
      </c>
      <c r="B84" t="s">
        <v>796</v>
      </c>
      <c r="C84" t="s">
        <v>797</v>
      </c>
      <c r="D84" t="s">
        <v>3066</v>
      </c>
      <c r="E84" t="s">
        <v>797</v>
      </c>
      <c r="F84">
        <v>3345408</v>
      </c>
      <c r="G84">
        <v>3345408</v>
      </c>
      <c r="H84" t="s">
        <v>11</v>
      </c>
      <c r="I84" t="s">
        <v>798</v>
      </c>
      <c r="J84" t="s">
        <v>699</v>
      </c>
    </row>
    <row r="85" spans="1:10" x14ac:dyDescent="0.75">
      <c r="A85" t="s">
        <v>808</v>
      </c>
      <c r="B85" t="s">
        <v>796</v>
      </c>
      <c r="C85" t="s">
        <v>797</v>
      </c>
      <c r="D85" t="s">
        <v>3066</v>
      </c>
      <c r="E85" t="s">
        <v>797</v>
      </c>
      <c r="F85">
        <v>3345408</v>
      </c>
      <c r="G85">
        <v>3345408</v>
      </c>
      <c r="H85" t="s">
        <v>196</v>
      </c>
      <c r="I85" t="s">
        <v>798</v>
      </c>
      <c r="J85" t="s">
        <v>699</v>
      </c>
    </row>
    <row r="86" spans="1:10" x14ac:dyDescent="0.75">
      <c r="A86" t="s">
        <v>807</v>
      </c>
      <c r="B86" t="s">
        <v>796</v>
      </c>
      <c r="C86" t="s">
        <v>797</v>
      </c>
      <c r="D86" t="s">
        <v>3066</v>
      </c>
      <c r="E86" t="s">
        <v>797</v>
      </c>
      <c r="F86">
        <v>3345408</v>
      </c>
      <c r="G86">
        <v>3345408</v>
      </c>
      <c r="H86" t="s">
        <v>11</v>
      </c>
      <c r="I86" t="s">
        <v>798</v>
      </c>
      <c r="J86" t="s">
        <v>699</v>
      </c>
    </row>
    <row r="87" spans="1:10" x14ac:dyDescent="0.75">
      <c r="A87" t="s">
        <v>806</v>
      </c>
      <c r="B87" t="s">
        <v>796</v>
      </c>
      <c r="C87" t="s">
        <v>797</v>
      </c>
      <c r="D87" t="s">
        <v>3066</v>
      </c>
      <c r="E87" t="s">
        <v>797</v>
      </c>
      <c r="F87">
        <v>3345408</v>
      </c>
      <c r="G87">
        <v>3345408</v>
      </c>
      <c r="H87" t="s">
        <v>11</v>
      </c>
      <c r="I87" t="s">
        <v>798</v>
      </c>
      <c r="J87" t="s">
        <v>699</v>
      </c>
    </row>
    <row r="88" spans="1:10" x14ac:dyDescent="0.75">
      <c r="A88" t="s">
        <v>805</v>
      </c>
      <c r="B88" t="s">
        <v>796</v>
      </c>
      <c r="C88" t="s">
        <v>797</v>
      </c>
      <c r="D88" t="s">
        <v>3066</v>
      </c>
      <c r="E88" t="s">
        <v>797</v>
      </c>
      <c r="F88">
        <v>3345408</v>
      </c>
      <c r="G88">
        <v>3345408</v>
      </c>
      <c r="H88" t="s">
        <v>11</v>
      </c>
      <c r="I88" t="s">
        <v>798</v>
      </c>
      <c r="J88" t="s">
        <v>699</v>
      </c>
    </row>
    <row r="89" spans="1:10" x14ac:dyDescent="0.75">
      <c r="A89" t="s">
        <v>804</v>
      </c>
      <c r="B89" t="s">
        <v>796</v>
      </c>
      <c r="C89" t="s">
        <v>797</v>
      </c>
      <c r="D89" t="s">
        <v>3066</v>
      </c>
      <c r="E89" t="s">
        <v>797</v>
      </c>
      <c r="F89">
        <v>3345408</v>
      </c>
      <c r="G89">
        <v>3345408</v>
      </c>
      <c r="H89" t="s">
        <v>11</v>
      </c>
      <c r="I89" t="s">
        <v>798</v>
      </c>
      <c r="J89" t="s">
        <v>699</v>
      </c>
    </row>
    <row r="90" spans="1:10" x14ac:dyDescent="0.75">
      <c r="A90" t="s">
        <v>803</v>
      </c>
      <c r="B90" t="s">
        <v>796</v>
      </c>
      <c r="C90" t="s">
        <v>797</v>
      </c>
      <c r="D90" t="s">
        <v>3066</v>
      </c>
      <c r="E90" t="s">
        <v>797</v>
      </c>
      <c r="F90">
        <v>3345408</v>
      </c>
      <c r="G90">
        <v>3345408</v>
      </c>
      <c r="H90" t="s">
        <v>11</v>
      </c>
      <c r="I90" t="s">
        <v>798</v>
      </c>
      <c r="J90" t="s">
        <v>699</v>
      </c>
    </row>
    <row r="91" spans="1:10" x14ac:dyDescent="0.75">
      <c r="A91" t="s">
        <v>802</v>
      </c>
      <c r="B91" t="s">
        <v>796</v>
      </c>
      <c r="C91" t="s">
        <v>797</v>
      </c>
      <c r="D91" t="s">
        <v>3066</v>
      </c>
      <c r="E91" t="s">
        <v>797</v>
      </c>
      <c r="F91">
        <v>3345408</v>
      </c>
      <c r="G91">
        <v>3345408</v>
      </c>
      <c r="H91" t="s">
        <v>11</v>
      </c>
      <c r="I91" t="s">
        <v>798</v>
      </c>
      <c r="J91" t="s">
        <v>699</v>
      </c>
    </row>
    <row r="92" spans="1:10" x14ac:dyDescent="0.75">
      <c r="A92" t="s">
        <v>801</v>
      </c>
      <c r="B92" t="s">
        <v>796</v>
      </c>
      <c r="C92" t="s">
        <v>797</v>
      </c>
      <c r="D92" t="s">
        <v>3066</v>
      </c>
      <c r="E92" t="s">
        <v>797</v>
      </c>
      <c r="F92">
        <v>3345408</v>
      </c>
      <c r="G92">
        <v>3345408</v>
      </c>
      <c r="H92" t="s">
        <v>11</v>
      </c>
      <c r="I92" t="s">
        <v>798</v>
      </c>
      <c r="J92" t="s">
        <v>699</v>
      </c>
    </row>
    <row r="93" spans="1:10" x14ac:dyDescent="0.75">
      <c r="A93" t="s">
        <v>800</v>
      </c>
      <c r="B93" t="s">
        <v>796</v>
      </c>
      <c r="C93" t="s">
        <v>797</v>
      </c>
      <c r="D93" t="s">
        <v>3066</v>
      </c>
      <c r="E93" t="s">
        <v>797</v>
      </c>
      <c r="F93">
        <v>3345408</v>
      </c>
      <c r="G93">
        <v>3345408</v>
      </c>
      <c r="H93" t="s">
        <v>11</v>
      </c>
      <c r="I93" t="s">
        <v>798</v>
      </c>
      <c r="J93" t="s">
        <v>699</v>
      </c>
    </row>
    <row r="94" spans="1:10" x14ac:dyDescent="0.75">
      <c r="A94" t="s">
        <v>799</v>
      </c>
      <c r="B94" t="s">
        <v>796</v>
      </c>
      <c r="C94" t="s">
        <v>797</v>
      </c>
      <c r="D94" t="s">
        <v>3066</v>
      </c>
      <c r="E94" t="s">
        <v>797</v>
      </c>
      <c r="F94">
        <v>3345408</v>
      </c>
      <c r="G94">
        <v>3345408</v>
      </c>
      <c r="H94" t="s">
        <v>11</v>
      </c>
      <c r="I94" t="s">
        <v>798</v>
      </c>
      <c r="J94" t="s">
        <v>699</v>
      </c>
    </row>
    <row r="95" spans="1:10" x14ac:dyDescent="0.75">
      <c r="A95" t="s">
        <v>795</v>
      </c>
      <c r="B95" t="s">
        <v>796</v>
      </c>
      <c r="C95" t="s">
        <v>797</v>
      </c>
      <c r="D95" t="s">
        <v>3066</v>
      </c>
      <c r="E95" t="s">
        <v>797</v>
      </c>
      <c r="F95">
        <v>3345408</v>
      </c>
      <c r="G95">
        <v>3345408</v>
      </c>
      <c r="H95" t="s">
        <v>11</v>
      </c>
      <c r="I95" t="s">
        <v>798</v>
      </c>
      <c r="J95" t="s">
        <v>699</v>
      </c>
    </row>
    <row r="96" spans="1:10" x14ac:dyDescent="0.75">
      <c r="A96" t="s">
        <v>716</v>
      </c>
      <c r="B96" t="s">
        <v>717</v>
      </c>
      <c r="C96" t="s">
        <v>718</v>
      </c>
      <c r="E96" t="s">
        <v>718</v>
      </c>
      <c r="F96">
        <v>80050</v>
      </c>
      <c r="G96">
        <v>80500</v>
      </c>
      <c r="H96" t="s">
        <v>11</v>
      </c>
      <c r="I96" t="s">
        <v>694</v>
      </c>
      <c r="J96" t="s">
        <v>699</v>
      </c>
    </row>
    <row r="97" spans="1:10" x14ac:dyDescent="0.75">
      <c r="A97" t="s">
        <v>715</v>
      </c>
      <c r="B97" t="s">
        <v>706</v>
      </c>
      <c r="C97" t="s">
        <v>707</v>
      </c>
      <c r="E97" t="s">
        <v>707</v>
      </c>
      <c r="F97">
        <v>38900</v>
      </c>
      <c r="G97">
        <v>38550</v>
      </c>
      <c r="H97" t="s">
        <v>196</v>
      </c>
      <c r="I97" t="s">
        <v>694</v>
      </c>
      <c r="J97" t="s">
        <v>699</v>
      </c>
    </row>
    <row r="98" spans="1:10" x14ac:dyDescent="0.75">
      <c r="A98" t="s">
        <v>714</v>
      </c>
      <c r="B98" t="s">
        <v>706</v>
      </c>
      <c r="C98" t="s">
        <v>707</v>
      </c>
      <c r="E98" t="s">
        <v>707</v>
      </c>
      <c r="F98">
        <v>115500</v>
      </c>
      <c r="G98">
        <v>115500</v>
      </c>
      <c r="H98" t="s">
        <v>11</v>
      </c>
      <c r="I98" t="s">
        <v>694</v>
      </c>
      <c r="J98" t="s">
        <v>699</v>
      </c>
    </row>
    <row r="99" spans="1:10" x14ac:dyDescent="0.75">
      <c r="A99" t="s">
        <v>713</v>
      </c>
      <c r="B99" t="s">
        <v>706</v>
      </c>
      <c r="C99" t="s">
        <v>707</v>
      </c>
      <c r="E99" t="s">
        <v>707</v>
      </c>
      <c r="F99">
        <v>115500</v>
      </c>
      <c r="G99">
        <v>115500</v>
      </c>
      <c r="H99" t="s">
        <v>11</v>
      </c>
      <c r="I99" t="s">
        <v>694</v>
      </c>
      <c r="J99" t="s">
        <v>699</v>
      </c>
    </row>
    <row r="100" spans="1:10" x14ac:dyDescent="0.75">
      <c r="A100" t="s">
        <v>712</v>
      </c>
      <c r="B100" t="s">
        <v>697</v>
      </c>
      <c r="C100" t="s">
        <v>698</v>
      </c>
      <c r="D100">
        <v>4</v>
      </c>
      <c r="E100" t="s">
        <v>698</v>
      </c>
      <c r="F100">
        <v>4659840</v>
      </c>
      <c r="G100">
        <v>4659840</v>
      </c>
      <c r="H100" t="s">
        <v>11</v>
      </c>
      <c r="I100" t="s">
        <v>694</v>
      </c>
      <c r="J100" t="s">
        <v>699</v>
      </c>
    </row>
    <row r="101" spans="1:10" x14ac:dyDescent="0.75">
      <c r="A101" t="s">
        <v>711</v>
      </c>
      <c r="B101" t="s">
        <v>697</v>
      </c>
      <c r="C101" t="s">
        <v>698</v>
      </c>
      <c r="D101">
        <v>4</v>
      </c>
      <c r="E101" t="s">
        <v>698</v>
      </c>
      <c r="F101">
        <v>5702400</v>
      </c>
      <c r="G101">
        <v>5702400</v>
      </c>
      <c r="H101" t="s">
        <v>11</v>
      </c>
      <c r="I101" t="s">
        <v>694</v>
      </c>
      <c r="J101" t="s">
        <v>699</v>
      </c>
    </row>
    <row r="102" spans="1:10" x14ac:dyDescent="0.75">
      <c r="A102" t="s">
        <v>710</v>
      </c>
      <c r="B102" t="s">
        <v>697</v>
      </c>
      <c r="C102" t="s">
        <v>698</v>
      </c>
      <c r="D102">
        <v>4</v>
      </c>
      <c r="E102" t="s">
        <v>698</v>
      </c>
      <c r="F102">
        <v>5702400</v>
      </c>
      <c r="G102">
        <v>5702400</v>
      </c>
      <c r="H102" t="s">
        <v>11</v>
      </c>
      <c r="I102" t="s">
        <v>694</v>
      </c>
      <c r="J102" t="s">
        <v>699</v>
      </c>
    </row>
    <row r="103" spans="1:10" x14ac:dyDescent="0.75">
      <c r="A103" t="s">
        <v>709</v>
      </c>
      <c r="B103" t="s">
        <v>697</v>
      </c>
      <c r="C103" t="s">
        <v>698</v>
      </c>
      <c r="D103">
        <v>4</v>
      </c>
      <c r="E103" t="s">
        <v>698</v>
      </c>
      <c r="F103">
        <v>5702400</v>
      </c>
      <c r="G103">
        <v>5702400</v>
      </c>
      <c r="H103" t="s">
        <v>11</v>
      </c>
      <c r="I103" t="s">
        <v>694</v>
      </c>
      <c r="J103" t="s">
        <v>699</v>
      </c>
    </row>
    <row r="104" spans="1:10" x14ac:dyDescent="0.75">
      <c r="A104" t="s">
        <v>708</v>
      </c>
      <c r="B104" t="s">
        <v>703</v>
      </c>
      <c r="C104" t="s">
        <v>704</v>
      </c>
      <c r="D104">
        <v>4</v>
      </c>
      <c r="E104" t="s">
        <v>704</v>
      </c>
      <c r="F104">
        <v>1955520</v>
      </c>
      <c r="G104">
        <v>1955520</v>
      </c>
      <c r="H104" t="s">
        <v>11</v>
      </c>
      <c r="I104" t="s">
        <v>694</v>
      </c>
      <c r="J104" t="s">
        <v>699</v>
      </c>
    </row>
    <row r="105" spans="1:10" x14ac:dyDescent="0.75">
      <c r="A105" t="s">
        <v>705</v>
      </c>
      <c r="B105" t="s">
        <v>706</v>
      </c>
      <c r="C105" t="s">
        <v>707</v>
      </c>
      <c r="E105" t="s">
        <v>707</v>
      </c>
      <c r="F105">
        <v>115500</v>
      </c>
      <c r="G105">
        <v>115500</v>
      </c>
      <c r="H105" t="s">
        <v>11</v>
      </c>
      <c r="I105" t="s">
        <v>694</v>
      </c>
      <c r="J105" t="s">
        <v>699</v>
      </c>
    </row>
    <row r="106" spans="1:10" x14ac:dyDescent="0.75">
      <c r="A106" t="s">
        <v>702</v>
      </c>
      <c r="B106" t="s">
        <v>703</v>
      </c>
      <c r="C106" t="s">
        <v>704</v>
      </c>
      <c r="D106">
        <v>4</v>
      </c>
      <c r="E106" t="s">
        <v>704</v>
      </c>
      <c r="F106">
        <v>5702400</v>
      </c>
      <c r="G106">
        <v>5702400</v>
      </c>
      <c r="H106" t="s">
        <v>11</v>
      </c>
      <c r="I106" t="s">
        <v>694</v>
      </c>
      <c r="J106" t="s">
        <v>699</v>
      </c>
    </row>
    <row r="107" spans="1:10" x14ac:dyDescent="0.75">
      <c r="A107" t="s">
        <v>701</v>
      </c>
      <c r="B107" t="s">
        <v>697</v>
      </c>
      <c r="C107" t="s">
        <v>698</v>
      </c>
      <c r="D107">
        <v>4</v>
      </c>
      <c r="E107" t="s">
        <v>698</v>
      </c>
      <c r="F107">
        <v>5702400</v>
      </c>
      <c r="G107">
        <v>5702400</v>
      </c>
      <c r="H107" t="s">
        <v>11</v>
      </c>
      <c r="I107" t="s">
        <v>694</v>
      </c>
      <c r="J107" t="s">
        <v>699</v>
      </c>
    </row>
    <row r="108" spans="1:10" x14ac:dyDescent="0.75">
      <c r="A108" t="s">
        <v>700</v>
      </c>
      <c r="B108" t="s">
        <v>697</v>
      </c>
      <c r="C108" t="s">
        <v>698</v>
      </c>
      <c r="D108">
        <v>4</v>
      </c>
      <c r="E108" t="s">
        <v>698</v>
      </c>
      <c r="F108">
        <v>5702400</v>
      </c>
      <c r="G108">
        <v>5702400</v>
      </c>
      <c r="H108" t="s">
        <v>11</v>
      </c>
      <c r="I108" t="s">
        <v>694</v>
      </c>
      <c r="J108" t="s">
        <v>699</v>
      </c>
    </row>
    <row r="109" spans="1:10" x14ac:dyDescent="0.75">
      <c r="A109" t="s">
        <v>696</v>
      </c>
      <c r="B109" t="s">
        <v>697</v>
      </c>
      <c r="C109" t="s">
        <v>698</v>
      </c>
      <c r="D109">
        <v>4</v>
      </c>
      <c r="E109" t="s">
        <v>698</v>
      </c>
      <c r="F109">
        <v>5702400</v>
      </c>
      <c r="G109">
        <v>5702400</v>
      </c>
      <c r="H109" t="s">
        <v>11</v>
      </c>
      <c r="I109" t="s">
        <v>694</v>
      </c>
      <c r="J109" t="s">
        <v>699</v>
      </c>
    </row>
    <row r="113" spans="4:8" ht="29.5" x14ac:dyDescent="0.75">
      <c r="D113" s="8" t="s">
        <v>1</v>
      </c>
      <c r="E113" s="8" t="s">
        <v>2</v>
      </c>
      <c r="F113" s="8" t="s">
        <v>3</v>
      </c>
      <c r="G113" s="9" t="s">
        <v>3078</v>
      </c>
      <c r="H113" s="9" t="s">
        <v>3079</v>
      </c>
    </row>
    <row r="114" spans="4:8" x14ac:dyDescent="0.75">
      <c r="D114" t="s">
        <v>3104</v>
      </c>
      <c r="E114" t="s">
        <v>3071</v>
      </c>
      <c r="F114">
        <f>F43</f>
        <v>150840</v>
      </c>
      <c r="G114">
        <v>-1.6665E-3</v>
      </c>
      <c r="H114">
        <f>G114*F114</f>
        <v>-251.37486000000001</v>
      </c>
    </row>
    <row r="115" spans="4:8" x14ac:dyDescent="0.75">
      <c r="D115" t="s">
        <v>3104</v>
      </c>
      <c r="E115" t="s">
        <v>3069</v>
      </c>
      <c r="F115">
        <f>F5+F7+F9+F11+F12+F14+F16+F18+F21+F22+F23+F25+SUM(F106:F109)+SUM(F100:F104)+SUM(F26:F27)+SUM(F29:F40)</f>
        <v>150238261</v>
      </c>
      <c r="G115">
        <v>2.6670000000000001E-3</v>
      </c>
      <c r="H115">
        <f>G115*F115</f>
        <v>400685.442087</v>
      </c>
    </row>
    <row r="116" spans="4:8" x14ac:dyDescent="0.75">
      <c r="D116" t="s">
        <v>3104</v>
      </c>
      <c r="E116" t="s">
        <v>3058</v>
      </c>
      <c r="F116">
        <f>SUM(F61:F95)</f>
        <v>116658432</v>
      </c>
      <c r="G116">
        <v>-3.0000000000000001E-3</v>
      </c>
      <c r="H116">
        <f>G116*F116</f>
        <v>-349975.29600000003</v>
      </c>
    </row>
    <row r="117" spans="4:8" x14ac:dyDescent="0.75">
      <c r="D117" t="s">
        <v>3104</v>
      </c>
      <c r="E117" t="s">
        <v>3070</v>
      </c>
      <c r="F117">
        <f>SUM(F46:F52)</f>
        <v>25404064</v>
      </c>
      <c r="G117">
        <v>-1E-3</v>
      </c>
      <c r="H117">
        <f>G117*F117</f>
        <v>-25404.064000000002</v>
      </c>
    </row>
    <row r="118" spans="4:8" x14ac:dyDescent="0.75">
      <c r="D118" t="s">
        <v>3104</v>
      </c>
      <c r="E118" t="s">
        <v>3042</v>
      </c>
      <c r="F118">
        <f>F105+F99+F98+F97+F96+F54+F55+F56+F57+F58+F59+F60+F41+F28+F24+F20+F19+F17+F15+F13+F10+F8+F6+F44+F45</f>
        <v>2145110</v>
      </c>
    </row>
    <row r="151" spans="3:4" x14ac:dyDescent="0.75">
      <c r="C151">
        <v>100</v>
      </c>
      <c r="D151">
        <v>5</v>
      </c>
    </row>
    <row r="152" spans="3:4" x14ac:dyDescent="0.75">
      <c r="C152">
        <v>3</v>
      </c>
      <c r="D152">
        <f>D151*C152/C151</f>
        <v>0.15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4E4F-8FD0-430A-B6B0-49FC86394C75}">
  <dimension ref="A1:I23"/>
  <sheetViews>
    <sheetView topLeftCell="B17" workbookViewId="0">
      <selection activeCell="C21" sqref="C21:C23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8.906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3059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1967</v>
      </c>
      <c r="B4" t="s">
        <v>1192</v>
      </c>
      <c r="C4" t="s">
        <v>1193</v>
      </c>
      <c r="D4" t="s">
        <v>1193</v>
      </c>
      <c r="E4">
        <v>5000400</v>
      </c>
      <c r="F4">
        <v>5000400</v>
      </c>
      <c r="G4" t="s">
        <v>11</v>
      </c>
      <c r="H4" t="s">
        <v>1968</v>
      </c>
      <c r="I4" t="s">
        <v>550</v>
      </c>
    </row>
    <row r="5" spans="1:9" x14ac:dyDescent="0.75">
      <c r="A5" t="s">
        <v>1189</v>
      </c>
      <c r="B5" t="s">
        <v>1192</v>
      </c>
      <c r="C5" t="s">
        <v>1193</v>
      </c>
      <c r="D5" t="s">
        <v>1193</v>
      </c>
      <c r="E5">
        <v>5013600</v>
      </c>
      <c r="F5">
        <v>5013600</v>
      </c>
      <c r="G5" t="s">
        <v>11</v>
      </c>
      <c r="H5" t="s">
        <v>1187</v>
      </c>
      <c r="I5" t="s">
        <v>550</v>
      </c>
    </row>
    <row r="6" spans="1:9" x14ac:dyDescent="0.75">
      <c r="A6" t="s">
        <v>1189</v>
      </c>
      <c r="B6" t="s">
        <v>1190</v>
      </c>
      <c r="C6" t="s">
        <v>1191</v>
      </c>
      <c r="D6" t="s">
        <v>1191</v>
      </c>
      <c r="E6">
        <v>50988000</v>
      </c>
      <c r="F6">
        <v>60549599</v>
      </c>
      <c r="G6" t="s">
        <v>11</v>
      </c>
      <c r="H6" t="s">
        <v>1187</v>
      </c>
      <c r="I6" t="s">
        <v>550</v>
      </c>
    </row>
    <row r="7" spans="1:9" x14ac:dyDescent="0.75">
      <c r="A7" t="s">
        <v>995</v>
      </c>
      <c r="B7" t="s">
        <v>993</v>
      </c>
      <c r="C7" t="s">
        <v>994</v>
      </c>
      <c r="D7" t="s">
        <v>994</v>
      </c>
      <c r="E7">
        <v>1954800</v>
      </c>
      <c r="F7">
        <v>1954800</v>
      </c>
      <c r="G7" t="s">
        <v>11</v>
      </c>
      <c r="H7" t="s">
        <v>988</v>
      </c>
      <c r="I7" t="s">
        <v>550</v>
      </c>
    </row>
    <row r="8" spans="1:9" x14ac:dyDescent="0.75">
      <c r="A8" t="s">
        <v>992</v>
      </c>
      <c r="B8" t="s">
        <v>993</v>
      </c>
      <c r="C8" t="s">
        <v>994</v>
      </c>
      <c r="D8" t="s">
        <v>994</v>
      </c>
      <c r="E8">
        <v>3049200</v>
      </c>
      <c r="F8">
        <v>3049200</v>
      </c>
      <c r="G8" t="s">
        <v>11</v>
      </c>
      <c r="H8" t="s">
        <v>988</v>
      </c>
      <c r="I8" t="s">
        <v>550</v>
      </c>
    </row>
    <row r="9" spans="1:9" x14ac:dyDescent="0.75">
      <c r="A9" t="s">
        <v>989</v>
      </c>
      <c r="B9" t="s">
        <v>990</v>
      </c>
      <c r="C9" t="s">
        <v>991</v>
      </c>
      <c r="D9" t="s">
        <v>991</v>
      </c>
      <c r="E9">
        <v>40410</v>
      </c>
      <c r="F9">
        <v>40410</v>
      </c>
      <c r="G9" t="s">
        <v>11</v>
      </c>
      <c r="H9" t="s">
        <v>988</v>
      </c>
      <c r="I9" t="s">
        <v>550</v>
      </c>
    </row>
    <row r="10" spans="1:9" x14ac:dyDescent="0.75">
      <c r="A10" t="s">
        <v>556</v>
      </c>
      <c r="B10" t="s">
        <v>548</v>
      </c>
      <c r="C10" t="s">
        <v>549</v>
      </c>
      <c r="D10" t="s">
        <v>549</v>
      </c>
      <c r="E10">
        <v>1380</v>
      </c>
      <c r="F10">
        <v>1440</v>
      </c>
      <c r="G10" t="s">
        <v>11</v>
      </c>
      <c r="H10" t="s">
        <v>521</v>
      </c>
      <c r="I10" t="s">
        <v>550</v>
      </c>
    </row>
    <row r="11" spans="1:9" x14ac:dyDescent="0.75">
      <c r="A11" t="s">
        <v>555</v>
      </c>
      <c r="B11" t="s">
        <v>548</v>
      </c>
      <c r="C11" t="s">
        <v>549</v>
      </c>
      <c r="D11" t="s">
        <v>549</v>
      </c>
      <c r="E11">
        <v>83160</v>
      </c>
      <c r="F11">
        <v>83160</v>
      </c>
      <c r="G11" t="s">
        <v>11</v>
      </c>
      <c r="H11" t="s">
        <v>521</v>
      </c>
      <c r="I11" t="s">
        <v>550</v>
      </c>
    </row>
    <row r="12" spans="1:9" x14ac:dyDescent="0.75">
      <c r="A12" t="s">
        <v>554</v>
      </c>
      <c r="B12" t="s">
        <v>548</v>
      </c>
      <c r="C12" t="s">
        <v>549</v>
      </c>
      <c r="D12" t="s">
        <v>549</v>
      </c>
      <c r="E12">
        <v>83160</v>
      </c>
      <c r="F12">
        <v>83160</v>
      </c>
      <c r="G12" t="s">
        <v>11</v>
      </c>
      <c r="H12" t="s">
        <v>521</v>
      </c>
      <c r="I12" t="s">
        <v>550</v>
      </c>
    </row>
    <row r="13" spans="1:9" x14ac:dyDescent="0.75">
      <c r="A13" t="s">
        <v>553</v>
      </c>
      <c r="B13" t="s">
        <v>548</v>
      </c>
      <c r="C13" t="s">
        <v>549</v>
      </c>
      <c r="D13" t="s">
        <v>549</v>
      </c>
      <c r="E13">
        <v>83160</v>
      </c>
      <c r="F13">
        <v>83160</v>
      </c>
      <c r="G13" t="s">
        <v>11</v>
      </c>
      <c r="H13" t="s">
        <v>521</v>
      </c>
      <c r="I13" t="s">
        <v>550</v>
      </c>
    </row>
    <row r="14" spans="1:9" x14ac:dyDescent="0.75">
      <c r="A14" t="s">
        <v>552</v>
      </c>
      <c r="B14" t="s">
        <v>548</v>
      </c>
      <c r="C14" t="s">
        <v>549</v>
      </c>
      <c r="D14" t="s">
        <v>549</v>
      </c>
      <c r="E14">
        <v>83160</v>
      </c>
      <c r="F14">
        <v>83160</v>
      </c>
      <c r="G14" t="s">
        <v>11</v>
      </c>
      <c r="H14" t="s">
        <v>521</v>
      </c>
      <c r="I14" t="s">
        <v>550</v>
      </c>
    </row>
    <row r="15" spans="1:9" x14ac:dyDescent="0.75">
      <c r="A15" t="s">
        <v>551</v>
      </c>
      <c r="B15" t="s">
        <v>548</v>
      </c>
      <c r="C15" t="s">
        <v>549</v>
      </c>
      <c r="D15" t="s">
        <v>549</v>
      </c>
      <c r="E15">
        <v>83160</v>
      </c>
      <c r="F15">
        <v>83160</v>
      </c>
      <c r="G15" t="s">
        <v>11</v>
      </c>
      <c r="H15" t="s">
        <v>521</v>
      </c>
      <c r="I15" t="s">
        <v>550</v>
      </c>
    </row>
    <row r="16" spans="1:9" x14ac:dyDescent="0.75">
      <c r="A16" t="s">
        <v>547</v>
      </c>
      <c r="B16" t="s">
        <v>548</v>
      </c>
      <c r="C16" t="s">
        <v>549</v>
      </c>
      <c r="D16" t="s">
        <v>549</v>
      </c>
      <c r="E16">
        <v>83160</v>
      </c>
      <c r="F16">
        <v>83160</v>
      </c>
      <c r="G16" t="s">
        <v>11</v>
      </c>
      <c r="H16" t="s">
        <v>521</v>
      </c>
      <c r="I16" t="s">
        <v>550</v>
      </c>
    </row>
    <row r="19" spans="3:7" ht="44.25" x14ac:dyDescent="0.75">
      <c r="C19" s="8" t="s">
        <v>1</v>
      </c>
      <c r="D19" s="8" t="s">
        <v>2</v>
      </c>
      <c r="E19" s="8" t="s">
        <v>3</v>
      </c>
      <c r="F19" s="9" t="s">
        <v>3078</v>
      </c>
      <c r="G19" s="9" t="s">
        <v>3079</v>
      </c>
    </row>
    <row r="20" spans="3:7" x14ac:dyDescent="0.75">
      <c r="C20" t="s">
        <v>3104</v>
      </c>
      <c r="D20" t="s">
        <v>3072</v>
      </c>
      <c r="E20">
        <f>SUM(E4:E6)</f>
        <v>61002000</v>
      </c>
      <c r="F20">
        <v>-1E-3</v>
      </c>
      <c r="G20">
        <f>F20*E20</f>
        <v>-61002</v>
      </c>
    </row>
    <row r="21" spans="3:7" x14ac:dyDescent="0.75">
      <c r="C21" t="s">
        <v>3104</v>
      </c>
      <c r="D21" t="s">
        <v>3073</v>
      </c>
      <c r="E21">
        <f>SUM(E7:E8)</f>
        <v>5004000</v>
      </c>
      <c r="F21">
        <v>-2E-3</v>
      </c>
      <c r="G21">
        <f>F21*E21</f>
        <v>-10008</v>
      </c>
    </row>
    <row r="22" spans="3:7" x14ac:dyDescent="0.75">
      <c r="C22" t="s">
        <v>3104</v>
      </c>
      <c r="D22" t="s">
        <v>3060</v>
      </c>
      <c r="E22">
        <f>E9</f>
        <v>40410</v>
      </c>
    </row>
    <row r="23" spans="3:7" x14ac:dyDescent="0.75">
      <c r="C23" t="s">
        <v>3104</v>
      </c>
      <c r="D23" t="s">
        <v>3061</v>
      </c>
      <c r="E23">
        <f>SUM(E10:E16)</f>
        <v>500340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3AB3-9E98-466A-82AD-D883BD59AC37}">
  <sheetPr>
    <tabColor theme="9"/>
  </sheetPr>
  <dimension ref="A1:I17"/>
  <sheetViews>
    <sheetView workbookViewId="0">
      <selection activeCell="C17" sqref="C17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2.816406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2994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575</v>
      </c>
      <c r="B4" t="s">
        <v>564</v>
      </c>
      <c r="C4" t="s">
        <v>565</v>
      </c>
      <c r="D4" t="s">
        <v>565</v>
      </c>
      <c r="E4">
        <v>1159680</v>
      </c>
      <c r="F4">
        <v>1159680</v>
      </c>
      <c r="G4" t="s">
        <v>11</v>
      </c>
      <c r="H4" t="s">
        <v>521</v>
      </c>
      <c r="I4" t="s">
        <v>566</v>
      </c>
    </row>
    <row r="5" spans="1:9" x14ac:dyDescent="0.75">
      <c r="A5" t="s">
        <v>574</v>
      </c>
      <c r="B5" t="s">
        <v>564</v>
      </c>
      <c r="C5" t="s">
        <v>565</v>
      </c>
      <c r="D5" t="s">
        <v>565</v>
      </c>
      <c r="E5">
        <v>6209280</v>
      </c>
      <c r="F5">
        <v>6209280</v>
      </c>
      <c r="G5" t="s">
        <v>11</v>
      </c>
      <c r="H5" t="s">
        <v>521</v>
      </c>
      <c r="I5" t="s">
        <v>566</v>
      </c>
    </row>
    <row r="6" spans="1:9" x14ac:dyDescent="0.75">
      <c r="A6" t="s">
        <v>573</v>
      </c>
      <c r="B6" t="s">
        <v>564</v>
      </c>
      <c r="C6" t="s">
        <v>565</v>
      </c>
      <c r="D6" t="s">
        <v>565</v>
      </c>
      <c r="E6">
        <v>6209280</v>
      </c>
      <c r="F6">
        <v>6209280</v>
      </c>
      <c r="G6" t="s">
        <v>11</v>
      </c>
      <c r="H6" t="s">
        <v>521</v>
      </c>
      <c r="I6" t="s">
        <v>566</v>
      </c>
    </row>
    <row r="7" spans="1:9" x14ac:dyDescent="0.75">
      <c r="A7" t="s">
        <v>572</v>
      </c>
      <c r="B7" t="s">
        <v>564</v>
      </c>
      <c r="C7" t="s">
        <v>565</v>
      </c>
      <c r="D7" t="s">
        <v>565</v>
      </c>
      <c r="E7">
        <v>6209280</v>
      </c>
      <c r="F7">
        <v>6209280</v>
      </c>
      <c r="G7" t="s">
        <v>11</v>
      </c>
      <c r="H7" t="s">
        <v>521</v>
      </c>
      <c r="I7" t="s">
        <v>566</v>
      </c>
    </row>
    <row r="8" spans="1:9" x14ac:dyDescent="0.75">
      <c r="A8" t="s">
        <v>571</v>
      </c>
      <c r="B8" t="s">
        <v>564</v>
      </c>
      <c r="C8" t="s">
        <v>565</v>
      </c>
      <c r="D8" t="s">
        <v>565</v>
      </c>
      <c r="E8">
        <v>6209280</v>
      </c>
      <c r="F8">
        <v>6209280</v>
      </c>
      <c r="G8" t="s">
        <v>11</v>
      </c>
      <c r="H8" t="s">
        <v>521</v>
      </c>
      <c r="I8" t="s">
        <v>566</v>
      </c>
    </row>
    <row r="9" spans="1:9" x14ac:dyDescent="0.75">
      <c r="A9" t="s">
        <v>570</v>
      </c>
      <c r="B9" t="s">
        <v>564</v>
      </c>
      <c r="C9" t="s">
        <v>565</v>
      </c>
      <c r="D9" t="s">
        <v>565</v>
      </c>
      <c r="E9">
        <v>6209280</v>
      </c>
      <c r="F9">
        <v>6209280</v>
      </c>
      <c r="G9" t="s">
        <v>11</v>
      </c>
      <c r="H9" t="s">
        <v>521</v>
      </c>
      <c r="I9" t="s">
        <v>566</v>
      </c>
    </row>
    <row r="10" spans="1:9" x14ac:dyDescent="0.75">
      <c r="A10" t="s">
        <v>569</v>
      </c>
      <c r="B10" t="s">
        <v>564</v>
      </c>
      <c r="C10" t="s">
        <v>565</v>
      </c>
      <c r="D10" t="s">
        <v>565</v>
      </c>
      <c r="E10">
        <v>6209280</v>
      </c>
      <c r="F10">
        <v>6209280</v>
      </c>
      <c r="G10" t="s">
        <v>11</v>
      </c>
      <c r="H10" t="s">
        <v>521</v>
      </c>
      <c r="I10" t="s">
        <v>566</v>
      </c>
    </row>
    <row r="11" spans="1:9" x14ac:dyDescent="0.75">
      <c r="A11" t="s">
        <v>568</v>
      </c>
      <c r="B11" t="s">
        <v>564</v>
      </c>
      <c r="C11" t="s">
        <v>565</v>
      </c>
      <c r="D11" t="s">
        <v>565</v>
      </c>
      <c r="E11">
        <v>6209280</v>
      </c>
      <c r="F11">
        <v>6209280</v>
      </c>
      <c r="G11" t="s">
        <v>11</v>
      </c>
      <c r="H11" t="s">
        <v>521</v>
      </c>
      <c r="I11" t="s">
        <v>566</v>
      </c>
    </row>
    <row r="12" spans="1:9" x14ac:dyDescent="0.75">
      <c r="A12" t="s">
        <v>567</v>
      </c>
      <c r="B12" t="s">
        <v>564</v>
      </c>
      <c r="C12" t="s">
        <v>565</v>
      </c>
      <c r="D12" t="s">
        <v>565</v>
      </c>
      <c r="E12">
        <v>6209280</v>
      </c>
      <c r="F12">
        <v>6209280</v>
      </c>
      <c r="G12" t="s">
        <v>11</v>
      </c>
      <c r="H12" t="s">
        <v>521</v>
      </c>
      <c r="I12" t="s">
        <v>566</v>
      </c>
    </row>
    <row r="13" spans="1:9" x14ac:dyDescent="0.75">
      <c r="A13" t="s">
        <v>563</v>
      </c>
      <c r="B13" t="s">
        <v>564</v>
      </c>
      <c r="C13" t="s">
        <v>565</v>
      </c>
      <c r="D13" t="s">
        <v>565</v>
      </c>
      <c r="E13">
        <v>6209280</v>
      </c>
      <c r="F13">
        <v>6209280</v>
      </c>
      <c r="G13" t="s">
        <v>11</v>
      </c>
      <c r="H13" t="s">
        <v>521</v>
      </c>
      <c r="I13" t="s">
        <v>566</v>
      </c>
    </row>
    <row r="16" spans="1:9" ht="44.25" x14ac:dyDescent="0.75">
      <c r="C16" s="8" t="s">
        <v>1</v>
      </c>
      <c r="D16" s="8" t="s">
        <v>2</v>
      </c>
      <c r="E16" s="8" t="s">
        <v>3</v>
      </c>
      <c r="F16" s="9" t="s">
        <v>3078</v>
      </c>
      <c r="G16" s="9" t="s">
        <v>3079</v>
      </c>
    </row>
    <row r="17" spans="3:7" x14ac:dyDescent="0.75">
      <c r="C17" t="s">
        <v>3104</v>
      </c>
      <c r="D17" t="s">
        <v>3074</v>
      </c>
      <c r="E17">
        <f>SUM(Table182[Quantity])</f>
        <v>57043200</v>
      </c>
      <c r="F17">
        <v>2E-3</v>
      </c>
      <c r="G17">
        <f>F17*E17</f>
        <v>114086.40000000001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5C0F-C4B8-45F2-B9E8-BAD0D60082AA}">
  <dimension ref="A1:I17"/>
  <sheetViews>
    <sheetView topLeftCell="B6" workbookViewId="0">
      <selection activeCell="C17" sqref="C17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2.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2996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877</v>
      </c>
      <c r="B4" t="s">
        <v>756</v>
      </c>
      <c r="C4" t="s">
        <v>757</v>
      </c>
      <c r="D4" t="s">
        <v>757</v>
      </c>
      <c r="E4">
        <v>4867200</v>
      </c>
      <c r="F4">
        <v>4867200</v>
      </c>
      <c r="G4" t="s">
        <v>11</v>
      </c>
      <c r="H4" t="s">
        <v>870</v>
      </c>
      <c r="I4" t="s">
        <v>758</v>
      </c>
    </row>
    <row r="5" spans="1:9" x14ac:dyDescent="0.75">
      <c r="A5" t="s">
        <v>876</v>
      </c>
      <c r="B5" t="s">
        <v>756</v>
      </c>
      <c r="C5" t="s">
        <v>757</v>
      </c>
      <c r="D5" t="s">
        <v>757</v>
      </c>
      <c r="E5">
        <v>6664800</v>
      </c>
      <c r="F5">
        <v>6664800</v>
      </c>
      <c r="G5" t="s">
        <v>11</v>
      </c>
      <c r="H5" t="s">
        <v>870</v>
      </c>
      <c r="I5" t="s">
        <v>758</v>
      </c>
    </row>
    <row r="6" spans="1:9" x14ac:dyDescent="0.75">
      <c r="A6" t="s">
        <v>875</v>
      </c>
      <c r="B6" t="s">
        <v>756</v>
      </c>
      <c r="C6" t="s">
        <v>757</v>
      </c>
      <c r="D6" t="s">
        <v>757</v>
      </c>
      <c r="E6">
        <v>7300800</v>
      </c>
      <c r="F6">
        <v>7300800</v>
      </c>
      <c r="G6" t="s">
        <v>11</v>
      </c>
      <c r="H6" t="s">
        <v>870</v>
      </c>
      <c r="I6" t="s">
        <v>758</v>
      </c>
    </row>
    <row r="7" spans="1:9" x14ac:dyDescent="0.75">
      <c r="A7" t="s">
        <v>874</v>
      </c>
      <c r="B7" t="s">
        <v>756</v>
      </c>
      <c r="C7" t="s">
        <v>757</v>
      </c>
      <c r="D7" t="s">
        <v>757</v>
      </c>
      <c r="E7">
        <v>7300800</v>
      </c>
      <c r="F7">
        <v>7300800</v>
      </c>
      <c r="G7" t="s">
        <v>11</v>
      </c>
      <c r="H7" t="s">
        <v>870</v>
      </c>
      <c r="I7" t="s">
        <v>758</v>
      </c>
    </row>
    <row r="8" spans="1:9" x14ac:dyDescent="0.75">
      <c r="A8" t="s">
        <v>873</v>
      </c>
      <c r="B8" t="s">
        <v>756</v>
      </c>
      <c r="C8" t="s">
        <v>757</v>
      </c>
      <c r="D8" t="s">
        <v>757</v>
      </c>
      <c r="E8">
        <v>4867200</v>
      </c>
      <c r="F8">
        <v>4867200</v>
      </c>
      <c r="G8" t="s">
        <v>11</v>
      </c>
      <c r="H8" t="s">
        <v>870</v>
      </c>
      <c r="I8" t="s">
        <v>758</v>
      </c>
    </row>
    <row r="9" spans="1:9" x14ac:dyDescent="0.75">
      <c r="A9" t="s">
        <v>872</v>
      </c>
      <c r="B9" t="s">
        <v>756</v>
      </c>
      <c r="C9" t="s">
        <v>757</v>
      </c>
      <c r="D9" t="s">
        <v>757</v>
      </c>
      <c r="E9">
        <v>4867200</v>
      </c>
      <c r="F9">
        <v>4867200</v>
      </c>
      <c r="G9" t="s">
        <v>11</v>
      </c>
      <c r="H9" t="s">
        <v>870</v>
      </c>
      <c r="I9" t="s">
        <v>758</v>
      </c>
    </row>
    <row r="10" spans="1:9" x14ac:dyDescent="0.75">
      <c r="A10" t="s">
        <v>871</v>
      </c>
      <c r="B10" t="s">
        <v>756</v>
      </c>
      <c r="C10" t="s">
        <v>757</v>
      </c>
      <c r="D10" t="s">
        <v>757</v>
      </c>
      <c r="E10">
        <v>4867200</v>
      </c>
      <c r="F10">
        <v>4867200</v>
      </c>
      <c r="G10" t="s">
        <v>11</v>
      </c>
      <c r="H10" t="s">
        <v>870</v>
      </c>
      <c r="I10" t="s">
        <v>758</v>
      </c>
    </row>
    <row r="11" spans="1:9" x14ac:dyDescent="0.75">
      <c r="A11" t="s">
        <v>869</v>
      </c>
      <c r="B11" t="s">
        <v>756</v>
      </c>
      <c r="C11" t="s">
        <v>757</v>
      </c>
      <c r="D11" t="s">
        <v>757</v>
      </c>
      <c r="E11">
        <v>4867200</v>
      </c>
      <c r="F11">
        <v>4867200</v>
      </c>
      <c r="G11" t="s">
        <v>11</v>
      </c>
      <c r="H11" t="s">
        <v>870</v>
      </c>
      <c r="I11" t="s">
        <v>758</v>
      </c>
    </row>
    <row r="12" spans="1:9" x14ac:dyDescent="0.75">
      <c r="A12" t="s">
        <v>755</v>
      </c>
      <c r="B12" t="s">
        <v>756</v>
      </c>
      <c r="C12" t="s">
        <v>757</v>
      </c>
      <c r="D12" t="s">
        <v>757</v>
      </c>
      <c r="E12">
        <v>4867200</v>
      </c>
      <c r="F12">
        <v>4867200</v>
      </c>
      <c r="G12" t="s">
        <v>11</v>
      </c>
      <c r="H12" t="s">
        <v>732</v>
      </c>
      <c r="I12" t="s">
        <v>758</v>
      </c>
    </row>
    <row r="16" spans="1:9" ht="44.25" x14ac:dyDescent="0.75">
      <c r="C16" s="8" t="s">
        <v>1</v>
      </c>
      <c r="D16" s="8" t="s">
        <v>2</v>
      </c>
      <c r="E16" s="11" t="s">
        <v>3</v>
      </c>
      <c r="F16" s="12" t="s">
        <v>3078</v>
      </c>
      <c r="G16" s="12" t="s">
        <v>3079</v>
      </c>
    </row>
    <row r="17" spans="3:5" x14ac:dyDescent="0.75">
      <c r="C17" t="s">
        <v>3105</v>
      </c>
      <c r="D17" t="s">
        <v>3067</v>
      </c>
      <c r="E17">
        <f>SUM(Table183[Quantity])</f>
        <v>50469600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B119-8CBB-44F0-B68D-4B917E4F7325}">
  <dimension ref="A1:I15"/>
  <sheetViews>
    <sheetView workbookViewId="0">
      <selection activeCell="C15" sqref="C15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6.363281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3026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597</v>
      </c>
      <c r="B4" t="s">
        <v>287</v>
      </c>
      <c r="C4" t="s">
        <v>288</v>
      </c>
      <c r="D4" t="s">
        <v>288</v>
      </c>
      <c r="E4">
        <v>4025600</v>
      </c>
      <c r="F4">
        <v>4025600</v>
      </c>
      <c r="G4" t="s">
        <v>11</v>
      </c>
      <c r="H4" t="s">
        <v>577</v>
      </c>
      <c r="I4" t="s">
        <v>289</v>
      </c>
    </row>
    <row r="5" spans="1:9" x14ac:dyDescent="0.75">
      <c r="A5" t="s">
        <v>320</v>
      </c>
      <c r="B5" t="s">
        <v>287</v>
      </c>
      <c r="C5" t="s">
        <v>288</v>
      </c>
      <c r="D5" t="s">
        <v>288</v>
      </c>
      <c r="E5">
        <v>4435200</v>
      </c>
      <c r="F5">
        <v>4435200</v>
      </c>
      <c r="G5" t="s">
        <v>11</v>
      </c>
      <c r="H5" t="s">
        <v>292</v>
      </c>
      <c r="I5" t="s">
        <v>289</v>
      </c>
    </row>
    <row r="6" spans="1:9" x14ac:dyDescent="0.75">
      <c r="A6" t="s">
        <v>319</v>
      </c>
      <c r="B6" t="s">
        <v>287</v>
      </c>
      <c r="C6" t="s">
        <v>288</v>
      </c>
      <c r="D6" t="s">
        <v>288</v>
      </c>
      <c r="E6">
        <v>4435200</v>
      </c>
      <c r="F6">
        <v>4435200</v>
      </c>
      <c r="G6" t="s">
        <v>11</v>
      </c>
      <c r="H6" t="s">
        <v>292</v>
      </c>
      <c r="I6" t="s">
        <v>289</v>
      </c>
    </row>
    <row r="7" spans="1:9" x14ac:dyDescent="0.75">
      <c r="A7" t="s">
        <v>318</v>
      </c>
      <c r="B7" t="s">
        <v>287</v>
      </c>
      <c r="C7" t="s">
        <v>288</v>
      </c>
      <c r="D7" t="s">
        <v>288</v>
      </c>
      <c r="E7">
        <v>4435200</v>
      </c>
      <c r="F7">
        <v>4435200</v>
      </c>
      <c r="G7" t="s">
        <v>11</v>
      </c>
      <c r="H7" t="s">
        <v>292</v>
      </c>
      <c r="I7" t="s">
        <v>289</v>
      </c>
    </row>
    <row r="8" spans="1:9" x14ac:dyDescent="0.75">
      <c r="A8" t="s">
        <v>317</v>
      </c>
      <c r="B8" t="s">
        <v>287</v>
      </c>
      <c r="C8" t="s">
        <v>288</v>
      </c>
      <c r="D8" t="s">
        <v>288</v>
      </c>
      <c r="E8">
        <v>4435200</v>
      </c>
      <c r="F8">
        <v>4435200</v>
      </c>
      <c r="G8" t="s">
        <v>11</v>
      </c>
      <c r="H8" t="s">
        <v>292</v>
      </c>
      <c r="I8" t="s">
        <v>289</v>
      </c>
    </row>
    <row r="9" spans="1:9" x14ac:dyDescent="0.75">
      <c r="A9" t="s">
        <v>316</v>
      </c>
      <c r="B9" t="s">
        <v>287</v>
      </c>
      <c r="C9" t="s">
        <v>288</v>
      </c>
      <c r="D9" t="s">
        <v>288</v>
      </c>
      <c r="E9">
        <v>4435200</v>
      </c>
      <c r="F9">
        <v>4435200</v>
      </c>
      <c r="G9" t="s">
        <v>11</v>
      </c>
      <c r="H9" t="s">
        <v>292</v>
      </c>
      <c r="I9" t="s">
        <v>289</v>
      </c>
    </row>
    <row r="10" spans="1:9" x14ac:dyDescent="0.75">
      <c r="A10" t="s">
        <v>315</v>
      </c>
      <c r="B10" t="s">
        <v>287</v>
      </c>
      <c r="C10" t="s">
        <v>288</v>
      </c>
      <c r="D10" t="s">
        <v>288</v>
      </c>
      <c r="E10">
        <v>4435200</v>
      </c>
      <c r="F10">
        <v>4435200</v>
      </c>
      <c r="G10" t="s">
        <v>11</v>
      </c>
      <c r="H10" t="s">
        <v>292</v>
      </c>
      <c r="I10" t="s">
        <v>289</v>
      </c>
    </row>
    <row r="11" spans="1:9" x14ac:dyDescent="0.75">
      <c r="A11" t="s">
        <v>314</v>
      </c>
      <c r="B11" t="s">
        <v>287</v>
      </c>
      <c r="C11" t="s">
        <v>288</v>
      </c>
      <c r="D11" t="s">
        <v>288</v>
      </c>
      <c r="E11">
        <v>4435200</v>
      </c>
      <c r="F11">
        <v>4435200</v>
      </c>
      <c r="G11" t="s">
        <v>11</v>
      </c>
      <c r="H11" t="s">
        <v>292</v>
      </c>
      <c r="I11" t="s">
        <v>289</v>
      </c>
    </row>
    <row r="12" spans="1:9" x14ac:dyDescent="0.75">
      <c r="A12" t="s">
        <v>286</v>
      </c>
      <c r="B12" t="s">
        <v>287</v>
      </c>
      <c r="C12" t="s">
        <v>288</v>
      </c>
      <c r="D12" t="s">
        <v>288</v>
      </c>
      <c r="E12">
        <v>4435200</v>
      </c>
      <c r="F12">
        <v>4435200</v>
      </c>
      <c r="G12" t="s">
        <v>11</v>
      </c>
      <c r="H12" t="s">
        <v>278</v>
      </c>
      <c r="I12" t="s">
        <v>289</v>
      </c>
    </row>
    <row r="14" spans="1:9" ht="44.25" x14ac:dyDescent="0.75">
      <c r="C14" s="8" t="s">
        <v>1</v>
      </c>
      <c r="D14" s="8" t="s">
        <v>2</v>
      </c>
      <c r="E14" s="8" t="s">
        <v>3</v>
      </c>
      <c r="F14" s="9" t="s">
        <v>3078</v>
      </c>
      <c r="G14" s="9" t="s">
        <v>3079</v>
      </c>
    </row>
    <row r="15" spans="1:9" x14ac:dyDescent="0.75">
      <c r="C15" t="s">
        <v>3104</v>
      </c>
      <c r="D15" t="s">
        <v>3075</v>
      </c>
      <c r="E15">
        <f>SUM(Table184[Quantity])</f>
        <v>39507200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B0A4-8E87-43B8-B37B-D1F315D0EF37}">
  <sheetPr>
    <tabColor theme="9"/>
  </sheetPr>
  <dimension ref="A1:I17"/>
  <sheetViews>
    <sheetView topLeftCell="C3" workbookViewId="0">
      <selection activeCell="C17" sqref="C17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44.90625" bestFit="1" customWidth="1"/>
    <col min="5" max="5" width="10.54296875" bestFit="1" customWidth="1"/>
    <col min="6" max="6" width="19.26953125" bestFit="1" customWidth="1"/>
    <col min="7" max="7" width="9.679687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3054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787</v>
      </c>
      <c r="B4" t="s">
        <v>788</v>
      </c>
      <c r="C4" t="s">
        <v>789</v>
      </c>
      <c r="D4" t="s">
        <v>789</v>
      </c>
      <c r="E4">
        <v>4000176</v>
      </c>
      <c r="F4">
        <v>4000176</v>
      </c>
      <c r="G4" t="s">
        <v>11</v>
      </c>
      <c r="H4" t="s">
        <v>790</v>
      </c>
      <c r="I4" t="s">
        <v>474</v>
      </c>
    </row>
    <row r="5" spans="1:9" x14ac:dyDescent="0.75">
      <c r="A5" t="s">
        <v>784</v>
      </c>
      <c r="B5" t="s">
        <v>752</v>
      </c>
      <c r="C5" t="s">
        <v>753</v>
      </c>
      <c r="D5" t="s">
        <v>753</v>
      </c>
      <c r="E5">
        <v>720000</v>
      </c>
      <c r="F5">
        <v>720000</v>
      </c>
      <c r="G5" t="s">
        <v>11</v>
      </c>
      <c r="H5" t="s">
        <v>785</v>
      </c>
      <c r="I5" t="s">
        <v>474</v>
      </c>
    </row>
    <row r="6" spans="1:9" x14ac:dyDescent="0.75">
      <c r="A6" t="s">
        <v>775</v>
      </c>
      <c r="B6" t="s">
        <v>752</v>
      </c>
      <c r="C6" t="s">
        <v>753</v>
      </c>
      <c r="D6" t="s">
        <v>753</v>
      </c>
      <c r="E6">
        <v>2002032</v>
      </c>
      <c r="F6">
        <v>2002032</v>
      </c>
      <c r="G6" t="s">
        <v>11</v>
      </c>
      <c r="H6" t="s">
        <v>776</v>
      </c>
      <c r="I6" t="s">
        <v>474</v>
      </c>
    </row>
    <row r="7" spans="1:9" x14ac:dyDescent="0.75">
      <c r="A7" t="s">
        <v>751</v>
      </c>
      <c r="B7" t="s">
        <v>752</v>
      </c>
      <c r="C7" t="s">
        <v>753</v>
      </c>
      <c r="D7" t="s">
        <v>753</v>
      </c>
      <c r="E7">
        <v>699840</v>
      </c>
      <c r="F7">
        <v>699840</v>
      </c>
      <c r="G7" t="s">
        <v>11</v>
      </c>
      <c r="H7" t="s">
        <v>732</v>
      </c>
      <c r="I7" t="s">
        <v>474</v>
      </c>
    </row>
    <row r="8" spans="1:9" x14ac:dyDescent="0.75">
      <c r="A8" t="s">
        <v>748</v>
      </c>
      <c r="B8" t="s">
        <v>749</v>
      </c>
      <c r="C8" t="s">
        <v>750</v>
      </c>
      <c r="D8" t="s">
        <v>750</v>
      </c>
      <c r="E8">
        <v>802512</v>
      </c>
      <c r="F8">
        <v>802512</v>
      </c>
      <c r="G8" t="s">
        <v>11</v>
      </c>
      <c r="H8" t="s">
        <v>732</v>
      </c>
      <c r="I8" t="s">
        <v>474</v>
      </c>
    </row>
    <row r="9" spans="1:9" x14ac:dyDescent="0.75">
      <c r="A9" t="s">
        <v>727</v>
      </c>
      <c r="B9" t="s">
        <v>472</v>
      </c>
      <c r="C9" t="s">
        <v>473</v>
      </c>
      <c r="D9" t="s">
        <v>473</v>
      </c>
      <c r="E9">
        <v>500256</v>
      </c>
      <c r="F9">
        <v>500256</v>
      </c>
      <c r="G9" t="s">
        <v>11</v>
      </c>
      <c r="H9" t="s">
        <v>725</v>
      </c>
      <c r="I9" t="s">
        <v>474</v>
      </c>
    </row>
    <row r="10" spans="1:9" x14ac:dyDescent="0.75">
      <c r="A10" t="s">
        <v>719</v>
      </c>
      <c r="B10" t="s">
        <v>720</v>
      </c>
      <c r="C10" t="s">
        <v>721</v>
      </c>
      <c r="D10" t="s">
        <v>721</v>
      </c>
      <c r="E10">
        <v>3002832</v>
      </c>
      <c r="F10">
        <v>3003120</v>
      </c>
      <c r="G10" t="s">
        <v>11</v>
      </c>
      <c r="H10" t="s">
        <v>694</v>
      </c>
      <c r="I10" t="s">
        <v>474</v>
      </c>
    </row>
    <row r="11" spans="1:9" x14ac:dyDescent="0.75">
      <c r="A11" t="s">
        <v>596</v>
      </c>
      <c r="B11" t="s">
        <v>472</v>
      </c>
      <c r="C11" t="s">
        <v>473</v>
      </c>
      <c r="D11" t="s">
        <v>473</v>
      </c>
      <c r="E11">
        <v>64896</v>
      </c>
      <c r="F11">
        <v>64896</v>
      </c>
      <c r="G11" t="s">
        <v>11</v>
      </c>
      <c r="H11" t="s">
        <v>577</v>
      </c>
      <c r="I11" t="s">
        <v>474</v>
      </c>
    </row>
    <row r="12" spans="1:9" x14ac:dyDescent="0.75">
      <c r="A12" t="s">
        <v>477</v>
      </c>
      <c r="B12" t="s">
        <v>472</v>
      </c>
      <c r="C12" t="s">
        <v>473</v>
      </c>
      <c r="D12" t="s">
        <v>473</v>
      </c>
      <c r="E12">
        <v>2001024</v>
      </c>
      <c r="F12">
        <v>2001024</v>
      </c>
      <c r="G12" t="s">
        <v>11</v>
      </c>
      <c r="H12" t="s">
        <v>476</v>
      </c>
      <c r="I12" t="s">
        <v>474</v>
      </c>
    </row>
    <row r="13" spans="1:9" x14ac:dyDescent="0.75">
      <c r="A13" t="s">
        <v>475</v>
      </c>
      <c r="B13" t="s">
        <v>472</v>
      </c>
      <c r="C13" t="s">
        <v>473</v>
      </c>
      <c r="D13" t="s">
        <v>473</v>
      </c>
      <c r="E13">
        <v>2001024</v>
      </c>
      <c r="F13">
        <v>2001024</v>
      </c>
      <c r="G13" t="s">
        <v>11</v>
      </c>
      <c r="H13" t="s">
        <v>476</v>
      </c>
      <c r="I13" t="s">
        <v>474</v>
      </c>
    </row>
    <row r="14" spans="1:9" x14ac:dyDescent="0.75">
      <c r="A14" t="s">
        <v>471</v>
      </c>
      <c r="B14" t="s">
        <v>472</v>
      </c>
      <c r="C14" t="s">
        <v>473</v>
      </c>
      <c r="D14" t="s">
        <v>473</v>
      </c>
      <c r="E14">
        <v>2998944</v>
      </c>
      <c r="F14">
        <v>2998944</v>
      </c>
      <c r="G14" t="s">
        <v>11</v>
      </c>
      <c r="H14" t="s">
        <v>462</v>
      </c>
      <c r="I14" t="s">
        <v>474</v>
      </c>
    </row>
    <row r="16" spans="1:9" ht="29.5" x14ac:dyDescent="0.75">
      <c r="C16" s="8" t="s">
        <v>1</v>
      </c>
      <c r="D16" s="8" t="s">
        <v>2</v>
      </c>
      <c r="E16" s="8" t="s">
        <v>3</v>
      </c>
      <c r="F16" s="9" t="s">
        <v>3078</v>
      </c>
      <c r="G16" s="9" t="s">
        <v>3079</v>
      </c>
    </row>
    <row r="17" spans="3:7" x14ac:dyDescent="0.75">
      <c r="C17" t="s">
        <v>3105</v>
      </c>
      <c r="D17" t="s">
        <v>3055</v>
      </c>
      <c r="E17">
        <f>SUM(Table186[Quantity])</f>
        <v>18793536</v>
      </c>
      <c r="F17">
        <v>0.13900000000000001</v>
      </c>
      <c r="G17">
        <f>F17*E17</f>
        <v>2612301.5040000002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2AC8-0DF9-406A-9612-4FC57680B897}">
  <dimension ref="A1:I12"/>
  <sheetViews>
    <sheetView topLeftCell="B1" workbookViewId="0">
      <selection activeCell="C12" sqref="C12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3.0429687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3013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1877</v>
      </c>
      <c r="B4" t="s">
        <v>1878</v>
      </c>
      <c r="C4" t="s">
        <v>1879</v>
      </c>
      <c r="D4" t="s">
        <v>1879</v>
      </c>
      <c r="E4">
        <v>550310</v>
      </c>
      <c r="F4">
        <v>0</v>
      </c>
      <c r="G4" t="s">
        <v>196</v>
      </c>
      <c r="H4" t="s">
        <v>1871</v>
      </c>
      <c r="I4" t="s">
        <v>762</v>
      </c>
    </row>
    <row r="5" spans="1:9" x14ac:dyDescent="0.75">
      <c r="A5" t="s">
        <v>999</v>
      </c>
      <c r="B5" t="s">
        <v>760</v>
      </c>
      <c r="C5" t="s">
        <v>761</v>
      </c>
      <c r="D5" t="s">
        <v>761</v>
      </c>
      <c r="E5">
        <v>72990</v>
      </c>
      <c r="F5">
        <v>72990</v>
      </c>
      <c r="G5" t="s">
        <v>11</v>
      </c>
      <c r="H5" t="s">
        <v>997</v>
      </c>
      <c r="I5" t="s">
        <v>762</v>
      </c>
    </row>
    <row r="6" spans="1:9" x14ac:dyDescent="0.75">
      <c r="A6" t="s">
        <v>998</v>
      </c>
      <c r="B6" t="s">
        <v>760</v>
      </c>
      <c r="C6" t="s">
        <v>761</v>
      </c>
      <c r="D6" t="s">
        <v>761</v>
      </c>
      <c r="E6">
        <v>92400</v>
      </c>
      <c r="F6">
        <v>92400</v>
      </c>
      <c r="G6" t="s">
        <v>11</v>
      </c>
      <c r="H6" t="s">
        <v>997</v>
      </c>
      <c r="I6" t="s">
        <v>762</v>
      </c>
    </row>
    <row r="7" spans="1:9" x14ac:dyDescent="0.75">
      <c r="A7" t="s">
        <v>996</v>
      </c>
      <c r="B7" t="s">
        <v>760</v>
      </c>
      <c r="C7" t="s">
        <v>761</v>
      </c>
      <c r="D7" t="s">
        <v>761</v>
      </c>
      <c r="E7">
        <v>92400</v>
      </c>
      <c r="F7">
        <v>92400</v>
      </c>
      <c r="G7" t="s">
        <v>11</v>
      </c>
      <c r="H7" t="s">
        <v>997</v>
      </c>
      <c r="I7" t="s">
        <v>762</v>
      </c>
    </row>
    <row r="8" spans="1:9" x14ac:dyDescent="0.75">
      <c r="A8" t="s">
        <v>759</v>
      </c>
      <c r="B8" t="s">
        <v>760</v>
      </c>
      <c r="C8" t="s">
        <v>761</v>
      </c>
      <c r="D8" t="s">
        <v>761</v>
      </c>
      <c r="E8">
        <v>92400</v>
      </c>
      <c r="F8">
        <v>92400</v>
      </c>
      <c r="G8" t="s">
        <v>11</v>
      </c>
      <c r="H8" t="s">
        <v>732</v>
      </c>
      <c r="I8" t="s">
        <v>762</v>
      </c>
    </row>
    <row r="10" spans="1:9" ht="44.25" x14ac:dyDescent="0.75">
      <c r="C10" s="8" t="s">
        <v>1</v>
      </c>
      <c r="D10" s="8" t="s">
        <v>2</v>
      </c>
      <c r="E10" s="8" t="s">
        <v>3</v>
      </c>
      <c r="F10" s="9" t="s">
        <v>3078</v>
      </c>
      <c r="G10" s="9" t="s">
        <v>3079</v>
      </c>
    </row>
    <row r="11" spans="1:9" x14ac:dyDescent="0.75">
      <c r="C11" t="s">
        <v>3104</v>
      </c>
      <c r="D11" t="s">
        <v>3042</v>
      </c>
      <c r="E11">
        <f>SUM(E5:E8)</f>
        <v>350190</v>
      </c>
    </row>
    <row r="12" spans="1:9" x14ac:dyDescent="0.75">
      <c r="C12" t="s">
        <v>3104</v>
      </c>
      <c r="D12" t="s">
        <v>3062</v>
      </c>
      <c r="E12">
        <f>E4</f>
        <v>550310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19245-E7FD-47DF-9828-2D0C76A4EBDE}">
  <sheetPr>
    <tabColor theme="9"/>
  </sheetPr>
  <dimension ref="A1:I33"/>
  <sheetViews>
    <sheetView topLeftCell="A16" workbookViewId="0">
      <selection activeCell="B21" sqref="B21:B32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41.906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3028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1981</v>
      </c>
      <c r="B4" t="s">
        <v>2004</v>
      </c>
      <c r="C4" t="s">
        <v>2005</v>
      </c>
      <c r="D4" t="s">
        <v>2005</v>
      </c>
      <c r="E4">
        <v>20010</v>
      </c>
      <c r="F4">
        <v>20010</v>
      </c>
      <c r="G4" t="s">
        <v>196</v>
      </c>
      <c r="H4" t="s">
        <v>1980</v>
      </c>
      <c r="I4" t="s">
        <v>743</v>
      </c>
    </row>
    <row r="5" spans="1:9" x14ac:dyDescent="0.75">
      <c r="A5" t="s">
        <v>1981</v>
      </c>
      <c r="B5" t="s">
        <v>2002</v>
      </c>
      <c r="C5" t="s">
        <v>2003</v>
      </c>
      <c r="D5" t="s">
        <v>2003</v>
      </c>
      <c r="E5">
        <v>20010</v>
      </c>
      <c r="F5">
        <v>20010</v>
      </c>
      <c r="G5" t="s">
        <v>196</v>
      </c>
      <c r="H5" t="s">
        <v>1980</v>
      </c>
      <c r="I5" t="s">
        <v>743</v>
      </c>
    </row>
    <row r="6" spans="1:9" x14ac:dyDescent="0.75">
      <c r="A6" t="s">
        <v>1981</v>
      </c>
      <c r="B6" t="s">
        <v>2000</v>
      </c>
      <c r="C6" t="s">
        <v>2001</v>
      </c>
      <c r="D6" t="s">
        <v>2001</v>
      </c>
      <c r="E6">
        <v>20010</v>
      </c>
      <c r="F6">
        <v>20010</v>
      </c>
      <c r="G6" t="s">
        <v>196</v>
      </c>
      <c r="H6" t="s">
        <v>1980</v>
      </c>
      <c r="I6" t="s">
        <v>743</v>
      </c>
    </row>
    <row r="7" spans="1:9" x14ac:dyDescent="0.75">
      <c r="A7" t="s">
        <v>1981</v>
      </c>
      <c r="B7" t="s">
        <v>1998</v>
      </c>
      <c r="C7" t="s">
        <v>1999</v>
      </c>
      <c r="D7" t="s">
        <v>1999</v>
      </c>
      <c r="E7">
        <v>20010</v>
      </c>
      <c r="F7">
        <v>20010</v>
      </c>
      <c r="G7" t="s">
        <v>196</v>
      </c>
      <c r="H7" t="s">
        <v>1980</v>
      </c>
      <c r="I7" t="s">
        <v>743</v>
      </c>
    </row>
    <row r="8" spans="1:9" x14ac:dyDescent="0.75">
      <c r="A8" t="s">
        <v>1981</v>
      </c>
      <c r="B8" t="s">
        <v>1996</v>
      </c>
      <c r="C8" t="s">
        <v>1997</v>
      </c>
      <c r="D8" t="s">
        <v>1997</v>
      </c>
      <c r="E8">
        <v>20010</v>
      </c>
      <c r="F8">
        <v>20010</v>
      </c>
      <c r="G8" t="s">
        <v>196</v>
      </c>
      <c r="H8" t="s">
        <v>1980</v>
      </c>
      <c r="I8" t="s">
        <v>743</v>
      </c>
    </row>
    <row r="9" spans="1:9" x14ac:dyDescent="0.75">
      <c r="A9" t="s">
        <v>1981</v>
      </c>
      <c r="B9" t="s">
        <v>1994</v>
      </c>
      <c r="C9" t="s">
        <v>1995</v>
      </c>
      <c r="D9" t="s">
        <v>1995</v>
      </c>
      <c r="E9">
        <v>20010</v>
      </c>
      <c r="F9">
        <v>20010</v>
      </c>
      <c r="G9" t="s">
        <v>196</v>
      </c>
      <c r="H9" t="s">
        <v>1980</v>
      </c>
      <c r="I9" t="s">
        <v>743</v>
      </c>
    </row>
    <row r="10" spans="1:9" x14ac:dyDescent="0.75">
      <c r="A10" t="s">
        <v>1981</v>
      </c>
      <c r="B10" t="s">
        <v>1992</v>
      </c>
      <c r="C10" t="s">
        <v>1993</v>
      </c>
      <c r="D10" t="s">
        <v>1993</v>
      </c>
      <c r="E10">
        <v>580410</v>
      </c>
      <c r="F10">
        <v>1350</v>
      </c>
      <c r="G10" t="s">
        <v>196</v>
      </c>
      <c r="H10" t="s">
        <v>1980</v>
      </c>
      <c r="I10" t="s">
        <v>743</v>
      </c>
    </row>
    <row r="11" spans="1:9" x14ac:dyDescent="0.75">
      <c r="A11" t="s">
        <v>1981</v>
      </c>
      <c r="B11" t="s">
        <v>1990</v>
      </c>
      <c r="C11" t="s">
        <v>1991</v>
      </c>
      <c r="D11" t="s">
        <v>1991</v>
      </c>
      <c r="E11">
        <v>597150</v>
      </c>
      <c r="F11">
        <v>1350</v>
      </c>
      <c r="G11" t="s">
        <v>196</v>
      </c>
      <c r="H11" t="s">
        <v>1980</v>
      </c>
      <c r="I11" t="s">
        <v>743</v>
      </c>
    </row>
    <row r="12" spans="1:9" x14ac:dyDescent="0.75">
      <c r="A12" t="s">
        <v>1981</v>
      </c>
      <c r="B12" t="s">
        <v>1988</v>
      </c>
      <c r="C12" t="s">
        <v>1989</v>
      </c>
      <c r="D12" t="s">
        <v>1989</v>
      </c>
      <c r="E12">
        <v>546900</v>
      </c>
      <c r="F12">
        <v>546900</v>
      </c>
      <c r="G12" t="s">
        <v>196</v>
      </c>
      <c r="H12" t="s">
        <v>1980</v>
      </c>
      <c r="I12" t="s">
        <v>743</v>
      </c>
    </row>
    <row r="13" spans="1:9" x14ac:dyDescent="0.75">
      <c r="A13" t="s">
        <v>1981</v>
      </c>
      <c r="B13" t="s">
        <v>1986</v>
      </c>
      <c r="C13" t="s">
        <v>1987</v>
      </c>
      <c r="D13" t="s">
        <v>1987</v>
      </c>
      <c r="E13">
        <v>569220</v>
      </c>
      <c r="F13">
        <v>569220</v>
      </c>
      <c r="G13" t="s">
        <v>196</v>
      </c>
      <c r="H13" t="s">
        <v>1980</v>
      </c>
      <c r="I13" t="s">
        <v>743</v>
      </c>
    </row>
    <row r="14" spans="1:9" x14ac:dyDescent="0.75">
      <c r="A14" t="s">
        <v>1981</v>
      </c>
      <c r="B14" t="s">
        <v>1984</v>
      </c>
      <c r="C14" t="s">
        <v>1985</v>
      </c>
      <c r="D14" t="s">
        <v>1985</v>
      </c>
      <c r="E14">
        <v>563640</v>
      </c>
      <c r="F14">
        <v>1350</v>
      </c>
      <c r="G14" t="s">
        <v>196</v>
      </c>
      <c r="H14" t="s">
        <v>1980</v>
      </c>
      <c r="I14" t="s">
        <v>743</v>
      </c>
    </row>
    <row r="15" spans="1:9" x14ac:dyDescent="0.75">
      <c r="A15" t="s">
        <v>1981</v>
      </c>
      <c r="B15" t="s">
        <v>1982</v>
      </c>
      <c r="C15" t="s">
        <v>1983</v>
      </c>
      <c r="D15" t="s">
        <v>1983</v>
      </c>
      <c r="E15">
        <v>546900</v>
      </c>
      <c r="F15">
        <v>546900</v>
      </c>
      <c r="G15" t="s">
        <v>196</v>
      </c>
      <c r="H15" t="s">
        <v>1980</v>
      </c>
      <c r="I15" t="s">
        <v>743</v>
      </c>
    </row>
    <row r="16" spans="1:9" x14ac:dyDescent="0.75">
      <c r="A16" t="s">
        <v>740</v>
      </c>
      <c r="B16" t="s">
        <v>741</v>
      </c>
      <c r="C16" t="s">
        <v>742</v>
      </c>
      <c r="D16" t="s">
        <v>742</v>
      </c>
      <c r="E16">
        <v>9156</v>
      </c>
      <c r="F16">
        <v>9156</v>
      </c>
      <c r="G16" t="s">
        <v>11</v>
      </c>
      <c r="H16" t="s">
        <v>732</v>
      </c>
      <c r="I16" t="s">
        <v>743</v>
      </c>
    </row>
    <row r="19" spans="2:8" ht="44.25" x14ac:dyDescent="0.75">
      <c r="C19" s="8" t="s">
        <v>1</v>
      </c>
      <c r="D19" s="8" t="s">
        <v>2</v>
      </c>
      <c r="E19" s="8" t="s">
        <v>3</v>
      </c>
      <c r="F19" s="9" t="s">
        <v>3078</v>
      </c>
      <c r="G19" s="9" t="s">
        <v>3079</v>
      </c>
    </row>
    <row r="20" spans="2:8" x14ac:dyDescent="0.75">
      <c r="B20" t="s">
        <v>3105</v>
      </c>
      <c r="C20" t="str" cm="1">
        <f t="array" ref="C20:C32">Table188[Item Being Procured: Item Number]</f>
        <v>LHP-E01-BF12</v>
      </c>
      <c r="D20" t="str" cm="1">
        <f t="array" ref="D20:D32">Table188[Item Description2]</f>
        <v>Draco on a broomstick - for sale</v>
      </c>
      <c r="E20" cm="1">
        <f t="array" ref="E20:E32">Table188[Quantity]</f>
        <v>20010</v>
      </c>
      <c r="F20">
        <v>0.41</v>
      </c>
      <c r="G20">
        <f>F20*E20</f>
        <v>8204.1</v>
      </c>
    </row>
    <row r="21" spans="2:8" x14ac:dyDescent="0.75">
      <c r="B21" t="s">
        <v>3105</v>
      </c>
      <c r="C21" t="str">
        <v>LHP-E01-BF11</v>
      </c>
      <c r="D21" t="str">
        <v>The Knight Bus - for sale</v>
      </c>
      <c r="E21">
        <v>20010</v>
      </c>
      <c r="F21">
        <v>0.41</v>
      </c>
      <c r="G21">
        <f t="shared" ref="G21:G32" si="0">F21*E21</f>
        <v>8204.1</v>
      </c>
    </row>
    <row r="22" spans="2:8" x14ac:dyDescent="0.75">
      <c r="B22" t="s">
        <v>3105</v>
      </c>
      <c r="C22" t="str">
        <v>LHP-E01-BF10</v>
      </c>
      <c r="D22" t="str">
        <v>Ford Anglia - for sale</v>
      </c>
      <c r="E22">
        <v>20010</v>
      </c>
      <c r="F22">
        <v>0.41</v>
      </c>
      <c r="G22">
        <f t="shared" si="0"/>
        <v>8204.1</v>
      </c>
    </row>
    <row r="23" spans="2:8" x14ac:dyDescent="0.75">
      <c r="B23" t="s">
        <v>3105</v>
      </c>
      <c r="C23" t="str">
        <v>LHP-E01-BF09</v>
      </c>
      <c r="D23" t="str">
        <v>Bellatrix - for sale</v>
      </c>
      <c r="E23">
        <v>20010</v>
      </c>
      <c r="F23">
        <v>0.41</v>
      </c>
      <c r="G23">
        <f t="shared" si="0"/>
        <v>8204.1</v>
      </c>
    </row>
    <row r="24" spans="2:8" x14ac:dyDescent="0.75">
      <c r="B24" t="s">
        <v>3105</v>
      </c>
      <c r="C24" t="str">
        <v>LHP-E01-BF08</v>
      </c>
      <c r="D24" t="str">
        <v>Ginny - for sale</v>
      </c>
      <c r="E24">
        <v>20010</v>
      </c>
      <c r="F24">
        <v>0.41</v>
      </c>
      <c r="G24">
        <f t="shared" si="0"/>
        <v>8204.1</v>
      </c>
    </row>
    <row r="25" spans="2:8" x14ac:dyDescent="0.75">
      <c r="B25" t="s">
        <v>3105</v>
      </c>
      <c r="C25" t="str">
        <v>LHP-E01-BF07</v>
      </c>
      <c r="D25" t="str">
        <v>Hedwig with packages - for sale</v>
      </c>
      <c r="E25">
        <v>20010</v>
      </c>
      <c r="F25">
        <v>0.41</v>
      </c>
      <c r="G25">
        <f t="shared" si="0"/>
        <v>8204.1</v>
      </c>
    </row>
    <row r="26" spans="2:8" x14ac:dyDescent="0.75">
      <c r="B26" t="s">
        <v>3105</v>
      </c>
      <c r="C26" t="str">
        <v>LHP-E01-BF06</v>
      </c>
      <c r="D26" t="str">
        <v>Hagrid on a motorcycle</v>
      </c>
      <c r="E26">
        <v>580410</v>
      </c>
      <c r="F26">
        <v>0.41</v>
      </c>
      <c r="G26">
        <f t="shared" si="0"/>
        <v>237968.09999999998</v>
      </c>
    </row>
    <row r="27" spans="2:8" x14ac:dyDescent="0.75">
      <c r="B27" t="s">
        <v>3105</v>
      </c>
      <c r="C27" t="str">
        <v>LHP-E01-BF05</v>
      </c>
      <c r="D27" t="str">
        <v>Harry on a broomstick</v>
      </c>
      <c r="E27">
        <v>597150</v>
      </c>
      <c r="F27" s="10">
        <f>F29*H27/H29</f>
        <v>0.42140710382513663</v>
      </c>
      <c r="G27">
        <f t="shared" si="0"/>
        <v>251643.25204918033</v>
      </c>
      <c r="H27">
        <v>56.6</v>
      </c>
    </row>
    <row r="28" spans="2:8" x14ac:dyDescent="0.75">
      <c r="B28" t="s">
        <v>3105</v>
      </c>
      <c r="C28" t="str">
        <v>LHP-E01-BF04</v>
      </c>
      <c r="D28" t="str">
        <v>Voldemort</v>
      </c>
      <c r="E28">
        <v>546900</v>
      </c>
      <c r="F28">
        <v>0.49</v>
      </c>
      <c r="G28">
        <f t="shared" si="0"/>
        <v>267981</v>
      </c>
    </row>
    <row r="29" spans="2:8" x14ac:dyDescent="0.75">
      <c r="B29" t="s">
        <v>3105</v>
      </c>
      <c r="C29" t="str">
        <v>LHP-E01-BF03</v>
      </c>
      <c r="D29" t="str">
        <v>Dumbledore</v>
      </c>
      <c r="E29">
        <v>569220</v>
      </c>
      <c r="F29">
        <v>0.54500000000000004</v>
      </c>
      <c r="G29">
        <f t="shared" si="0"/>
        <v>310224.90000000002</v>
      </c>
      <c r="H29">
        <v>73.2</v>
      </c>
    </row>
    <row r="30" spans="2:8" x14ac:dyDescent="0.75">
      <c r="B30" t="s">
        <v>3105</v>
      </c>
      <c r="C30" t="str">
        <v>LHP-E01-BF02</v>
      </c>
      <c r="D30" t="str">
        <v>Ron on the Hogwarts Express (train carriage)</v>
      </c>
      <c r="E30">
        <v>563640</v>
      </c>
      <c r="F30">
        <v>0.56200000000000006</v>
      </c>
      <c r="G30">
        <f t="shared" si="0"/>
        <v>316765.68000000005</v>
      </c>
    </row>
    <row r="31" spans="2:8" x14ac:dyDescent="0.75">
      <c r="B31" t="s">
        <v>3105</v>
      </c>
      <c r="C31" t="str">
        <v>LHP-E01-BF01</v>
      </c>
      <c r="D31" t="str">
        <v>Hermione on the Hogwarts Express (locomotive)</v>
      </c>
      <c r="E31">
        <v>546900</v>
      </c>
      <c r="F31">
        <v>0.55000000000000004</v>
      </c>
      <c r="G31">
        <f t="shared" si="0"/>
        <v>300795</v>
      </c>
    </row>
    <row r="32" spans="2:8" x14ac:dyDescent="0.75">
      <c r="B32" t="s">
        <v>3105</v>
      </c>
      <c r="C32" t="str">
        <v>LHP-E01-SP3D3</v>
      </c>
      <c r="D32" t="str">
        <v>HP Wizzis Busts collector with HP wand</v>
      </c>
      <c r="E32">
        <v>9156</v>
      </c>
      <c r="F32">
        <v>0.36599999999999999</v>
      </c>
      <c r="G32">
        <f t="shared" si="0"/>
        <v>3351.096</v>
      </c>
    </row>
    <row r="33" spans="7:7" x14ac:dyDescent="0.75">
      <c r="G33">
        <f>SUM(G20:G31)</f>
        <v>1734602.5320491805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98553-1151-4D40-BEE2-393234E4424B}">
  <dimension ref="A1:I26"/>
  <sheetViews>
    <sheetView topLeftCell="B12" workbookViewId="0">
      <selection activeCell="B21" sqref="B21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43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2990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2874</v>
      </c>
      <c r="B4" t="s">
        <v>2875</v>
      </c>
      <c r="C4" t="s">
        <v>2876</v>
      </c>
      <c r="D4" t="s">
        <v>2876</v>
      </c>
      <c r="E4">
        <v>4322700</v>
      </c>
      <c r="F4">
        <v>0</v>
      </c>
      <c r="G4" t="s">
        <v>196</v>
      </c>
      <c r="H4" t="s">
        <v>2810</v>
      </c>
      <c r="I4" t="s">
        <v>847</v>
      </c>
    </row>
    <row r="5" spans="1:9" x14ac:dyDescent="0.75">
      <c r="A5" t="s">
        <v>2874</v>
      </c>
      <c r="B5" t="s">
        <v>2865</v>
      </c>
      <c r="C5" t="s">
        <v>2866</v>
      </c>
      <c r="D5" t="s">
        <v>2866</v>
      </c>
      <c r="E5">
        <v>200600</v>
      </c>
      <c r="F5">
        <v>0</v>
      </c>
      <c r="G5" t="s">
        <v>196</v>
      </c>
      <c r="H5" t="s">
        <v>2810</v>
      </c>
      <c r="I5" t="s">
        <v>847</v>
      </c>
    </row>
    <row r="6" spans="1:9" x14ac:dyDescent="0.75">
      <c r="A6" t="s">
        <v>2874</v>
      </c>
      <c r="B6" t="s">
        <v>2863</v>
      </c>
      <c r="C6" t="s">
        <v>2864</v>
      </c>
      <c r="D6" t="s">
        <v>2864</v>
      </c>
      <c r="E6">
        <v>18600000</v>
      </c>
      <c r="F6">
        <v>0</v>
      </c>
      <c r="G6" t="s">
        <v>196</v>
      </c>
      <c r="H6" t="s">
        <v>2810</v>
      </c>
      <c r="I6" t="s">
        <v>847</v>
      </c>
    </row>
    <row r="7" spans="1:9" x14ac:dyDescent="0.75">
      <c r="A7" t="s">
        <v>2867</v>
      </c>
      <c r="B7" t="s">
        <v>2865</v>
      </c>
      <c r="C7" t="s">
        <v>2866</v>
      </c>
      <c r="D7" t="s">
        <v>2866</v>
      </c>
      <c r="E7">
        <v>200000</v>
      </c>
      <c r="F7">
        <v>0</v>
      </c>
      <c r="G7" t="s">
        <v>196</v>
      </c>
      <c r="H7" t="s">
        <v>2810</v>
      </c>
      <c r="I7" t="s">
        <v>847</v>
      </c>
    </row>
    <row r="8" spans="1:9" x14ac:dyDescent="0.75">
      <c r="A8" t="s">
        <v>2867</v>
      </c>
      <c r="B8" t="s">
        <v>2863</v>
      </c>
      <c r="C8" t="s">
        <v>2864</v>
      </c>
      <c r="D8" t="s">
        <v>2864</v>
      </c>
      <c r="E8">
        <v>5466000</v>
      </c>
      <c r="F8">
        <v>0</v>
      </c>
      <c r="G8" t="s">
        <v>196</v>
      </c>
      <c r="H8" t="s">
        <v>2810</v>
      </c>
      <c r="I8" t="s">
        <v>847</v>
      </c>
    </row>
    <row r="9" spans="1:9" x14ac:dyDescent="0.75">
      <c r="A9" t="s">
        <v>2862</v>
      </c>
      <c r="B9" t="s">
        <v>2865</v>
      </c>
      <c r="C9" t="s">
        <v>2866</v>
      </c>
      <c r="D9" t="s">
        <v>2866</v>
      </c>
      <c r="E9">
        <v>200000</v>
      </c>
      <c r="F9">
        <v>0</v>
      </c>
      <c r="G9" t="s">
        <v>196</v>
      </c>
      <c r="H9" t="s">
        <v>2810</v>
      </c>
      <c r="I9" t="s">
        <v>847</v>
      </c>
    </row>
    <row r="10" spans="1:9" x14ac:dyDescent="0.75">
      <c r="A10" t="s">
        <v>2862</v>
      </c>
      <c r="B10" t="s">
        <v>2863</v>
      </c>
      <c r="C10" t="s">
        <v>2864</v>
      </c>
      <c r="D10" t="s">
        <v>2864</v>
      </c>
      <c r="E10">
        <v>11001000</v>
      </c>
      <c r="F10">
        <v>0</v>
      </c>
      <c r="G10" t="s">
        <v>196</v>
      </c>
      <c r="H10" t="s">
        <v>2810</v>
      </c>
      <c r="I10" t="s">
        <v>847</v>
      </c>
    </row>
    <row r="11" spans="1:9" x14ac:dyDescent="0.75">
      <c r="A11" t="s">
        <v>2660</v>
      </c>
      <c r="B11" t="s">
        <v>2665</v>
      </c>
      <c r="C11" t="s">
        <v>2666</v>
      </c>
      <c r="D11" t="s">
        <v>2666</v>
      </c>
      <c r="E11">
        <v>61020</v>
      </c>
      <c r="F11">
        <v>0</v>
      </c>
      <c r="G11" t="s">
        <v>196</v>
      </c>
      <c r="H11" t="s">
        <v>2087</v>
      </c>
      <c r="I11" t="s">
        <v>847</v>
      </c>
    </row>
    <row r="12" spans="1:9" x14ac:dyDescent="0.75">
      <c r="A12" t="s">
        <v>2660</v>
      </c>
      <c r="B12" t="s">
        <v>2663</v>
      </c>
      <c r="C12" t="s">
        <v>2664</v>
      </c>
      <c r="D12" t="s">
        <v>2664</v>
      </c>
      <c r="E12">
        <v>81360</v>
      </c>
      <c r="F12">
        <v>0</v>
      </c>
      <c r="G12" t="s">
        <v>196</v>
      </c>
      <c r="H12" t="s">
        <v>2087</v>
      </c>
      <c r="I12" t="s">
        <v>847</v>
      </c>
    </row>
    <row r="13" spans="1:9" x14ac:dyDescent="0.75">
      <c r="A13" t="s">
        <v>2660</v>
      </c>
      <c r="B13" t="s">
        <v>2661</v>
      </c>
      <c r="C13" t="s">
        <v>2662</v>
      </c>
      <c r="D13" t="s">
        <v>2662</v>
      </c>
      <c r="E13">
        <v>5502960</v>
      </c>
      <c r="F13">
        <v>0</v>
      </c>
      <c r="G13" t="s">
        <v>196</v>
      </c>
      <c r="H13" t="s">
        <v>2087</v>
      </c>
      <c r="I13" t="s">
        <v>847</v>
      </c>
    </row>
    <row r="14" spans="1:9" x14ac:dyDescent="0.75">
      <c r="A14" t="s">
        <v>2157</v>
      </c>
      <c r="B14" t="s">
        <v>2158</v>
      </c>
      <c r="C14" t="s">
        <v>2159</v>
      </c>
      <c r="D14" t="s">
        <v>2159</v>
      </c>
      <c r="E14">
        <v>15000000</v>
      </c>
      <c r="F14">
        <v>0</v>
      </c>
      <c r="G14" t="s">
        <v>196</v>
      </c>
      <c r="H14" t="s">
        <v>2036</v>
      </c>
      <c r="I14" t="s">
        <v>847</v>
      </c>
    </row>
    <row r="15" spans="1:9" x14ac:dyDescent="0.75">
      <c r="A15" t="s">
        <v>2150</v>
      </c>
      <c r="B15" t="s">
        <v>2151</v>
      </c>
      <c r="C15" t="s">
        <v>2152</v>
      </c>
      <c r="D15" t="s">
        <v>2152</v>
      </c>
      <c r="E15">
        <v>463040</v>
      </c>
      <c r="F15">
        <v>0</v>
      </c>
      <c r="G15" t="s">
        <v>196</v>
      </c>
      <c r="H15" t="s">
        <v>2036</v>
      </c>
      <c r="I15" t="s">
        <v>847</v>
      </c>
    </row>
    <row r="18" spans="2:7" ht="44.25" x14ac:dyDescent="0.75">
      <c r="C18" s="8" t="s">
        <v>1</v>
      </c>
      <c r="D18" s="8" t="s">
        <v>2</v>
      </c>
      <c r="E18" s="8" t="s">
        <v>3</v>
      </c>
      <c r="F18" s="9" t="s">
        <v>3078</v>
      </c>
      <c r="G18" s="9" t="s">
        <v>3079</v>
      </c>
    </row>
    <row r="19" spans="2:7" x14ac:dyDescent="0.75">
      <c r="B19" t="s">
        <v>3105</v>
      </c>
      <c r="C19" t="str">
        <f>B6</f>
        <v>LDSY-E01-SP103</v>
      </c>
      <c r="D19" t="str">
        <f>D10</f>
        <v>Disney paper discs ø45mm</v>
      </c>
      <c r="E19">
        <f>E10+E8+E6</f>
        <v>35067000</v>
      </c>
    </row>
    <row r="20" spans="2:7" x14ac:dyDescent="0.75">
      <c r="B20" t="s">
        <v>3105</v>
      </c>
      <c r="C20" t="str">
        <f>B4</f>
        <v>LDSY-E01-SP104</v>
      </c>
      <c r="D20" t="str">
        <f>D4</f>
        <v>Disney paper discs ø45mm - 3 discs per flowpack</v>
      </c>
      <c r="E20">
        <f>E4</f>
        <v>4322700</v>
      </c>
    </row>
    <row r="21" spans="2:7" x14ac:dyDescent="0.75">
      <c r="B21" t="s">
        <v>3104</v>
      </c>
      <c r="C21" t="str">
        <f>B9</f>
        <v>LDSY-E01-SP202</v>
      </c>
      <c r="D21" t="str">
        <f>D9</f>
        <v>Disney album for paper discs</v>
      </c>
      <c r="E21">
        <f>E9+E7+E5</f>
        <v>600600</v>
      </c>
    </row>
    <row r="22" spans="2:7" x14ac:dyDescent="0.75">
      <c r="B22" t="s">
        <v>3105</v>
      </c>
      <c r="C22" t="str">
        <f>B15</f>
        <v>LDSY-E01-SP302</v>
      </c>
      <c r="D22" t="str">
        <f>D15</f>
        <v>Disney Sport Marbles - 33mm</v>
      </c>
      <c r="E22">
        <f>E15</f>
        <v>463040</v>
      </c>
      <c r="F22">
        <v>7.6999999999999999E-2</v>
      </c>
    </row>
    <row r="23" spans="2:7" x14ac:dyDescent="0.75">
      <c r="B23" t="s">
        <v>3105</v>
      </c>
      <c r="C23" t="str">
        <f>B13</f>
        <v>LMA-B01-SP101</v>
      </c>
      <c r="D23" t="str">
        <f>D13</f>
        <v>Marvel Discs-Bistek 2026</v>
      </c>
      <c r="E23">
        <f>E13</f>
        <v>5502960</v>
      </c>
    </row>
    <row r="24" spans="2:7" x14ac:dyDescent="0.75">
      <c r="B24" t="s">
        <v>3104</v>
      </c>
      <c r="C24" t="str">
        <f>B12</f>
        <v>LMA-B01-SP102</v>
      </c>
      <c r="D24" t="str">
        <f>D12</f>
        <v>Marvel Album-Bistek 2026</v>
      </c>
      <c r="E24">
        <f>E12</f>
        <v>81360</v>
      </c>
    </row>
    <row r="25" spans="2:7" x14ac:dyDescent="0.75">
      <c r="B25" t="s">
        <v>3104</v>
      </c>
      <c r="C25" t="str">
        <f>B11</f>
        <v>LMA-B01-SP103</v>
      </c>
      <c r="D25" t="str">
        <f>D11</f>
        <v>Marvel Disc holder-Bistek 2026</v>
      </c>
      <c r="E25">
        <f>E11</f>
        <v>61020</v>
      </c>
    </row>
    <row r="26" spans="2:7" x14ac:dyDescent="0.75">
      <c r="B26" t="s">
        <v>3105</v>
      </c>
      <c r="C26" t="str">
        <f>B14</f>
        <v>LMI-E01-SP109</v>
      </c>
      <c r="D26" t="str">
        <f>D14</f>
        <v>Minecraft patch in flowpack-Auchan PL</v>
      </c>
      <c r="E26">
        <f>E14</f>
        <v>15000000</v>
      </c>
      <c r="F26">
        <v>5.2999999999999998E-4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E88D-4171-46A7-ADC2-6F99683941C6}">
  <sheetPr>
    <tabColor theme="9"/>
  </sheetPr>
  <dimension ref="A1:I7"/>
  <sheetViews>
    <sheetView topLeftCell="B1" workbookViewId="0">
      <selection activeCell="C7" sqref="C7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40.406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2992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2726</v>
      </c>
      <c r="B4" t="s">
        <v>2727</v>
      </c>
      <c r="C4" t="s">
        <v>2728</v>
      </c>
      <c r="D4" t="s">
        <v>2728</v>
      </c>
      <c r="E4">
        <v>1926400</v>
      </c>
      <c r="F4">
        <v>0</v>
      </c>
      <c r="G4" t="s">
        <v>196</v>
      </c>
      <c r="H4" t="s">
        <v>2729</v>
      </c>
      <c r="I4" t="s">
        <v>2730</v>
      </c>
    </row>
    <row r="6" spans="1:9" ht="44.25" x14ac:dyDescent="0.75">
      <c r="C6" s="8" t="s">
        <v>1</v>
      </c>
      <c r="D6" s="8" t="s">
        <v>2</v>
      </c>
      <c r="E6" s="8" t="s">
        <v>3</v>
      </c>
      <c r="F6" s="9" t="s">
        <v>3078</v>
      </c>
      <c r="G6" s="9" t="s">
        <v>3079</v>
      </c>
    </row>
    <row r="7" spans="1:9" x14ac:dyDescent="0.75">
      <c r="C7" t="s">
        <v>3105</v>
      </c>
      <c r="D7" t="s">
        <v>3068</v>
      </c>
      <c r="E7" cm="1">
        <f t="array" ref="E7">Table189[Quantity]</f>
        <v>1926400</v>
      </c>
      <c r="F7">
        <v>3.0000000000000001E-3</v>
      </c>
      <c r="G7">
        <f>F7*E7</f>
        <v>5779.2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E106-9E9C-4C5E-8315-E12121FEE540}">
  <sheetPr>
    <tabColor theme="9"/>
  </sheetPr>
  <dimension ref="A1:I9"/>
  <sheetViews>
    <sheetView workbookViewId="0">
      <selection activeCell="B9" sqref="B9"/>
    </sheetView>
  </sheetViews>
  <sheetFormatPr defaultRowHeight="14.75" x14ac:dyDescent="0.75"/>
  <cols>
    <col min="1" max="1" width="23.7265625" customWidth="1"/>
    <col min="2" max="2" width="32.31640625" customWidth="1"/>
    <col min="3" max="3" width="17.1796875" customWidth="1"/>
    <col min="4" max="4" width="18.1328125" customWidth="1"/>
    <col min="5" max="5" width="10.08984375" customWidth="1"/>
    <col min="6" max="6" width="18.54296875" customWidth="1"/>
    <col min="8" max="8" width="20.453125" customWidth="1"/>
    <col min="9" max="9" width="31.2265625" customWidth="1"/>
  </cols>
  <sheetData>
    <row r="1" spans="1:9" x14ac:dyDescent="0.75">
      <c r="A1" s="6" t="s">
        <v>2993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1359</v>
      </c>
      <c r="B4" t="s">
        <v>792</v>
      </c>
      <c r="C4" t="s">
        <v>793</v>
      </c>
      <c r="D4" t="s">
        <v>793</v>
      </c>
      <c r="E4">
        <v>768</v>
      </c>
      <c r="F4">
        <v>768</v>
      </c>
      <c r="G4" t="s">
        <v>11</v>
      </c>
      <c r="H4" t="s">
        <v>1360</v>
      </c>
      <c r="I4" t="s">
        <v>794</v>
      </c>
    </row>
    <row r="5" spans="1:9" x14ac:dyDescent="0.75">
      <c r="A5" t="s">
        <v>1017</v>
      </c>
      <c r="B5" t="s">
        <v>792</v>
      </c>
      <c r="C5" t="s">
        <v>793</v>
      </c>
      <c r="D5" t="s">
        <v>793</v>
      </c>
      <c r="E5">
        <v>1680128</v>
      </c>
      <c r="F5">
        <v>1680128</v>
      </c>
      <c r="G5" t="s">
        <v>11</v>
      </c>
      <c r="H5" t="s">
        <v>1003</v>
      </c>
      <c r="I5" t="s">
        <v>794</v>
      </c>
    </row>
    <row r="6" spans="1:9" x14ac:dyDescent="0.75">
      <c r="A6" t="s">
        <v>791</v>
      </c>
      <c r="B6" t="s">
        <v>792</v>
      </c>
      <c r="C6" t="s">
        <v>793</v>
      </c>
      <c r="D6" t="s">
        <v>793</v>
      </c>
      <c r="E6">
        <v>720128</v>
      </c>
      <c r="F6">
        <v>720128</v>
      </c>
      <c r="G6" t="s">
        <v>11</v>
      </c>
      <c r="H6" t="s">
        <v>790</v>
      </c>
      <c r="I6" t="s">
        <v>794</v>
      </c>
    </row>
    <row r="8" spans="1:9" ht="44.25" x14ac:dyDescent="0.75">
      <c r="C8" s="8" t="s">
        <v>1</v>
      </c>
      <c r="D8" s="8" t="s">
        <v>2</v>
      </c>
      <c r="E8" s="8" t="s">
        <v>3</v>
      </c>
      <c r="F8" s="9" t="s">
        <v>3078</v>
      </c>
      <c r="G8" s="9" t="s">
        <v>3079</v>
      </c>
    </row>
    <row r="9" spans="1:9" x14ac:dyDescent="0.75">
      <c r="B9" t="s">
        <v>3105</v>
      </c>
      <c r="C9" t="str">
        <f>B6</f>
        <v>LDY-L01-XMW101</v>
      </c>
      <c r="D9" t="s">
        <v>3032</v>
      </c>
      <c r="E9">
        <f>SUM(Table190[Quantity])</f>
        <v>2401024</v>
      </c>
      <c r="F9">
        <v>0.17499999999999999</v>
      </c>
      <c r="G9">
        <f>F9*E9</f>
        <v>420179.19999999995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A9B8-65CC-4EDC-A323-AE803EA1A793}">
  <dimension ref="A1:I94"/>
  <sheetViews>
    <sheetView topLeftCell="A77" workbookViewId="0">
      <selection activeCell="B66" sqref="B66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0.316406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9.1796875" bestFit="1" customWidth="1"/>
  </cols>
  <sheetData>
    <row r="1" spans="1:9" x14ac:dyDescent="0.75">
      <c r="A1" s="6" t="s">
        <v>2991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2946</v>
      </c>
      <c r="B4" t="s">
        <v>2949</v>
      </c>
      <c r="C4" t="s">
        <v>2950</v>
      </c>
      <c r="D4" t="s">
        <v>2950</v>
      </c>
      <c r="E4">
        <v>8436</v>
      </c>
      <c r="F4">
        <v>0</v>
      </c>
      <c r="G4" t="s">
        <v>196</v>
      </c>
      <c r="H4" t="s">
        <v>2908</v>
      </c>
      <c r="I4" t="s">
        <v>23</v>
      </c>
    </row>
    <row r="5" spans="1:9" x14ac:dyDescent="0.75">
      <c r="A5" t="s">
        <v>2946</v>
      </c>
      <c r="B5" t="s">
        <v>2947</v>
      </c>
      <c r="C5" t="s">
        <v>2948</v>
      </c>
      <c r="D5" t="s">
        <v>2948</v>
      </c>
      <c r="E5">
        <v>5676</v>
      </c>
      <c r="F5">
        <v>0</v>
      </c>
      <c r="G5" t="s">
        <v>196</v>
      </c>
      <c r="H5" t="s">
        <v>2908</v>
      </c>
      <c r="I5" t="s">
        <v>23</v>
      </c>
    </row>
    <row r="6" spans="1:9" x14ac:dyDescent="0.75">
      <c r="A6" t="s">
        <v>2881</v>
      </c>
      <c r="B6" t="s">
        <v>1452</v>
      </c>
      <c r="C6" t="s">
        <v>1453</v>
      </c>
      <c r="D6" t="s">
        <v>1453</v>
      </c>
      <c r="E6">
        <v>48000</v>
      </c>
      <c r="F6">
        <v>0</v>
      </c>
      <c r="G6" t="s">
        <v>196</v>
      </c>
      <c r="H6" t="s">
        <v>2811</v>
      </c>
      <c r="I6" t="s">
        <v>23</v>
      </c>
    </row>
    <row r="7" spans="1:9" x14ac:dyDescent="0.75">
      <c r="A7" t="s">
        <v>20</v>
      </c>
      <c r="B7" t="s">
        <v>21</v>
      </c>
      <c r="C7" t="s">
        <v>22</v>
      </c>
      <c r="D7" t="s">
        <v>22</v>
      </c>
      <c r="E7">
        <v>39936</v>
      </c>
      <c r="F7">
        <v>39936</v>
      </c>
      <c r="G7" t="s">
        <v>11</v>
      </c>
      <c r="H7" t="s">
        <v>12</v>
      </c>
      <c r="I7" t="s">
        <v>23</v>
      </c>
    </row>
    <row r="8" spans="1:9" x14ac:dyDescent="0.75">
      <c r="A8" t="s">
        <v>20</v>
      </c>
      <c r="B8" t="s">
        <v>24</v>
      </c>
      <c r="C8" t="s">
        <v>25</v>
      </c>
      <c r="D8" t="s">
        <v>25</v>
      </c>
      <c r="E8">
        <v>39936</v>
      </c>
      <c r="F8">
        <v>39936</v>
      </c>
      <c r="G8" t="s">
        <v>11</v>
      </c>
      <c r="H8" t="s">
        <v>12</v>
      </c>
      <c r="I8" t="s">
        <v>23</v>
      </c>
    </row>
    <row r="9" spans="1:9" x14ac:dyDescent="0.75">
      <c r="A9" t="s">
        <v>20</v>
      </c>
      <c r="B9" t="s">
        <v>26</v>
      </c>
      <c r="C9" t="s">
        <v>27</v>
      </c>
      <c r="D9" t="s">
        <v>27</v>
      </c>
      <c r="E9">
        <v>54528</v>
      </c>
      <c r="F9">
        <v>54528</v>
      </c>
      <c r="G9" t="s">
        <v>11</v>
      </c>
      <c r="H9" t="s">
        <v>12</v>
      </c>
      <c r="I9" t="s">
        <v>23</v>
      </c>
    </row>
    <row r="10" spans="1:9" x14ac:dyDescent="0.75">
      <c r="A10" t="s">
        <v>20</v>
      </c>
      <c r="B10" t="s">
        <v>28</v>
      </c>
      <c r="C10" t="s">
        <v>29</v>
      </c>
      <c r="D10" t="s">
        <v>29</v>
      </c>
      <c r="E10">
        <v>43776</v>
      </c>
      <c r="F10">
        <v>43776</v>
      </c>
      <c r="G10" t="s">
        <v>11</v>
      </c>
      <c r="H10" t="s">
        <v>12</v>
      </c>
      <c r="I10" t="s">
        <v>23</v>
      </c>
    </row>
    <row r="11" spans="1:9" x14ac:dyDescent="0.75">
      <c r="A11" t="s">
        <v>20</v>
      </c>
      <c r="B11" t="s">
        <v>30</v>
      </c>
      <c r="C11" t="s">
        <v>31</v>
      </c>
      <c r="D11" t="s">
        <v>31</v>
      </c>
      <c r="E11">
        <v>28800</v>
      </c>
      <c r="F11">
        <v>28800</v>
      </c>
      <c r="G11" t="s">
        <v>11</v>
      </c>
      <c r="H11" t="s">
        <v>12</v>
      </c>
      <c r="I11" t="s">
        <v>23</v>
      </c>
    </row>
    <row r="12" spans="1:9" x14ac:dyDescent="0.75">
      <c r="A12" t="s">
        <v>20</v>
      </c>
      <c r="B12" t="s">
        <v>32</v>
      </c>
      <c r="C12" t="s">
        <v>33</v>
      </c>
      <c r="D12" t="s">
        <v>33</v>
      </c>
      <c r="E12">
        <v>28800</v>
      </c>
      <c r="F12">
        <v>28800</v>
      </c>
      <c r="G12" t="s">
        <v>11</v>
      </c>
      <c r="H12" t="s">
        <v>12</v>
      </c>
      <c r="I12" t="s">
        <v>23</v>
      </c>
    </row>
    <row r="13" spans="1:9" x14ac:dyDescent="0.75">
      <c r="A13" t="s">
        <v>2822</v>
      </c>
      <c r="B13" t="s">
        <v>2680</v>
      </c>
      <c r="C13" t="s">
        <v>607</v>
      </c>
      <c r="D13" t="s">
        <v>607</v>
      </c>
      <c r="E13">
        <v>17664</v>
      </c>
      <c r="F13">
        <v>0</v>
      </c>
      <c r="G13" t="s">
        <v>196</v>
      </c>
      <c r="H13" t="s">
        <v>2821</v>
      </c>
      <c r="I13" t="s">
        <v>23</v>
      </c>
    </row>
    <row r="14" spans="1:9" x14ac:dyDescent="0.75">
      <c r="A14" t="s">
        <v>2822</v>
      </c>
      <c r="B14" t="s">
        <v>2679</v>
      </c>
      <c r="C14" t="s">
        <v>602</v>
      </c>
      <c r="D14" t="s">
        <v>602</v>
      </c>
      <c r="E14">
        <v>79040</v>
      </c>
      <c r="F14">
        <v>0</v>
      </c>
      <c r="G14" t="s">
        <v>196</v>
      </c>
      <c r="H14" t="s">
        <v>2821</v>
      </c>
      <c r="I14" t="s">
        <v>23</v>
      </c>
    </row>
    <row r="15" spans="1:9" x14ac:dyDescent="0.75">
      <c r="A15" t="s">
        <v>2816</v>
      </c>
      <c r="B15" t="s">
        <v>1452</v>
      </c>
      <c r="C15" t="s">
        <v>1453</v>
      </c>
      <c r="D15" t="s">
        <v>1453</v>
      </c>
      <c r="E15">
        <v>1980</v>
      </c>
      <c r="F15">
        <v>1980</v>
      </c>
      <c r="G15" t="s">
        <v>11</v>
      </c>
      <c r="H15" t="s">
        <v>2786</v>
      </c>
      <c r="I15" t="s">
        <v>23</v>
      </c>
    </row>
    <row r="16" spans="1:9" x14ac:dyDescent="0.75">
      <c r="A16" t="s">
        <v>2771</v>
      </c>
      <c r="B16" t="s">
        <v>1452</v>
      </c>
      <c r="C16" t="s">
        <v>1453</v>
      </c>
      <c r="D16" t="s">
        <v>1453</v>
      </c>
      <c r="E16">
        <v>1590</v>
      </c>
      <c r="F16">
        <v>1590</v>
      </c>
      <c r="G16" t="s">
        <v>11</v>
      </c>
      <c r="H16" t="s">
        <v>2772</v>
      </c>
      <c r="I16" t="s">
        <v>23</v>
      </c>
    </row>
    <row r="17" spans="1:9" x14ac:dyDescent="0.75">
      <c r="A17" t="s">
        <v>2699</v>
      </c>
      <c r="B17" t="s">
        <v>982</v>
      </c>
      <c r="C17" t="s">
        <v>983</v>
      </c>
      <c r="D17" t="s">
        <v>983</v>
      </c>
      <c r="E17">
        <v>47556</v>
      </c>
      <c r="F17">
        <v>0</v>
      </c>
      <c r="G17" t="s">
        <v>196</v>
      </c>
      <c r="H17" t="s">
        <v>2089</v>
      </c>
      <c r="I17" t="s">
        <v>23</v>
      </c>
    </row>
    <row r="18" spans="1:9" x14ac:dyDescent="0.75">
      <c r="A18" t="s">
        <v>2699</v>
      </c>
      <c r="B18" t="s">
        <v>980</v>
      </c>
      <c r="C18" t="s">
        <v>981</v>
      </c>
      <c r="D18" t="s">
        <v>981</v>
      </c>
      <c r="E18">
        <v>50312</v>
      </c>
      <c r="F18">
        <v>0</v>
      </c>
      <c r="G18" t="s">
        <v>196</v>
      </c>
      <c r="H18" t="s">
        <v>2089</v>
      </c>
      <c r="I18" t="s">
        <v>23</v>
      </c>
    </row>
    <row r="19" spans="1:9" x14ac:dyDescent="0.75">
      <c r="A19" t="s">
        <v>2695</v>
      </c>
      <c r="B19" t="s">
        <v>982</v>
      </c>
      <c r="C19" t="s">
        <v>983</v>
      </c>
      <c r="D19" t="s">
        <v>983</v>
      </c>
      <c r="E19">
        <v>6696</v>
      </c>
      <c r="F19">
        <v>0</v>
      </c>
      <c r="G19" t="s">
        <v>196</v>
      </c>
      <c r="H19" t="s">
        <v>2089</v>
      </c>
      <c r="I19" t="s">
        <v>23</v>
      </c>
    </row>
    <row r="20" spans="1:9" x14ac:dyDescent="0.75">
      <c r="A20" t="s">
        <v>2695</v>
      </c>
      <c r="B20" t="s">
        <v>980</v>
      </c>
      <c r="C20" t="s">
        <v>981</v>
      </c>
      <c r="D20" t="s">
        <v>981</v>
      </c>
      <c r="E20">
        <v>18792</v>
      </c>
      <c r="F20">
        <v>0</v>
      </c>
      <c r="G20" t="s">
        <v>196</v>
      </c>
      <c r="H20" t="s">
        <v>2089</v>
      </c>
      <c r="I20" t="s">
        <v>23</v>
      </c>
    </row>
    <row r="21" spans="1:9" x14ac:dyDescent="0.75">
      <c r="A21" t="s">
        <v>2678</v>
      </c>
      <c r="B21" t="s">
        <v>2680</v>
      </c>
      <c r="C21" t="s">
        <v>607</v>
      </c>
      <c r="D21" t="s">
        <v>607</v>
      </c>
      <c r="E21">
        <v>18240</v>
      </c>
      <c r="F21">
        <v>0</v>
      </c>
      <c r="G21" t="s">
        <v>196</v>
      </c>
      <c r="H21" t="s">
        <v>2087</v>
      </c>
      <c r="I21" t="s">
        <v>23</v>
      </c>
    </row>
    <row r="22" spans="1:9" x14ac:dyDescent="0.75">
      <c r="A22" t="s">
        <v>2678</v>
      </c>
      <c r="B22" t="s">
        <v>2679</v>
      </c>
      <c r="C22" t="s">
        <v>602</v>
      </c>
      <c r="D22" t="s">
        <v>602</v>
      </c>
      <c r="E22">
        <v>49600</v>
      </c>
      <c r="F22">
        <v>0</v>
      </c>
      <c r="G22" t="s">
        <v>196</v>
      </c>
      <c r="H22" t="s">
        <v>2087</v>
      </c>
      <c r="I22" t="s">
        <v>23</v>
      </c>
    </row>
    <row r="23" spans="1:9" x14ac:dyDescent="0.75">
      <c r="A23" t="s">
        <v>2370</v>
      </c>
      <c r="B23" t="s">
        <v>2371</v>
      </c>
      <c r="C23" t="s">
        <v>2372</v>
      </c>
      <c r="D23" t="s">
        <v>2372</v>
      </c>
      <c r="E23">
        <v>3297600</v>
      </c>
      <c r="F23">
        <v>0</v>
      </c>
      <c r="G23" t="s">
        <v>196</v>
      </c>
      <c r="H23" t="s">
        <v>2042</v>
      </c>
      <c r="I23" t="s">
        <v>23</v>
      </c>
    </row>
    <row r="24" spans="1:9" x14ac:dyDescent="0.75">
      <c r="A24" t="s">
        <v>2156</v>
      </c>
      <c r="B24" t="s">
        <v>28</v>
      </c>
      <c r="C24" t="s">
        <v>29</v>
      </c>
      <c r="D24" t="s">
        <v>29</v>
      </c>
      <c r="E24">
        <v>30080</v>
      </c>
      <c r="F24">
        <v>0</v>
      </c>
      <c r="G24" t="s">
        <v>196</v>
      </c>
      <c r="H24" t="s">
        <v>2036</v>
      </c>
      <c r="I24" t="s">
        <v>23</v>
      </c>
    </row>
    <row r="25" spans="1:9" x14ac:dyDescent="0.75">
      <c r="A25" t="s">
        <v>2156</v>
      </c>
      <c r="B25" t="s">
        <v>26</v>
      </c>
      <c r="C25" t="s">
        <v>27</v>
      </c>
      <c r="D25" t="s">
        <v>27</v>
      </c>
      <c r="E25">
        <v>33920</v>
      </c>
      <c r="F25">
        <v>0</v>
      </c>
      <c r="G25" t="s">
        <v>196</v>
      </c>
      <c r="H25" t="s">
        <v>2036</v>
      </c>
      <c r="I25" t="s">
        <v>23</v>
      </c>
    </row>
    <row r="26" spans="1:9" x14ac:dyDescent="0.75">
      <c r="A26" t="s">
        <v>2156</v>
      </c>
      <c r="B26" t="s">
        <v>24</v>
      </c>
      <c r="C26" t="s">
        <v>25</v>
      </c>
      <c r="D26" t="s">
        <v>25</v>
      </c>
      <c r="E26">
        <v>10240</v>
      </c>
      <c r="F26">
        <v>0</v>
      </c>
      <c r="G26" t="s">
        <v>196</v>
      </c>
      <c r="H26" t="s">
        <v>2036</v>
      </c>
      <c r="I26" t="s">
        <v>23</v>
      </c>
    </row>
    <row r="27" spans="1:9" x14ac:dyDescent="0.75">
      <c r="A27" t="s">
        <v>2156</v>
      </c>
      <c r="B27" t="s">
        <v>21</v>
      </c>
      <c r="C27" t="s">
        <v>22</v>
      </c>
      <c r="D27" t="s">
        <v>22</v>
      </c>
      <c r="E27">
        <v>19840</v>
      </c>
      <c r="F27">
        <v>0</v>
      </c>
      <c r="G27" t="s">
        <v>196</v>
      </c>
      <c r="H27" t="s">
        <v>2036</v>
      </c>
      <c r="I27" t="s">
        <v>23</v>
      </c>
    </row>
    <row r="28" spans="1:9" x14ac:dyDescent="0.75">
      <c r="A28" t="s">
        <v>2128</v>
      </c>
      <c r="B28" t="s">
        <v>2135</v>
      </c>
      <c r="C28" t="s">
        <v>2136</v>
      </c>
      <c r="D28" t="s">
        <v>2136</v>
      </c>
      <c r="E28">
        <v>7712</v>
      </c>
      <c r="F28">
        <v>7712</v>
      </c>
      <c r="G28" t="s">
        <v>11</v>
      </c>
      <c r="H28" t="s">
        <v>2033</v>
      </c>
      <c r="I28" t="s">
        <v>23</v>
      </c>
    </row>
    <row r="29" spans="1:9" x14ac:dyDescent="0.75">
      <c r="A29" t="s">
        <v>2128</v>
      </c>
      <c r="B29" t="s">
        <v>2133</v>
      </c>
      <c r="C29" t="s">
        <v>2134</v>
      </c>
      <c r="D29" t="s">
        <v>2134</v>
      </c>
      <c r="E29">
        <v>5808</v>
      </c>
      <c r="F29">
        <v>5808</v>
      </c>
      <c r="G29" t="s">
        <v>11</v>
      </c>
      <c r="H29" t="s">
        <v>2033</v>
      </c>
      <c r="I29" t="s">
        <v>23</v>
      </c>
    </row>
    <row r="30" spans="1:9" x14ac:dyDescent="0.75">
      <c r="A30" t="s">
        <v>2128</v>
      </c>
      <c r="B30" t="s">
        <v>2131</v>
      </c>
      <c r="C30" t="s">
        <v>2132</v>
      </c>
      <c r="D30" t="s">
        <v>2132</v>
      </c>
      <c r="E30">
        <v>4352</v>
      </c>
      <c r="F30">
        <v>4352</v>
      </c>
      <c r="G30" t="s">
        <v>11</v>
      </c>
      <c r="H30" t="s">
        <v>2033</v>
      </c>
      <c r="I30" t="s">
        <v>23</v>
      </c>
    </row>
    <row r="31" spans="1:9" x14ac:dyDescent="0.75">
      <c r="A31" t="s">
        <v>2128</v>
      </c>
      <c r="B31" t="s">
        <v>2129</v>
      </c>
      <c r="C31" t="s">
        <v>2130</v>
      </c>
      <c r="D31" t="s">
        <v>2130</v>
      </c>
      <c r="E31">
        <v>15576</v>
      </c>
      <c r="F31">
        <v>15576</v>
      </c>
      <c r="G31" t="s">
        <v>11</v>
      </c>
      <c r="H31" t="s">
        <v>2033</v>
      </c>
      <c r="I31" t="s">
        <v>23</v>
      </c>
    </row>
    <row r="32" spans="1:9" x14ac:dyDescent="0.75">
      <c r="A32" t="s">
        <v>2115</v>
      </c>
      <c r="B32" t="s">
        <v>982</v>
      </c>
      <c r="C32" t="s">
        <v>983</v>
      </c>
      <c r="D32" t="s">
        <v>983</v>
      </c>
      <c r="E32">
        <v>20000</v>
      </c>
      <c r="F32">
        <v>20000</v>
      </c>
      <c r="G32" t="s">
        <v>11</v>
      </c>
      <c r="H32" t="s">
        <v>2026</v>
      </c>
      <c r="I32" t="s">
        <v>23</v>
      </c>
    </row>
    <row r="33" spans="1:9" x14ac:dyDescent="0.75">
      <c r="A33" t="s">
        <v>2115</v>
      </c>
      <c r="B33" t="s">
        <v>980</v>
      </c>
      <c r="C33" t="s">
        <v>981</v>
      </c>
      <c r="D33" t="s">
        <v>981</v>
      </c>
      <c r="E33">
        <v>40388</v>
      </c>
      <c r="F33">
        <v>40388</v>
      </c>
      <c r="G33" t="s">
        <v>11</v>
      </c>
      <c r="H33" t="s">
        <v>2026</v>
      </c>
      <c r="I33" t="s">
        <v>23</v>
      </c>
    </row>
    <row r="34" spans="1:9" x14ac:dyDescent="0.75">
      <c r="A34" t="s">
        <v>2099</v>
      </c>
      <c r="B34" t="s">
        <v>1452</v>
      </c>
      <c r="C34" t="s">
        <v>1453</v>
      </c>
      <c r="D34" t="s">
        <v>1453</v>
      </c>
      <c r="E34">
        <v>101400</v>
      </c>
      <c r="F34">
        <v>101400</v>
      </c>
      <c r="G34" t="s">
        <v>11</v>
      </c>
      <c r="H34" t="s">
        <v>2037</v>
      </c>
      <c r="I34" t="s">
        <v>23</v>
      </c>
    </row>
    <row r="35" spans="1:9" x14ac:dyDescent="0.75">
      <c r="A35" t="s">
        <v>2031</v>
      </c>
      <c r="B35" t="s">
        <v>1452</v>
      </c>
      <c r="C35" t="s">
        <v>1453</v>
      </c>
      <c r="D35" t="s">
        <v>1453</v>
      </c>
      <c r="E35">
        <v>21408</v>
      </c>
      <c r="F35">
        <v>21408</v>
      </c>
      <c r="G35" t="s">
        <v>11</v>
      </c>
      <c r="H35" t="s">
        <v>2025</v>
      </c>
      <c r="I35" t="s">
        <v>23</v>
      </c>
    </row>
    <row r="36" spans="1:9" x14ac:dyDescent="0.75">
      <c r="A36" t="s">
        <v>2027</v>
      </c>
      <c r="B36" t="s">
        <v>1452</v>
      </c>
      <c r="C36" t="s">
        <v>1453</v>
      </c>
      <c r="D36" t="s">
        <v>1453</v>
      </c>
      <c r="E36">
        <v>45000</v>
      </c>
      <c r="F36">
        <v>45000</v>
      </c>
      <c r="G36" t="s">
        <v>11</v>
      </c>
      <c r="H36" t="s">
        <v>2025</v>
      </c>
      <c r="I36" t="s">
        <v>23</v>
      </c>
    </row>
    <row r="37" spans="1:9" x14ac:dyDescent="0.75">
      <c r="A37" t="s">
        <v>1944</v>
      </c>
      <c r="B37" t="s">
        <v>1941</v>
      </c>
      <c r="C37" t="s">
        <v>1942</v>
      </c>
      <c r="D37" t="s">
        <v>1942</v>
      </c>
      <c r="E37">
        <v>85002</v>
      </c>
      <c r="F37">
        <v>85002</v>
      </c>
      <c r="G37" t="s">
        <v>11</v>
      </c>
      <c r="H37" t="s">
        <v>1943</v>
      </c>
      <c r="I37" t="s">
        <v>23</v>
      </c>
    </row>
    <row r="38" spans="1:9" x14ac:dyDescent="0.75">
      <c r="A38" t="s">
        <v>1940</v>
      </c>
      <c r="B38" t="s">
        <v>1941</v>
      </c>
      <c r="C38" t="s">
        <v>1942</v>
      </c>
      <c r="D38" t="s">
        <v>1942</v>
      </c>
      <c r="E38">
        <v>85002</v>
      </c>
      <c r="F38">
        <v>85002</v>
      </c>
      <c r="G38" t="s">
        <v>11</v>
      </c>
      <c r="H38" t="s">
        <v>1943</v>
      </c>
      <c r="I38" t="s">
        <v>23</v>
      </c>
    </row>
    <row r="39" spans="1:9" x14ac:dyDescent="0.75">
      <c r="A39" t="s">
        <v>1935</v>
      </c>
      <c r="B39" t="s">
        <v>1452</v>
      </c>
      <c r="C39" t="s">
        <v>1453</v>
      </c>
      <c r="D39" t="s">
        <v>1453</v>
      </c>
      <c r="E39">
        <v>85716</v>
      </c>
      <c r="F39">
        <v>85716</v>
      </c>
      <c r="G39" t="s">
        <v>11</v>
      </c>
      <c r="H39" t="s">
        <v>1934</v>
      </c>
      <c r="I39" t="s">
        <v>23</v>
      </c>
    </row>
    <row r="40" spans="1:9" x14ac:dyDescent="0.75">
      <c r="A40" t="s">
        <v>1480</v>
      </c>
      <c r="B40" t="s">
        <v>450</v>
      </c>
      <c r="C40" t="s">
        <v>451</v>
      </c>
      <c r="D40" t="s">
        <v>451</v>
      </c>
      <c r="E40">
        <v>7308</v>
      </c>
      <c r="F40">
        <v>7308</v>
      </c>
      <c r="G40" t="s">
        <v>11</v>
      </c>
      <c r="H40" t="s">
        <v>1426</v>
      </c>
      <c r="I40" t="s">
        <v>23</v>
      </c>
    </row>
    <row r="41" spans="1:9" x14ac:dyDescent="0.75">
      <c r="A41" t="s">
        <v>1478</v>
      </c>
      <c r="B41" t="s">
        <v>450</v>
      </c>
      <c r="C41" t="s">
        <v>451</v>
      </c>
      <c r="D41" t="s">
        <v>451</v>
      </c>
      <c r="E41">
        <v>1</v>
      </c>
      <c r="F41">
        <v>0</v>
      </c>
      <c r="G41" t="s">
        <v>11</v>
      </c>
      <c r="H41" t="s">
        <v>1426</v>
      </c>
      <c r="I41" t="s">
        <v>23</v>
      </c>
    </row>
    <row r="42" spans="1:9" x14ac:dyDescent="0.75">
      <c r="A42" t="s">
        <v>1461</v>
      </c>
      <c r="B42" t="s">
        <v>1452</v>
      </c>
      <c r="C42" t="s">
        <v>1453</v>
      </c>
      <c r="D42" t="s">
        <v>1453</v>
      </c>
      <c r="E42">
        <v>42630</v>
      </c>
      <c r="F42">
        <v>42630</v>
      </c>
      <c r="G42" t="s">
        <v>11</v>
      </c>
      <c r="H42" t="s">
        <v>1434</v>
      </c>
      <c r="I42" t="s">
        <v>23</v>
      </c>
    </row>
    <row r="43" spans="1:9" x14ac:dyDescent="0.75">
      <c r="A43" t="s">
        <v>1451</v>
      </c>
      <c r="B43" t="s">
        <v>1452</v>
      </c>
      <c r="C43" t="s">
        <v>1453</v>
      </c>
      <c r="D43" t="s">
        <v>1453</v>
      </c>
      <c r="E43">
        <v>84270</v>
      </c>
      <c r="F43">
        <v>84270</v>
      </c>
      <c r="G43" t="s">
        <v>11</v>
      </c>
      <c r="H43" t="s">
        <v>1434</v>
      </c>
      <c r="I43" t="s">
        <v>23</v>
      </c>
    </row>
    <row r="44" spans="1:9" x14ac:dyDescent="0.75">
      <c r="A44" t="s">
        <v>1373</v>
      </c>
      <c r="B44" t="s">
        <v>982</v>
      </c>
      <c r="C44" t="s">
        <v>983</v>
      </c>
      <c r="D44" t="s">
        <v>983</v>
      </c>
      <c r="E44">
        <v>27648</v>
      </c>
      <c r="F44">
        <v>27648</v>
      </c>
      <c r="G44" t="s">
        <v>11</v>
      </c>
      <c r="H44" t="s">
        <v>1371</v>
      </c>
      <c r="I44" t="s">
        <v>23</v>
      </c>
    </row>
    <row r="45" spans="1:9" x14ac:dyDescent="0.75">
      <c r="A45" t="s">
        <v>1373</v>
      </c>
      <c r="B45" t="s">
        <v>980</v>
      </c>
      <c r="C45" t="s">
        <v>981</v>
      </c>
      <c r="D45" t="s">
        <v>981</v>
      </c>
      <c r="E45">
        <v>27648</v>
      </c>
      <c r="F45">
        <v>27648</v>
      </c>
      <c r="G45" t="s">
        <v>11</v>
      </c>
      <c r="H45" t="s">
        <v>1371</v>
      </c>
      <c r="I45" t="s">
        <v>23</v>
      </c>
    </row>
    <row r="46" spans="1:9" x14ac:dyDescent="0.75">
      <c r="A46" t="s">
        <v>1171</v>
      </c>
      <c r="B46" t="s">
        <v>529</v>
      </c>
      <c r="C46" t="s">
        <v>530</v>
      </c>
      <c r="D46" t="s">
        <v>530</v>
      </c>
      <c r="E46">
        <v>12753216</v>
      </c>
      <c r="F46">
        <v>12753216</v>
      </c>
      <c r="G46" t="s">
        <v>11</v>
      </c>
      <c r="H46" t="s">
        <v>1169</v>
      </c>
      <c r="I46" t="s">
        <v>23</v>
      </c>
    </row>
    <row r="47" spans="1:9" x14ac:dyDescent="0.75">
      <c r="A47" t="s">
        <v>979</v>
      </c>
      <c r="B47" t="s">
        <v>982</v>
      </c>
      <c r="C47" t="s">
        <v>983</v>
      </c>
      <c r="D47" t="s">
        <v>983</v>
      </c>
      <c r="E47">
        <v>25002</v>
      </c>
      <c r="F47">
        <v>25002</v>
      </c>
      <c r="G47" t="s">
        <v>11</v>
      </c>
      <c r="H47" t="s">
        <v>945</v>
      </c>
      <c r="I47" t="s">
        <v>23</v>
      </c>
    </row>
    <row r="48" spans="1:9" x14ac:dyDescent="0.75">
      <c r="A48" t="s">
        <v>979</v>
      </c>
      <c r="B48" t="s">
        <v>980</v>
      </c>
      <c r="C48" t="s">
        <v>981</v>
      </c>
      <c r="D48" t="s">
        <v>981</v>
      </c>
      <c r="E48">
        <v>25002</v>
      </c>
      <c r="F48">
        <v>25002</v>
      </c>
      <c r="G48" t="s">
        <v>11</v>
      </c>
      <c r="H48" t="s">
        <v>945</v>
      </c>
      <c r="I48" t="s">
        <v>23</v>
      </c>
    </row>
    <row r="49" spans="1:9" x14ac:dyDescent="0.75">
      <c r="A49" t="s">
        <v>626</v>
      </c>
      <c r="B49" t="s">
        <v>624</v>
      </c>
      <c r="C49" t="s">
        <v>625</v>
      </c>
      <c r="D49" t="s">
        <v>625</v>
      </c>
      <c r="E49">
        <v>6090624</v>
      </c>
      <c r="F49">
        <v>6090624</v>
      </c>
      <c r="G49" t="s">
        <v>11</v>
      </c>
      <c r="H49" t="s">
        <v>627</v>
      </c>
      <c r="I49" t="s">
        <v>23</v>
      </c>
    </row>
    <row r="50" spans="1:9" x14ac:dyDescent="0.75">
      <c r="A50" t="s">
        <v>623</v>
      </c>
      <c r="B50" t="s">
        <v>624</v>
      </c>
      <c r="C50" t="s">
        <v>625</v>
      </c>
      <c r="D50" t="s">
        <v>625</v>
      </c>
      <c r="E50">
        <v>6090624</v>
      </c>
      <c r="F50">
        <v>6090624</v>
      </c>
      <c r="G50" t="s">
        <v>11</v>
      </c>
      <c r="H50" t="s">
        <v>515</v>
      </c>
      <c r="I50" t="s">
        <v>23</v>
      </c>
    </row>
    <row r="51" spans="1:9" x14ac:dyDescent="0.75">
      <c r="A51" t="s">
        <v>620</v>
      </c>
      <c r="B51" t="s">
        <v>621</v>
      </c>
      <c r="C51" t="s">
        <v>622</v>
      </c>
      <c r="D51" t="s">
        <v>622</v>
      </c>
      <c r="E51">
        <v>47500992</v>
      </c>
      <c r="F51">
        <v>47500992</v>
      </c>
      <c r="G51" t="s">
        <v>11</v>
      </c>
      <c r="H51" t="s">
        <v>577</v>
      </c>
      <c r="I51" t="s">
        <v>23</v>
      </c>
    </row>
    <row r="52" spans="1:9" x14ac:dyDescent="0.75">
      <c r="A52" t="s">
        <v>600</v>
      </c>
      <c r="B52" t="s">
        <v>606</v>
      </c>
      <c r="C52" t="s">
        <v>607</v>
      </c>
      <c r="D52" t="s">
        <v>607</v>
      </c>
      <c r="E52">
        <v>5152</v>
      </c>
      <c r="F52">
        <v>5152</v>
      </c>
      <c r="G52" t="s">
        <v>11</v>
      </c>
      <c r="H52" t="s">
        <v>577</v>
      </c>
      <c r="I52" t="s">
        <v>23</v>
      </c>
    </row>
    <row r="53" spans="1:9" x14ac:dyDescent="0.75">
      <c r="A53" t="s">
        <v>600</v>
      </c>
      <c r="B53" t="s">
        <v>605</v>
      </c>
      <c r="C53" t="s">
        <v>33</v>
      </c>
      <c r="D53" t="s">
        <v>33</v>
      </c>
      <c r="E53">
        <v>30336</v>
      </c>
      <c r="F53">
        <v>30336</v>
      </c>
      <c r="G53" t="s">
        <v>11</v>
      </c>
      <c r="H53" t="s">
        <v>577</v>
      </c>
      <c r="I53" t="s">
        <v>23</v>
      </c>
    </row>
    <row r="54" spans="1:9" x14ac:dyDescent="0.75">
      <c r="A54" t="s">
        <v>600</v>
      </c>
      <c r="B54" t="s">
        <v>604</v>
      </c>
      <c r="C54" t="s">
        <v>31</v>
      </c>
      <c r="D54" t="s">
        <v>31</v>
      </c>
      <c r="E54">
        <v>30080</v>
      </c>
      <c r="F54">
        <v>30080</v>
      </c>
      <c r="G54" t="s">
        <v>11</v>
      </c>
      <c r="H54" t="s">
        <v>577</v>
      </c>
      <c r="I54" t="s">
        <v>23</v>
      </c>
    </row>
    <row r="55" spans="1:9" x14ac:dyDescent="0.75">
      <c r="A55" t="s">
        <v>600</v>
      </c>
      <c r="B55" t="s">
        <v>603</v>
      </c>
      <c r="C55" t="s">
        <v>29</v>
      </c>
      <c r="D55" t="s">
        <v>29</v>
      </c>
      <c r="E55">
        <v>30336</v>
      </c>
      <c r="F55">
        <v>30336</v>
      </c>
      <c r="G55" t="s">
        <v>11</v>
      </c>
      <c r="H55" t="s">
        <v>577</v>
      </c>
      <c r="I55" t="s">
        <v>23</v>
      </c>
    </row>
    <row r="56" spans="1:9" x14ac:dyDescent="0.75">
      <c r="A56" t="s">
        <v>600</v>
      </c>
      <c r="B56" t="s">
        <v>601</v>
      </c>
      <c r="C56" t="s">
        <v>602</v>
      </c>
      <c r="D56" t="s">
        <v>602</v>
      </c>
      <c r="E56">
        <v>30272</v>
      </c>
      <c r="F56">
        <v>30272</v>
      </c>
      <c r="G56" t="s">
        <v>11</v>
      </c>
      <c r="H56" t="s">
        <v>577</v>
      </c>
      <c r="I56" t="s">
        <v>23</v>
      </c>
    </row>
    <row r="57" spans="1:9" x14ac:dyDescent="0.75">
      <c r="A57" t="s">
        <v>599</v>
      </c>
      <c r="B57" t="s">
        <v>593</v>
      </c>
      <c r="C57" t="s">
        <v>594</v>
      </c>
      <c r="D57" t="s">
        <v>594</v>
      </c>
      <c r="E57">
        <v>202128</v>
      </c>
      <c r="F57">
        <v>202128</v>
      </c>
      <c r="G57" t="s">
        <v>11</v>
      </c>
      <c r="H57" t="s">
        <v>577</v>
      </c>
      <c r="I57" t="s">
        <v>23</v>
      </c>
    </row>
    <row r="58" spans="1:9" x14ac:dyDescent="0.75">
      <c r="A58" t="s">
        <v>592</v>
      </c>
      <c r="B58" t="s">
        <v>593</v>
      </c>
      <c r="C58" t="s">
        <v>594</v>
      </c>
      <c r="D58" t="s">
        <v>594</v>
      </c>
      <c r="E58">
        <v>217878</v>
      </c>
      <c r="F58">
        <v>217878</v>
      </c>
      <c r="G58" t="s">
        <v>11</v>
      </c>
      <c r="H58" t="s">
        <v>577</v>
      </c>
      <c r="I58" t="s">
        <v>23</v>
      </c>
    </row>
    <row r="59" spans="1:9" x14ac:dyDescent="0.75">
      <c r="A59" t="s">
        <v>528</v>
      </c>
      <c r="B59" t="s">
        <v>529</v>
      </c>
      <c r="C59" t="s">
        <v>530</v>
      </c>
      <c r="D59" t="s">
        <v>530</v>
      </c>
      <c r="E59">
        <v>7287552</v>
      </c>
      <c r="F59">
        <v>7287552</v>
      </c>
      <c r="G59" t="s">
        <v>11</v>
      </c>
      <c r="H59" t="s">
        <v>521</v>
      </c>
      <c r="I59" t="s">
        <v>23</v>
      </c>
    </row>
    <row r="60" spans="1:9" x14ac:dyDescent="0.75">
      <c r="A60" t="s">
        <v>454</v>
      </c>
      <c r="B60" t="s">
        <v>450</v>
      </c>
      <c r="C60" t="s">
        <v>451</v>
      </c>
      <c r="D60" t="s">
        <v>451</v>
      </c>
      <c r="E60">
        <v>8208</v>
      </c>
      <c r="F60">
        <v>8208</v>
      </c>
      <c r="G60" t="s">
        <v>11</v>
      </c>
      <c r="H60" t="s">
        <v>452</v>
      </c>
      <c r="I60" t="s">
        <v>23</v>
      </c>
    </row>
    <row r="61" spans="1:9" x14ac:dyDescent="0.75">
      <c r="A61" t="s">
        <v>453</v>
      </c>
      <c r="B61" t="s">
        <v>450</v>
      </c>
      <c r="C61" t="s">
        <v>451</v>
      </c>
      <c r="D61" t="s">
        <v>451</v>
      </c>
      <c r="E61">
        <v>350</v>
      </c>
      <c r="F61">
        <v>350</v>
      </c>
      <c r="G61" t="s">
        <v>11</v>
      </c>
      <c r="H61" t="s">
        <v>452</v>
      </c>
      <c r="I61" t="s">
        <v>23</v>
      </c>
    </row>
    <row r="62" spans="1:9" x14ac:dyDescent="0.75">
      <c r="A62" t="s">
        <v>449</v>
      </c>
      <c r="B62" t="s">
        <v>450</v>
      </c>
      <c r="C62" t="s">
        <v>451</v>
      </c>
      <c r="D62" t="s">
        <v>451</v>
      </c>
      <c r="E62">
        <v>1800</v>
      </c>
      <c r="F62">
        <v>1800</v>
      </c>
      <c r="G62" t="s">
        <v>11</v>
      </c>
      <c r="H62" t="s">
        <v>452</v>
      </c>
      <c r="I62" t="s">
        <v>23</v>
      </c>
    </row>
    <row r="65" spans="2:7" ht="44.25" x14ac:dyDescent="0.75">
      <c r="B65" t="s">
        <v>3100</v>
      </c>
      <c r="C65" s="13" t="s">
        <v>1</v>
      </c>
      <c r="D65" s="13" t="s">
        <v>2</v>
      </c>
      <c r="E65" s="13" t="s">
        <v>3</v>
      </c>
      <c r="F65" s="9" t="s">
        <v>3078</v>
      </c>
      <c r="G65" s="9" t="s">
        <v>3079</v>
      </c>
    </row>
    <row r="66" spans="2:7" x14ac:dyDescent="0.75">
      <c r="B66" t="s">
        <v>3101</v>
      </c>
      <c r="C66" s="14" t="str">
        <f>B40</f>
        <v>LAN-A01-OTG06</v>
      </c>
      <c r="D66" s="14" t="str">
        <f>D62</f>
        <v>Foldable Mat</v>
      </c>
      <c r="E66" s="14">
        <f>E62+E61+E60+E40</f>
        <v>17666</v>
      </c>
    </row>
    <row r="67" spans="2:7" x14ac:dyDescent="0.75">
      <c r="B67" t="s">
        <v>3101</v>
      </c>
      <c r="C67" s="14" t="str">
        <f>B43</f>
        <v>LCS-E01-LU109</v>
      </c>
      <c r="D67" s="14" t="str">
        <f>D43</f>
        <v>Microfiber sport towel</v>
      </c>
      <c r="E67" s="14">
        <f>E43+E42+E39+E36+E35+E34+E16+E15+E6</f>
        <v>431994</v>
      </c>
    </row>
    <row r="68" spans="2:7" x14ac:dyDescent="0.75">
      <c r="B68" t="s">
        <v>3105</v>
      </c>
      <c r="C68" s="14" t="str">
        <f>B50</f>
        <v>LDSY-E01-SP301</v>
      </c>
      <c r="D68" s="14" t="str">
        <f>D50</f>
        <v>Disney Fixeez E.Leclerc</v>
      </c>
      <c r="E68" s="14">
        <f>E50+E49</f>
        <v>12181248</v>
      </c>
      <c r="F68">
        <v>5.2999999999999998E-4</v>
      </c>
      <c r="G68">
        <f>F68*E68</f>
        <v>6456.0614399999995</v>
      </c>
    </row>
    <row r="69" spans="2:7" x14ac:dyDescent="0.75">
      <c r="B69" t="s">
        <v>3101</v>
      </c>
      <c r="C69" s="14" t="str">
        <f>B5</f>
        <v>LDSY-E01-TO208</v>
      </c>
      <c r="D69" s="14" t="str">
        <f>D5</f>
        <v>Kids poncho - 70x70cm</v>
      </c>
      <c r="E69" s="14">
        <f>E5</f>
        <v>5676</v>
      </c>
      <c r="G69">
        <f t="shared" ref="G69:G94" si="0">F69*E69</f>
        <v>0</v>
      </c>
    </row>
    <row r="70" spans="2:7" x14ac:dyDescent="0.75">
      <c r="B70" t="s">
        <v>3101</v>
      </c>
      <c r="C70" s="14" t="str">
        <f>B4</f>
        <v>LDSY-E01-TO209</v>
      </c>
      <c r="D70" s="14" t="str">
        <f>D4</f>
        <v>Turban - 58x27cm (indigo)</v>
      </c>
      <c r="E70" s="14">
        <f>E4</f>
        <v>8436</v>
      </c>
      <c r="G70">
        <f t="shared" si="0"/>
        <v>0</v>
      </c>
    </row>
    <row r="71" spans="2:7" x14ac:dyDescent="0.75">
      <c r="B71" t="s">
        <v>3105</v>
      </c>
      <c r="C71" s="14" t="str">
        <f>B51</f>
        <v>LHP-E01-SP301</v>
      </c>
      <c r="D71" s="14" t="str">
        <f>D51</f>
        <v>HP printed patch in FSC flowpack</v>
      </c>
      <c r="E71" s="14">
        <f>E51</f>
        <v>47500992</v>
      </c>
      <c r="F71">
        <v>5.2999999999999998E-4</v>
      </c>
      <c r="G71">
        <f t="shared" si="0"/>
        <v>25175.52576</v>
      </c>
    </row>
    <row r="72" spans="2:7" x14ac:dyDescent="0.75">
      <c r="B72" t="s">
        <v>3101</v>
      </c>
      <c r="C72" s="14" t="str">
        <f>B27</f>
        <v>LMI-E01-PLU101</v>
      </c>
      <c r="D72" s="14" t="str">
        <f>D27</f>
        <v>Minecraft Plush Steve 16cm</v>
      </c>
      <c r="E72" s="14">
        <f>E27+E7</f>
        <v>59776</v>
      </c>
      <c r="G72">
        <f t="shared" si="0"/>
        <v>0</v>
      </c>
    </row>
    <row r="73" spans="2:7" x14ac:dyDescent="0.75">
      <c r="B73" t="s">
        <v>3101</v>
      </c>
      <c r="C73" s="14" t="str">
        <f>B26</f>
        <v>LMI-E01-PLU102</v>
      </c>
      <c r="D73" s="14" t="str">
        <f>D26</f>
        <v>Minecraft Plush Alex 16cm</v>
      </c>
      <c r="E73" s="14">
        <f>E26+E8</f>
        <v>50176</v>
      </c>
      <c r="G73">
        <f t="shared" si="0"/>
        <v>0</v>
      </c>
    </row>
    <row r="74" spans="2:7" x14ac:dyDescent="0.75">
      <c r="B74" t="s">
        <v>3101</v>
      </c>
      <c r="C74" s="14" t="str">
        <f>B25</f>
        <v>LMI-E01-PLU103</v>
      </c>
      <c r="D74" s="14" t="str">
        <f>D25</f>
        <v>Minecraft Plush Creeper 16cm</v>
      </c>
      <c r="E74" s="14">
        <f>E25+E9</f>
        <v>88448</v>
      </c>
      <c r="G74">
        <f t="shared" si="0"/>
        <v>0</v>
      </c>
    </row>
    <row r="75" spans="2:7" x14ac:dyDescent="0.75">
      <c r="B75" t="s">
        <v>3101</v>
      </c>
      <c r="C75" s="14" t="str">
        <f>B24</f>
        <v>LMI-E01-PLU104</v>
      </c>
      <c r="D75" s="14" t="str">
        <f>D24</f>
        <v>Minecraft Plush Pig 16cm</v>
      </c>
      <c r="E75" s="14">
        <f>E24+E10</f>
        <v>73856</v>
      </c>
      <c r="G75">
        <f t="shared" si="0"/>
        <v>0</v>
      </c>
    </row>
    <row r="76" spans="2:7" x14ac:dyDescent="0.75">
      <c r="B76" t="s">
        <v>3101</v>
      </c>
      <c r="C76" s="14" t="str">
        <f>B11</f>
        <v>LMI-E01-PLU105</v>
      </c>
      <c r="D76" s="14" t="str">
        <f>D11</f>
        <v>Minecraft Plush Bee 16cm</v>
      </c>
      <c r="E76" s="14">
        <f>E11</f>
        <v>28800</v>
      </c>
      <c r="G76">
        <f t="shared" si="0"/>
        <v>0</v>
      </c>
    </row>
    <row r="77" spans="2:7" x14ac:dyDescent="0.75">
      <c r="B77" t="s">
        <v>3101</v>
      </c>
      <c r="C77" s="14" t="str">
        <f>B12</f>
        <v>LMI-E01-PLU106</v>
      </c>
      <c r="D77" s="14" t="str">
        <f>D12</f>
        <v>Minecraft Plush Fox 16cm</v>
      </c>
      <c r="E77" s="14">
        <f>E12</f>
        <v>28800</v>
      </c>
      <c r="G77">
        <f t="shared" si="0"/>
        <v>0</v>
      </c>
    </row>
    <row r="78" spans="2:7" x14ac:dyDescent="0.75">
      <c r="B78" t="s">
        <v>3101</v>
      </c>
      <c r="C78" s="14" t="str">
        <f>B22</f>
        <v>LMI-E01-PLU107</v>
      </c>
      <c r="D78" s="14" t="str">
        <f>D22</f>
        <v>Minecraft Plush Enderman 16cm</v>
      </c>
      <c r="E78" s="14">
        <f>E22+E14</f>
        <v>128640</v>
      </c>
      <c r="G78">
        <f t="shared" si="0"/>
        <v>0</v>
      </c>
    </row>
    <row r="79" spans="2:7" x14ac:dyDescent="0.75">
      <c r="B79" t="s">
        <v>3101</v>
      </c>
      <c r="C79" s="14" t="str">
        <f>B55</f>
        <v>LMI-E01-PLU204</v>
      </c>
      <c r="D79" s="14" t="str">
        <f>D55</f>
        <v>Minecraft Plush Pig 16cm</v>
      </c>
      <c r="E79" s="14">
        <f>E55</f>
        <v>30336</v>
      </c>
      <c r="G79">
        <f t="shared" si="0"/>
        <v>0</v>
      </c>
    </row>
    <row r="80" spans="2:7" x14ac:dyDescent="0.75">
      <c r="B80" t="s">
        <v>3101</v>
      </c>
      <c r="C80" s="14" t="str">
        <f>B54</f>
        <v>LMI-E01-PLU205</v>
      </c>
      <c r="D80" s="14" t="str">
        <f>D54</f>
        <v>Minecraft Plush Bee 16cm</v>
      </c>
      <c r="E80" s="14">
        <f>E54</f>
        <v>30080</v>
      </c>
      <c r="G80">
        <f t="shared" si="0"/>
        <v>0</v>
      </c>
    </row>
    <row r="81" spans="2:9" x14ac:dyDescent="0.75">
      <c r="B81" t="s">
        <v>3101</v>
      </c>
      <c r="C81" s="14" t="str">
        <f>B53</f>
        <v>LMI-E01-PLU206</v>
      </c>
      <c r="D81" s="14" t="str">
        <f>D53</f>
        <v>Minecraft Plush Fox 16cm</v>
      </c>
      <c r="E81" s="14">
        <f>E53</f>
        <v>30336</v>
      </c>
      <c r="G81">
        <f t="shared" si="0"/>
        <v>0</v>
      </c>
    </row>
    <row r="82" spans="2:9" x14ac:dyDescent="0.75">
      <c r="B82" t="s">
        <v>3101</v>
      </c>
      <c r="C82" s="14" t="str">
        <f>B56</f>
        <v>LMI-E01-PLU207</v>
      </c>
      <c r="D82" s="14" t="str">
        <f>D56</f>
        <v>Minecraft Plush Enderman 16cm</v>
      </c>
      <c r="E82" s="14">
        <f>E56</f>
        <v>30272</v>
      </c>
      <c r="G82">
        <f t="shared" si="0"/>
        <v>0</v>
      </c>
    </row>
    <row r="83" spans="2:9" x14ac:dyDescent="0.75">
      <c r="B83" t="s">
        <v>3105</v>
      </c>
      <c r="C83" s="14" t="str">
        <f>B23</f>
        <v>LMI-E01-SP303</v>
      </c>
      <c r="D83" s="14" t="str">
        <f>D23</f>
        <v>24 Tagz Minecraft</v>
      </c>
      <c r="E83" s="14">
        <f>E23</f>
        <v>3297600</v>
      </c>
      <c r="G83">
        <f t="shared" si="0"/>
        <v>0</v>
      </c>
    </row>
    <row r="84" spans="2:9" x14ac:dyDescent="0.75">
      <c r="B84" t="s">
        <v>3105</v>
      </c>
      <c r="C84" s="14" t="str">
        <f>B59</f>
        <v>LMI-E01-SP404</v>
      </c>
      <c r="D84" s="14" t="str">
        <f>D59</f>
        <v>Minecraft Tagz in flowpack</v>
      </c>
      <c r="E84" s="14">
        <f>E46+E59</f>
        <v>20040768</v>
      </c>
      <c r="F84">
        <v>5.2999999999999998E-4</v>
      </c>
      <c r="G84">
        <f t="shared" si="0"/>
        <v>10621.607039999999</v>
      </c>
    </row>
    <row r="85" spans="2:9" x14ac:dyDescent="0.75">
      <c r="B85" t="s">
        <v>3101</v>
      </c>
      <c r="C85" s="14" t="str">
        <f>B21</f>
        <v>LMI-E01-TX101</v>
      </c>
      <c r="D85" s="14" t="str">
        <f>D21</f>
        <v>Minecraft beach towel</v>
      </c>
      <c r="E85" s="14">
        <f>E21+E13</f>
        <v>35904</v>
      </c>
      <c r="G85">
        <f t="shared" si="0"/>
        <v>0</v>
      </c>
      <c r="I85" t="s">
        <v>3099</v>
      </c>
    </row>
    <row r="86" spans="2:9" x14ac:dyDescent="0.75">
      <c r="B86" t="s">
        <v>3101</v>
      </c>
      <c r="C86" s="14" t="str">
        <f>B52</f>
        <v>LMI-E01-TX201</v>
      </c>
      <c r="D86" s="14" t="str">
        <f>D52</f>
        <v>Minecraft beach towel</v>
      </c>
      <c r="E86" s="14">
        <f>E52</f>
        <v>5152</v>
      </c>
      <c r="G86">
        <f t="shared" si="0"/>
        <v>0</v>
      </c>
    </row>
    <row r="87" spans="2:9" x14ac:dyDescent="0.75">
      <c r="B87" t="s">
        <v>3101</v>
      </c>
      <c r="C87" s="14" t="str">
        <f>B31</f>
        <v>LPK-E01-CU01</v>
      </c>
      <c r="D87" s="14" t="str">
        <f>D31</f>
        <v>Pikachu cushion</v>
      </c>
      <c r="E87" s="14">
        <f>E31</f>
        <v>15576</v>
      </c>
      <c r="G87">
        <f t="shared" si="0"/>
        <v>0</v>
      </c>
    </row>
    <row r="88" spans="2:9" x14ac:dyDescent="0.75">
      <c r="B88" t="s">
        <v>3101</v>
      </c>
      <c r="C88" s="14" t="str">
        <f>B30</f>
        <v>LPK-E01-CU02</v>
      </c>
      <c r="D88" s="14" t="str">
        <f>D30</f>
        <v>Evoli (Eevee) cushion</v>
      </c>
      <c r="E88" s="14">
        <f>E30</f>
        <v>4352</v>
      </c>
      <c r="G88">
        <f t="shared" si="0"/>
        <v>0</v>
      </c>
    </row>
    <row r="89" spans="2:9" x14ac:dyDescent="0.75">
      <c r="B89" t="s">
        <v>3101</v>
      </c>
      <c r="C89" s="14" t="str">
        <f>B29</f>
        <v>LPK-E01-CU03</v>
      </c>
      <c r="D89" s="14" t="str">
        <f>D29</f>
        <v>Bulbizarre (Bulbasaur) cushion</v>
      </c>
      <c r="E89" s="14">
        <f>E29</f>
        <v>5808</v>
      </c>
      <c r="G89">
        <f t="shared" si="0"/>
        <v>0</v>
      </c>
    </row>
    <row r="90" spans="2:9" x14ac:dyDescent="0.75">
      <c r="B90" t="s">
        <v>3101</v>
      </c>
      <c r="C90" s="14" t="str">
        <f>B28</f>
        <v>LPK-E01-CU04</v>
      </c>
      <c r="D90" s="14" t="str">
        <f>D28</f>
        <v>Salamèche (Charmander) cushion</v>
      </c>
      <c r="E90" s="14">
        <f>E28</f>
        <v>7712</v>
      </c>
      <c r="G90">
        <f t="shared" si="0"/>
        <v>0</v>
      </c>
    </row>
    <row r="91" spans="2:9" x14ac:dyDescent="0.75">
      <c r="B91" t="s">
        <v>3101</v>
      </c>
      <c r="C91" s="14" t="str">
        <f>B48</f>
        <v>LPX-L01-TEX101</v>
      </c>
      <c r="D91" s="14" t="str">
        <f>D48</f>
        <v>Disney Pixar beach towel Nemo</v>
      </c>
      <c r="E91" s="14">
        <f>E18+E20+E33+E45+E48</f>
        <v>162142</v>
      </c>
      <c r="G91">
        <f t="shared" si="0"/>
        <v>0</v>
      </c>
    </row>
    <row r="92" spans="2:9" x14ac:dyDescent="0.75">
      <c r="B92" t="s">
        <v>3101</v>
      </c>
      <c r="C92" s="14" t="str">
        <f>B47</f>
        <v>LPX-L01-TEX102</v>
      </c>
      <c r="D92" s="14" t="str">
        <f>D47</f>
        <v>Disney Pixar beach towel Dory</v>
      </c>
      <c r="E92" s="14">
        <f>E47+E44+E32+E19+E17</f>
        <v>126902</v>
      </c>
      <c r="G92">
        <f t="shared" si="0"/>
        <v>0</v>
      </c>
    </row>
    <row r="93" spans="2:9" x14ac:dyDescent="0.75">
      <c r="B93" t="s">
        <v>3101</v>
      </c>
      <c r="C93" s="14" t="str">
        <f>B38</f>
        <v>LUB-E01-TX101</v>
      </c>
      <c r="D93" s="14" t="str">
        <f>D38</f>
        <v>Kitchen towel set of 3 pieces</v>
      </c>
      <c r="E93" s="14">
        <f>E38+E37</f>
        <v>170004</v>
      </c>
      <c r="G93">
        <f t="shared" si="0"/>
        <v>0</v>
      </c>
    </row>
    <row r="94" spans="2:9" x14ac:dyDescent="0.75">
      <c r="B94" t="s">
        <v>3101</v>
      </c>
      <c r="C94" s="14" t="str">
        <f>B58</f>
        <v>LUB-E09-TX102</v>
      </c>
      <c r="D94" s="14" t="str">
        <f>D58</f>
        <v>BLANKET</v>
      </c>
      <c r="E94" s="14">
        <f>E58+E57</f>
        <v>420006</v>
      </c>
      <c r="G94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BA479-2991-4E65-AEBB-8CA7EC2F9CE2}">
  <dimension ref="A1:I34"/>
  <sheetViews>
    <sheetView topLeftCell="A23" workbookViewId="0">
      <selection activeCell="B27" sqref="B27:B34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0.179687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3081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2927</v>
      </c>
      <c r="B4" t="s">
        <v>2928</v>
      </c>
      <c r="C4" t="s">
        <v>2929</v>
      </c>
      <c r="D4" t="s">
        <v>2929</v>
      </c>
      <c r="E4">
        <v>5244</v>
      </c>
      <c r="F4">
        <v>0</v>
      </c>
      <c r="G4" t="s">
        <v>196</v>
      </c>
      <c r="H4" t="s">
        <v>2908</v>
      </c>
      <c r="I4" t="s">
        <v>262</v>
      </c>
    </row>
    <row r="5" spans="1:9" x14ac:dyDescent="0.75">
      <c r="A5" t="s">
        <v>2824</v>
      </c>
      <c r="B5" t="s">
        <v>384</v>
      </c>
      <c r="C5" t="s">
        <v>385</v>
      </c>
      <c r="D5" t="s">
        <v>385</v>
      </c>
      <c r="E5">
        <v>1</v>
      </c>
      <c r="F5">
        <v>0</v>
      </c>
      <c r="G5" t="s">
        <v>11</v>
      </c>
      <c r="H5" t="s">
        <v>2821</v>
      </c>
      <c r="I5" t="s">
        <v>262</v>
      </c>
    </row>
    <row r="6" spans="1:9" x14ac:dyDescent="0.75">
      <c r="A6" t="s">
        <v>2818</v>
      </c>
      <c r="B6" t="s">
        <v>972</v>
      </c>
      <c r="C6" t="s">
        <v>973</v>
      </c>
      <c r="D6" t="s">
        <v>973</v>
      </c>
      <c r="E6">
        <v>18648</v>
      </c>
      <c r="F6">
        <v>0</v>
      </c>
      <c r="G6" t="s">
        <v>196</v>
      </c>
      <c r="H6" t="s">
        <v>2787</v>
      </c>
      <c r="I6" t="s">
        <v>262</v>
      </c>
    </row>
    <row r="7" spans="1:9" x14ac:dyDescent="0.75">
      <c r="A7" t="s">
        <v>2697</v>
      </c>
      <c r="B7" t="s">
        <v>974</v>
      </c>
      <c r="C7" t="s">
        <v>975</v>
      </c>
      <c r="D7" t="s">
        <v>975</v>
      </c>
      <c r="E7">
        <v>54138</v>
      </c>
      <c r="F7">
        <v>0</v>
      </c>
      <c r="G7" t="s">
        <v>196</v>
      </c>
      <c r="H7" t="s">
        <v>2089</v>
      </c>
      <c r="I7" t="s">
        <v>262</v>
      </c>
    </row>
    <row r="8" spans="1:9" x14ac:dyDescent="0.75">
      <c r="A8" t="s">
        <v>2697</v>
      </c>
      <c r="B8" t="s">
        <v>972</v>
      </c>
      <c r="C8" t="s">
        <v>973</v>
      </c>
      <c r="D8" t="s">
        <v>973</v>
      </c>
      <c r="E8">
        <v>43548</v>
      </c>
      <c r="F8">
        <v>0</v>
      </c>
      <c r="G8" t="s">
        <v>196</v>
      </c>
      <c r="H8" t="s">
        <v>2089</v>
      </c>
      <c r="I8" t="s">
        <v>262</v>
      </c>
    </row>
    <row r="9" spans="1:9" x14ac:dyDescent="0.75">
      <c r="A9" t="s">
        <v>2697</v>
      </c>
      <c r="B9" t="s">
        <v>970</v>
      </c>
      <c r="C9" t="s">
        <v>971</v>
      </c>
      <c r="D9" t="s">
        <v>971</v>
      </c>
      <c r="E9">
        <v>18528</v>
      </c>
      <c r="F9">
        <v>0</v>
      </c>
      <c r="G9" t="s">
        <v>196</v>
      </c>
      <c r="H9" t="s">
        <v>2089</v>
      </c>
      <c r="I9" t="s">
        <v>262</v>
      </c>
    </row>
    <row r="10" spans="1:9" x14ac:dyDescent="0.75">
      <c r="A10" t="s">
        <v>2694</v>
      </c>
      <c r="B10" t="s">
        <v>974</v>
      </c>
      <c r="C10" t="s">
        <v>975</v>
      </c>
      <c r="D10" t="s">
        <v>975</v>
      </c>
      <c r="E10">
        <v>22680</v>
      </c>
      <c r="F10">
        <v>0</v>
      </c>
      <c r="G10" t="s">
        <v>196</v>
      </c>
      <c r="H10" t="s">
        <v>2089</v>
      </c>
      <c r="I10" t="s">
        <v>262</v>
      </c>
    </row>
    <row r="11" spans="1:9" x14ac:dyDescent="0.75">
      <c r="A11" t="s">
        <v>2694</v>
      </c>
      <c r="B11" t="s">
        <v>972</v>
      </c>
      <c r="C11" t="s">
        <v>973</v>
      </c>
      <c r="D11" t="s">
        <v>973</v>
      </c>
      <c r="E11">
        <v>36792</v>
      </c>
      <c r="F11">
        <v>0</v>
      </c>
      <c r="G11" t="s">
        <v>196</v>
      </c>
      <c r="H11" t="s">
        <v>2089</v>
      </c>
      <c r="I11" t="s">
        <v>262</v>
      </c>
    </row>
    <row r="12" spans="1:9" x14ac:dyDescent="0.75">
      <c r="A12" t="s">
        <v>2114</v>
      </c>
      <c r="B12" t="s">
        <v>974</v>
      </c>
      <c r="C12" t="s">
        <v>975</v>
      </c>
      <c r="D12" t="s">
        <v>975</v>
      </c>
      <c r="E12">
        <v>20370</v>
      </c>
      <c r="F12">
        <v>20370</v>
      </c>
      <c r="G12" t="s">
        <v>11</v>
      </c>
      <c r="H12" t="s">
        <v>2026</v>
      </c>
      <c r="I12" t="s">
        <v>262</v>
      </c>
    </row>
    <row r="13" spans="1:9" x14ac:dyDescent="0.75">
      <c r="A13" t="s">
        <v>2114</v>
      </c>
      <c r="B13" t="s">
        <v>972</v>
      </c>
      <c r="C13" t="s">
        <v>973</v>
      </c>
      <c r="D13" t="s">
        <v>973</v>
      </c>
      <c r="E13">
        <v>29946</v>
      </c>
      <c r="F13">
        <v>29946</v>
      </c>
      <c r="G13" t="s">
        <v>11</v>
      </c>
      <c r="H13" t="s">
        <v>2026</v>
      </c>
      <c r="I13" t="s">
        <v>262</v>
      </c>
    </row>
    <row r="14" spans="1:9" x14ac:dyDescent="0.75">
      <c r="A14" t="s">
        <v>1370</v>
      </c>
      <c r="B14" t="s">
        <v>974</v>
      </c>
      <c r="C14" t="s">
        <v>975</v>
      </c>
      <c r="D14" t="s">
        <v>975</v>
      </c>
      <c r="E14">
        <v>88722</v>
      </c>
      <c r="F14">
        <v>88722</v>
      </c>
      <c r="G14" t="s">
        <v>11</v>
      </c>
      <c r="H14" t="s">
        <v>1371</v>
      </c>
      <c r="I14" t="s">
        <v>262</v>
      </c>
    </row>
    <row r="15" spans="1:9" x14ac:dyDescent="0.75">
      <c r="A15" t="s">
        <v>1370</v>
      </c>
      <c r="B15" t="s">
        <v>972</v>
      </c>
      <c r="C15" t="s">
        <v>973</v>
      </c>
      <c r="D15" t="s">
        <v>973</v>
      </c>
      <c r="E15">
        <v>143118</v>
      </c>
      <c r="F15">
        <v>143118</v>
      </c>
      <c r="G15" t="s">
        <v>11</v>
      </c>
      <c r="H15" t="s">
        <v>1371</v>
      </c>
      <c r="I15" t="s">
        <v>262</v>
      </c>
    </row>
    <row r="16" spans="1:9" x14ac:dyDescent="0.75">
      <c r="A16" t="s">
        <v>1370</v>
      </c>
      <c r="B16" t="s">
        <v>970</v>
      </c>
      <c r="C16" t="s">
        <v>971</v>
      </c>
      <c r="D16" t="s">
        <v>971</v>
      </c>
      <c r="E16">
        <v>82344</v>
      </c>
      <c r="F16">
        <v>82344</v>
      </c>
      <c r="G16" t="s">
        <v>11</v>
      </c>
      <c r="H16" t="s">
        <v>1371</v>
      </c>
      <c r="I16" t="s">
        <v>262</v>
      </c>
    </row>
    <row r="17" spans="1:9" x14ac:dyDescent="0.75">
      <c r="A17" t="s">
        <v>969</v>
      </c>
      <c r="B17" t="s">
        <v>974</v>
      </c>
      <c r="C17" t="s">
        <v>975</v>
      </c>
      <c r="D17" t="s">
        <v>975</v>
      </c>
      <c r="E17">
        <v>3468</v>
      </c>
      <c r="F17">
        <v>3468</v>
      </c>
      <c r="G17" t="s">
        <v>11</v>
      </c>
      <c r="H17" t="s">
        <v>945</v>
      </c>
      <c r="I17" t="s">
        <v>262</v>
      </c>
    </row>
    <row r="18" spans="1:9" x14ac:dyDescent="0.75">
      <c r="A18" t="s">
        <v>969</v>
      </c>
      <c r="B18" t="s">
        <v>972</v>
      </c>
      <c r="C18" t="s">
        <v>973</v>
      </c>
      <c r="D18" t="s">
        <v>973</v>
      </c>
      <c r="E18">
        <v>5694</v>
      </c>
      <c r="F18">
        <v>5694</v>
      </c>
      <c r="G18" t="s">
        <v>11</v>
      </c>
      <c r="H18" t="s">
        <v>945</v>
      </c>
      <c r="I18" t="s">
        <v>262</v>
      </c>
    </row>
    <row r="19" spans="1:9" x14ac:dyDescent="0.75">
      <c r="A19" t="s">
        <v>969</v>
      </c>
      <c r="B19" t="s">
        <v>970</v>
      </c>
      <c r="C19" t="s">
        <v>971</v>
      </c>
      <c r="D19" t="s">
        <v>971</v>
      </c>
      <c r="E19">
        <v>3216</v>
      </c>
      <c r="F19">
        <v>3216</v>
      </c>
      <c r="G19" t="s">
        <v>11</v>
      </c>
      <c r="H19" t="s">
        <v>945</v>
      </c>
      <c r="I19" t="s">
        <v>262</v>
      </c>
    </row>
    <row r="20" spans="1:9" x14ac:dyDescent="0.75">
      <c r="A20" t="s">
        <v>617</v>
      </c>
      <c r="B20" t="s">
        <v>618</v>
      </c>
      <c r="C20" t="s">
        <v>619</v>
      </c>
      <c r="D20" t="s">
        <v>619</v>
      </c>
      <c r="E20">
        <v>85000</v>
      </c>
      <c r="F20">
        <v>85000</v>
      </c>
      <c r="G20" t="s">
        <v>11</v>
      </c>
      <c r="H20" t="s">
        <v>577</v>
      </c>
      <c r="I20" t="s">
        <v>262</v>
      </c>
    </row>
    <row r="21" spans="1:9" x14ac:dyDescent="0.75">
      <c r="A21" t="s">
        <v>540</v>
      </c>
      <c r="B21" t="s">
        <v>541</v>
      </c>
      <c r="C21" t="s">
        <v>261</v>
      </c>
      <c r="D21" t="s">
        <v>542</v>
      </c>
      <c r="E21">
        <v>4032</v>
      </c>
      <c r="F21">
        <v>4032</v>
      </c>
      <c r="G21" t="s">
        <v>11</v>
      </c>
      <c r="H21" t="s">
        <v>521</v>
      </c>
      <c r="I21" t="s">
        <v>262</v>
      </c>
    </row>
    <row r="22" spans="1:9" x14ac:dyDescent="0.75">
      <c r="A22" t="s">
        <v>537</v>
      </c>
      <c r="B22" t="s">
        <v>538</v>
      </c>
      <c r="C22" t="s">
        <v>539</v>
      </c>
      <c r="D22" t="s">
        <v>539</v>
      </c>
      <c r="E22">
        <v>12960</v>
      </c>
      <c r="F22">
        <v>12960</v>
      </c>
      <c r="G22" t="s">
        <v>11</v>
      </c>
      <c r="H22" t="s">
        <v>521</v>
      </c>
      <c r="I22" t="s">
        <v>262</v>
      </c>
    </row>
    <row r="23" spans="1:9" x14ac:dyDescent="0.75">
      <c r="A23" t="s">
        <v>259</v>
      </c>
      <c r="B23" t="s">
        <v>260</v>
      </c>
      <c r="C23" t="s">
        <v>261</v>
      </c>
      <c r="D23" t="s">
        <v>261</v>
      </c>
      <c r="E23">
        <v>5148</v>
      </c>
      <c r="F23">
        <v>5148</v>
      </c>
      <c r="G23" t="s">
        <v>11</v>
      </c>
      <c r="H23" t="s">
        <v>242</v>
      </c>
      <c r="I23" t="s">
        <v>262</v>
      </c>
    </row>
    <row r="26" spans="1:9" ht="44.25" x14ac:dyDescent="0.75">
      <c r="C26" s="8" t="s">
        <v>1</v>
      </c>
      <c r="D26" s="8" t="s">
        <v>2</v>
      </c>
      <c r="E26" s="8" t="s">
        <v>3</v>
      </c>
      <c r="F26" s="9" t="s">
        <v>3078</v>
      </c>
      <c r="G26" s="9" t="s">
        <v>3079</v>
      </c>
    </row>
    <row r="27" spans="1:9" x14ac:dyDescent="0.75">
      <c r="B27" t="s">
        <v>3101</v>
      </c>
      <c r="C27" t="str">
        <f>B4</f>
        <v>LDSY-E01-BAG101</v>
      </c>
      <c r="D27" t="str">
        <f>D4</f>
        <v>Disney Mickey bag Wellness</v>
      </c>
      <c r="E27">
        <f>E4</f>
        <v>5244</v>
      </c>
    </row>
    <row r="28" spans="1:9" x14ac:dyDescent="0.75">
      <c r="B28" t="s">
        <v>3101</v>
      </c>
      <c r="C28" t="str">
        <f>B20</f>
        <v>LHP-L01-DRAW01</v>
      </c>
      <c r="D28" t="str">
        <f>D20</f>
        <v>Harry Potter String Bag with Poster</v>
      </c>
      <c r="E28">
        <f>E20</f>
        <v>85000</v>
      </c>
    </row>
    <row r="29" spans="1:9" x14ac:dyDescent="0.75">
      <c r="B29" t="s">
        <v>3101</v>
      </c>
      <c r="C29" t="str">
        <f>B23</f>
        <v>LMI-E01-LG101</v>
      </c>
      <c r="D29" t="str">
        <f>D23</f>
        <v>Minecraft duffle trolley</v>
      </c>
      <c r="E29">
        <f>E23</f>
        <v>5148</v>
      </c>
    </row>
    <row r="30" spans="1:9" x14ac:dyDescent="0.75">
      <c r="B30" t="s">
        <v>3101</v>
      </c>
      <c r="C30" t="str">
        <f>B22</f>
        <v>LMI-E01-UM201</v>
      </c>
      <c r="D30" t="str">
        <f>D22</f>
        <v>Minecraft umbrella</v>
      </c>
      <c r="E30">
        <f>E22</f>
        <v>12960</v>
      </c>
    </row>
    <row r="31" spans="1:9" x14ac:dyDescent="0.75">
      <c r="B31" t="s">
        <v>3101</v>
      </c>
      <c r="C31" t="str">
        <f>B21</f>
        <v>LMI-L01-LG201</v>
      </c>
      <c r="D31" t="str">
        <f>D21</f>
        <v>Minecraft Duffle Trolley</v>
      </c>
      <c r="E31">
        <f>E21</f>
        <v>4032</v>
      </c>
    </row>
    <row r="32" spans="1:9" x14ac:dyDescent="0.75">
      <c r="B32" t="s">
        <v>3101</v>
      </c>
      <c r="C32" t="str">
        <f>B17</f>
        <v>LPX-L01-BAG101</v>
      </c>
      <c r="D32" t="str">
        <f>D17</f>
        <v>Disney Pixar beach bag Anxiety</v>
      </c>
      <c r="E32">
        <f>E17+E14+E12+E10+E7</f>
        <v>189378</v>
      </c>
    </row>
    <row r="33" spans="2:5" x14ac:dyDescent="0.75">
      <c r="B33" t="s">
        <v>3101</v>
      </c>
      <c r="C33" t="str">
        <f>B19</f>
        <v>LPX-L01-BPK101</v>
      </c>
      <c r="D33" t="str">
        <f>D19</f>
        <v>Disney Pixar backpack Woody</v>
      </c>
      <c r="E33">
        <f>E19+E16+E9</f>
        <v>104088</v>
      </c>
    </row>
    <row r="34" spans="2:5" x14ac:dyDescent="0.75">
      <c r="B34" t="s">
        <v>3101</v>
      </c>
      <c r="C34" t="str">
        <f>B18</f>
        <v>LPX-L01-LUN101</v>
      </c>
      <c r="D34" t="str">
        <f>D18</f>
        <v>Disney Pixar lunch bag Remy</v>
      </c>
      <c r="E34">
        <f>E18+E15+E13+E11+E8+E6</f>
        <v>277746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44D0-5635-40D5-AC82-0D110A2309CD}">
  <dimension ref="A1:I16"/>
  <sheetViews>
    <sheetView workbookViewId="0">
      <selection activeCell="B14" sqref="B14:B16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1.4531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3082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1954</v>
      </c>
      <c r="B4" t="s">
        <v>1951</v>
      </c>
      <c r="C4" t="s">
        <v>1952</v>
      </c>
      <c r="D4" t="s">
        <v>1952</v>
      </c>
      <c r="E4">
        <v>60000</v>
      </c>
      <c r="F4">
        <v>60000</v>
      </c>
      <c r="G4" t="s">
        <v>11</v>
      </c>
      <c r="H4" t="s">
        <v>1943</v>
      </c>
      <c r="I4" t="s">
        <v>583</v>
      </c>
    </row>
    <row r="5" spans="1:9" x14ac:dyDescent="0.75">
      <c r="A5" t="s">
        <v>1953</v>
      </c>
      <c r="B5" t="s">
        <v>1951</v>
      </c>
      <c r="C5" t="s">
        <v>1952</v>
      </c>
      <c r="D5" t="s">
        <v>1952</v>
      </c>
      <c r="E5">
        <v>70002</v>
      </c>
      <c r="F5">
        <v>70002</v>
      </c>
      <c r="G5" t="s">
        <v>11</v>
      </c>
      <c r="H5" t="s">
        <v>1943</v>
      </c>
      <c r="I5" t="s">
        <v>583</v>
      </c>
    </row>
    <row r="6" spans="1:9" x14ac:dyDescent="0.75">
      <c r="A6" t="s">
        <v>1950</v>
      </c>
      <c r="B6" t="s">
        <v>1951</v>
      </c>
      <c r="C6" t="s">
        <v>1952</v>
      </c>
      <c r="D6" t="s">
        <v>1952</v>
      </c>
      <c r="E6">
        <v>70002</v>
      </c>
      <c r="F6">
        <v>70002</v>
      </c>
      <c r="G6" t="s">
        <v>11</v>
      </c>
      <c r="H6" t="s">
        <v>1943</v>
      </c>
      <c r="I6" t="s">
        <v>583</v>
      </c>
    </row>
    <row r="7" spans="1:9" x14ac:dyDescent="0.75">
      <c r="A7" t="s">
        <v>595</v>
      </c>
      <c r="B7" t="s">
        <v>584</v>
      </c>
      <c r="C7" t="s">
        <v>585</v>
      </c>
      <c r="D7" t="s">
        <v>585</v>
      </c>
      <c r="E7">
        <v>61688</v>
      </c>
      <c r="F7">
        <v>61688</v>
      </c>
      <c r="G7" t="s">
        <v>11</v>
      </c>
      <c r="H7" t="s">
        <v>577</v>
      </c>
      <c r="I7" t="s">
        <v>583</v>
      </c>
    </row>
    <row r="8" spans="1:9" x14ac:dyDescent="0.75">
      <c r="A8" t="s">
        <v>595</v>
      </c>
      <c r="B8" t="s">
        <v>581</v>
      </c>
      <c r="C8" t="s">
        <v>582</v>
      </c>
      <c r="D8" t="s">
        <v>582</v>
      </c>
      <c r="E8">
        <v>120128</v>
      </c>
      <c r="F8">
        <v>120128</v>
      </c>
      <c r="G8" t="s">
        <v>11</v>
      </c>
      <c r="H8" t="s">
        <v>577</v>
      </c>
      <c r="I8" t="s">
        <v>583</v>
      </c>
    </row>
    <row r="9" spans="1:9" x14ac:dyDescent="0.75">
      <c r="A9" t="s">
        <v>580</v>
      </c>
      <c r="B9" t="s">
        <v>584</v>
      </c>
      <c r="C9" t="s">
        <v>585</v>
      </c>
      <c r="D9" t="s">
        <v>585</v>
      </c>
      <c r="E9">
        <v>108312</v>
      </c>
      <c r="F9">
        <v>108312</v>
      </c>
      <c r="G9" t="s">
        <v>11</v>
      </c>
      <c r="H9" t="s">
        <v>577</v>
      </c>
      <c r="I9" t="s">
        <v>583</v>
      </c>
    </row>
    <row r="10" spans="1:9" x14ac:dyDescent="0.75">
      <c r="A10" t="s">
        <v>580</v>
      </c>
      <c r="B10" t="s">
        <v>581</v>
      </c>
      <c r="C10" t="s">
        <v>582</v>
      </c>
      <c r="D10" t="s">
        <v>582</v>
      </c>
      <c r="E10">
        <v>129872</v>
      </c>
      <c r="F10">
        <v>129872</v>
      </c>
      <c r="G10" t="s">
        <v>11</v>
      </c>
      <c r="H10" t="s">
        <v>577</v>
      </c>
      <c r="I10" t="s">
        <v>583</v>
      </c>
    </row>
    <row r="13" spans="1:9" ht="44.25" x14ac:dyDescent="0.75">
      <c r="C13" s="8" t="s">
        <v>1</v>
      </c>
      <c r="D13" s="8" t="s">
        <v>2</v>
      </c>
      <c r="E13" s="8" t="s">
        <v>3</v>
      </c>
      <c r="F13" s="9" t="s">
        <v>3078</v>
      </c>
      <c r="G13" s="9" t="s">
        <v>3079</v>
      </c>
    </row>
    <row r="14" spans="1:9" x14ac:dyDescent="0.75">
      <c r="B14" t="s">
        <v>3103</v>
      </c>
      <c r="C14" t="str">
        <f>B6</f>
        <v>LUB-E09-CL101</v>
      </c>
      <c r="D14" t="str">
        <f>D6</f>
        <v>Alarm Clock</v>
      </c>
      <c r="E14">
        <f>E6+E5+E4</f>
        <v>200004</v>
      </c>
    </row>
    <row r="15" spans="1:9" x14ac:dyDescent="0.75">
      <c r="B15" t="s">
        <v>3103</v>
      </c>
      <c r="C15" t="str">
        <f>B7</f>
        <v>LUB-E09-TO104</v>
      </c>
      <c r="D15" t="str">
        <f>D7</f>
        <v>MONEY BANK</v>
      </c>
      <c r="E15">
        <f>E7+E9</f>
        <v>170000</v>
      </c>
    </row>
    <row r="16" spans="1:9" x14ac:dyDescent="0.75">
      <c r="B16" t="s">
        <v>3103</v>
      </c>
      <c r="C16" t="str">
        <f>B10</f>
        <v>LUB-E09-LI103</v>
      </c>
      <c r="D16" t="str">
        <f>D10</f>
        <v>NIGHTLIGHT PROJECTOR</v>
      </c>
      <c r="E16">
        <f>E10+E8</f>
        <v>250000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34D6-A5F7-40F3-BCB4-23DBFBAD8C93}">
  <dimension ref="A1:I21"/>
  <sheetViews>
    <sheetView topLeftCell="A12" workbookViewId="0">
      <selection activeCell="B15" sqref="B15:B21"/>
    </sheetView>
  </sheetViews>
  <sheetFormatPr defaultRowHeight="14.75" x14ac:dyDescent="0.75"/>
  <cols>
    <col min="1" max="1" width="23.31640625" bestFit="1" customWidth="1"/>
    <col min="2" max="2" width="31.54296875" bestFit="1" customWidth="1"/>
    <col min="3" max="3" width="32.7265625" bestFit="1" customWidth="1"/>
    <col min="4" max="4" width="35.5" bestFit="1" customWidth="1"/>
    <col min="5" max="5" width="10.04296875" bestFit="1" customWidth="1"/>
    <col min="6" max="6" width="18.04296875" bestFit="1" customWidth="1"/>
    <col min="7" max="7" width="8.76953125" bestFit="1" customWidth="1"/>
    <col min="8" max="8" width="20.1796875" bestFit="1" customWidth="1"/>
    <col min="9" max="9" width="30.36328125" bestFit="1" customWidth="1"/>
  </cols>
  <sheetData>
    <row r="1" spans="1:9" x14ac:dyDescent="0.75">
      <c r="A1" s="6" t="s">
        <v>3080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2913</v>
      </c>
      <c r="B4" t="s">
        <v>2924</v>
      </c>
      <c r="C4" t="s">
        <v>2925</v>
      </c>
      <c r="D4" t="s">
        <v>2925</v>
      </c>
      <c r="E4">
        <v>54138</v>
      </c>
      <c r="F4">
        <v>0</v>
      </c>
      <c r="G4" t="s">
        <v>196</v>
      </c>
      <c r="H4" t="s">
        <v>2912</v>
      </c>
      <c r="I4" t="s">
        <v>2179</v>
      </c>
    </row>
    <row r="5" spans="1:9" x14ac:dyDescent="0.75">
      <c r="A5" t="s">
        <v>2913</v>
      </c>
      <c r="B5" t="s">
        <v>2922</v>
      </c>
      <c r="C5" t="s">
        <v>2923</v>
      </c>
      <c r="D5" t="s">
        <v>2923</v>
      </c>
      <c r="E5">
        <v>60018</v>
      </c>
      <c r="F5">
        <v>0</v>
      </c>
      <c r="G5" t="s">
        <v>196</v>
      </c>
      <c r="H5" t="s">
        <v>2912</v>
      </c>
      <c r="I5" t="s">
        <v>2179</v>
      </c>
    </row>
    <row r="6" spans="1:9" x14ac:dyDescent="0.75">
      <c r="A6" t="s">
        <v>2913</v>
      </c>
      <c r="B6" t="s">
        <v>2920</v>
      </c>
      <c r="C6" t="s">
        <v>2921</v>
      </c>
      <c r="D6" t="s">
        <v>2921</v>
      </c>
      <c r="E6">
        <v>42018</v>
      </c>
      <c r="F6">
        <v>0</v>
      </c>
      <c r="G6" t="s">
        <v>196</v>
      </c>
      <c r="H6" t="s">
        <v>2912</v>
      </c>
      <c r="I6" t="s">
        <v>2179</v>
      </c>
    </row>
    <row r="7" spans="1:9" x14ac:dyDescent="0.75">
      <c r="A7" t="s">
        <v>2913</v>
      </c>
      <c r="B7" t="s">
        <v>2918</v>
      </c>
      <c r="C7" t="s">
        <v>2919</v>
      </c>
      <c r="D7" t="s">
        <v>2919</v>
      </c>
      <c r="E7">
        <v>42426</v>
      </c>
      <c r="F7">
        <v>0</v>
      </c>
      <c r="G7" t="s">
        <v>196</v>
      </c>
      <c r="H7" t="s">
        <v>2912</v>
      </c>
      <c r="I7" t="s">
        <v>2179</v>
      </c>
    </row>
    <row r="8" spans="1:9" x14ac:dyDescent="0.75">
      <c r="A8" t="s">
        <v>2913</v>
      </c>
      <c r="B8" t="s">
        <v>2916</v>
      </c>
      <c r="C8" t="s">
        <v>2917</v>
      </c>
      <c r="D8" t="s">
        <v>2917</v>
      </c>
      <c r="E8">
        <v>54450</v>
      </c>
      <c r="F8">
        <v>0</v>
      </c>
      <c r="G8" t="s">
        <v>196</v>
      </c>
      <c r="H8" t="s">
        <v>2912</v>
      </c>
      <c r="I8" t="s">
        <v>2179</v>
      </c>
    </row>
    <row r="9" spans="1:9" x14ac:dyDescent="0.75">
      <c r="A9" t="s">
        <v>2913</v>
      </c>
      <c r="B9" t="s">
        <v>2914</v>
      </c>
      <c r="C9" t="s">
        <v>2915</v>
      </c>
      <c r="D9" t="s">
        <v>2915</v>
      </c>
      <c r="E9">
        <v>48402</v>
      </c>
      <c r="F9">
        <v>0</v>
      </c>
      <c r="G9" t="s">
        <v>196</v>
      </c>
      <c r="H9" t="s">
        <v>2912</v>
      </c>
      <c r="I9" t="s">
        <v>2179</v>
      </c>
    </row>
    <row r="10" spans="1:9" x14ac:dyDescent="0.75">
      <c r="A10" t="s">
        <v>2180</v>
      </c>
      <c r="B10" t="s">
        <v>2177</v>
      </c>
      <c r="C10" t="s">
        <v>2178</v>
      </c>
      <c r="D10" t="s">
        <v>2178</v>
      </c>
      <c r="E10">
        <v>251136</v>
      </c>
      <c r="F10">
        <v>0</v>
      </c>
      <c r="G10" t="s">
        <v>196</v>
      </c>
      <c r="H10" t="s">
        <v>2042</v>
      </c>
      <c r="I10" t="s">
        <v>2179</v>
      </c>
    </row>
    <row r="11" spans="1:9" x14ac:dyDescent="0.75">
      <c r="A11" t="s">
        <v>2176</v>
      </c>
      <c r="B11" t="s">
        <v>2177</v>
      </c>
      <c r="C11" t="s">
        <v>2178</v>
      </c>
      <c r="D11" t="s">
        <v>2178</v>
      </c>
      <c r="E11">
        <v>251136</v>
      </c>
      <c r="F11">
        <v>0</v>
      </c>
      <c r="G11" t="s">
        <v>196</v>
      </c>
      <c r="H11" t="s">
        <v>2042</v>
      </c>
      <c r="I11" t="s">
        <v>2179</v>
      </c>
    </row>
    <row r="14" spans="1:9" ht="44.25" x14ac:dyDescent="0.75">
      <c r="C14" s="13" t="s">
        <v>1</v>
      </c>
      <c r="D14" s="13" t="s">
        <v>2</v>
      </c>
      <c r="E14" s="13" t="s">
        <v>3</v>
      </c>
      <c r="F14" s="9" t="s">
        <v>3078</v>
      </c>
      <c r="G14" s="9" t="s">
        <v>3079</v>
      </c>
    </row>
    <row r="15" spans="1:9" x14ac:dyDescent="0.75">
      <c r="B15" t="s">
        <v>3101</v>
      </c>
      <c r="C15" s="14" t="str">
        <f>B9</f>
        <v>LDS-E01-MAF101</v>
      </c>
      <c r="D15" s="14" t="str">
        <f>D9</f>
        <v>Disney Plush Mickey and Friends Mickey</v>
      </c>
      <c r="E15" s="14">
        <f>E9</f>
        <v>48402</v>
      </c>
    </row>
    <row r="16" spans="1:9" x14ac:dyDescent="0.75">
      <c r="B16" t="s">
        <v>3101</v>
      </c>
      <c r="C16" s="14" t="str">
        <f>B8</f>
        <v>LDS-E01-MAF102</v>
      </c>
      <c r="D16" s="14" t="str">
        <f>D8</f>
        <v>Disney Plush Mickey and Friends Minnie</v>
      </c>
      <c r="E16" s="14">
        <f>E8</f>
        <v>54450</v>
      </c>
    </row>
    <row r="17" spans="2:5" x14ac:dyDescent="0.75">
      <c r="B17" t="s">
        <v>3101</v>
      </c>
      <c r="C17" s="14" t="str">
        <f>B7</f>
        <v>LDS-E01-MAF103</v>
      </c>
      <c r="D17" s="14" t="str">
        <f>D7</f>
        <v>Disney Plush Mickey and Friends Donald</v>
      </c>
      <c r="E17" s="14">
        <f>E7</f>
        <v>42426</v>
      </c>
    </row>
    <row r="18" spans="2:5" x14ac:dyDescent="0.75">
      <c r="B18" t="s">
        <v>3101</v>
      </c>
      <c r="C18" s="14" t="str">
        <f>B11</f>
        <v>LDSY-E01-TO114</v>
      </c>
      <c r="D18" s="14" t="str">
        <f>D11</f>
        <v>Disney Key Chain Mixed OC Canada</v>
      </c>
      <c r="E18" s="14">
        <f>E11</f>
        <v>251136</v>
      </c>
    </row>
    <row r="19" spans="2:5" x14ac:dyDescent="0.75">
      <c r="B19" t="s">
        <v>3101</v>
      </c>
      <c r="C19" s="14" t="str">
        <f>B6</f>
        <v>LDSY-E01-TO122</v>
      </c>
      <c r="D19" s="14" t="str">
        <f>D6</f>
        <v>Disney Elsa plush</v>
      </c>
      <c r="E19" s="14">
        <f>E6</f>
        <v>42018</v>
      </c>
    </row>
    <row r="20" spans="2:5" x14ac:dyDescent="0.75">
      <c r="B20" t="s">
        <v>3101</v>
      </c>
      <c r="C20" s="14" t="str">
        <f>B5</f>
        <v>LDY-E01-TO101</v>
      </c>
      <c r="D20" s="14" t="str">
        <f>D5</f>
        <v>Plush Disney Classics Stitch</v>
      </c>
      <c r="E20" s="14">
        <f>E5</f>
        <v>60018</v>
      </c>
    </row>
    <row r="21" spans="2:5" x14ac:dyDescent="0.75">
      <c r="B21" t="s">
        <v>3101</v>
      </c>
      <c r="C21" s="14" t="str">
        <f>B4</f>
        <v>LPX-E01-TO108</v>
      </c>
      <c r="D21" s="14" t="str">
        <f>D4</f>
        <v>Plush Disney Pixar McQueen</v>
      </c>
      <c r="E21" s="14">
        <f>E4</f>
        <v>54138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9570C-0333-4023-918B-6810ABC46C91}">
  <dimension ref="A1:I13"/>
  <sheetViews>
    <sheetView workbookViewId="0">
      <selection activeCell="B13" sqref="B13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8.22656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3083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2853</v>
      </c>
      <c r="B4" t="s">
        <v>1855</v>
      </c>
      <c r="C4" t="s">
        <v>1856</v>
      </c>
      <c r="D4" t="s">
        <v>1856</v>
      </c>
      <c r="E4">
        <v>80016</v>
      </c>
      <c r="F4">
        <v>0</v>
      </c>
      <c r="G4" t="s">
        <v>196</v>
      </c>
      <c r="H4" t="s">
        <v>2788</v>
      </c>
      <c r="I4" t="s">
        <v>1858</v>
      </c>
    </row>
    <row r="5" spans="1:9" x14ac:dyDescent="0.75">
      <c r="A5" t="s">
        <v>1862</v>
      </c>
      <c r="B5" t="s">
        <v>1855</v>
      </c>
      <c r="C5" t="s">
        <v>1856</v>
      </c>
      <c r="D5" t="s">
        <v>1856</v>
      </c>
      <c r="E5">
        <v>70008</v>
      </c>
      <c r="F5">
        <v>70008</v>
      </c>
      <c r="G5" t="s">
        <v>11</v>
      </c>
      <c r="H5" t="s">
        <v>1857</v>
      </c>
      <c r="I5" t="s">
        <v>1858</v>
      </c>
    </row>
    <row r="6" spans="1:9" x14ac:dyDescent="0.75">
      <c r="A6" t="s">
        <v>1861</v>
      </c>
      <c r="B6" t="s">
        <v>1855</v>
      </c>
      <c r="C6" t="s">
        <v>1856</v>
      </c>
      <c r="D6" t="s">
        <v>1856</v>
      </c>
      <c r="E6">
        <v>70008</v>
      </c>
      <c r="F6">
        <v>70008</v>
      </c>
      <c r="G6" t="s">
        <v>11</v>
      </c>
      <c r="H6" t="s">
        <v>1857</v>
      </c>
      <c r="I6" t="s">
        <v>1858</v>
      </c>
    </row>
    <row r="7" spans="1:9" x14ac:dyDescent="0.75">
      <c r="A7" t="s">
        <v>1860</v>
      </c>
      <c r="B7" t="s">
        <v>1855</v>
      </c>
      <c r="C7" t="s">
        <v>1856</v>
      </c>
      <c r="D7" t="s">
        <v>1856</v>
      </c>
      <c r="E7">
        <v>99984</v>
      </c>
      <c r="F7">
        <v>0</v>
      </c>
      <c r="G7" t="s">
        <v>11</v>
      </c>
      <c r="H7" t="s">
        <v>1857</v>
      </c>
      <c r="I7" t="s">
        <v>1858</v>
      </c>
    </row>
    <row r="8" spans="1:9" x14ac:dyDescent="0.75">
      <c r="A8" t="s">
        <v>1859</v>
      </c>
      <c r="B8" t="s">
        <v>1855</v>
      </c>
      <c r="C8" t="s">
        <v>1856</v>
      </c>
      <c r="D8" t="s">
        <v>1856</v>
      </c>
      <c r="E8">
        <v>99984</v>
      </c>
      <c r="F8">
        <v>0</v>
      </c>
      <c r="G8" t="s">
        <v>11</v>
      </c>
      <c r="H8" t="s">
        <v>1857</v>
      </c>
      <c r="I8" t="s">
        <v>1858</v>
      </c>
    </row>
    <row r="9" spans="1:9" x14ac:dyDescent="0.75">
      <c r="A9" t="s">
        <v>1854</v>
      </c>
      <c r="B9" t="s">
        <v>1855</v>
      </c>
      <c r="C9" t="s">
        <v>1856</v>
      </c>
      <c r="D9" t="s">
        <v>1856</v>
      </c>
      <c r="E9">
        <v>99984</v>
      </c>
      <c r="F9">
        <v>99984</v>
      </c>
      <c r="G9" t="s">
        <v>11</v>
      </c>
      <c r="H9" t="s">
        <v>1857</v>
      </c>
      <c r="I9" t="s">
        <v>1858</v>
      </c>
    </row>
    <row r="12" spans="1:9" ht="44.25" x14ac:dyDescent="0.75">
      <c r="C12" s="8" t="s">
        <v>1</v>
      </c>
      <c r="D12" s="8" t="s">
        <v>2</v>
      </c>
      <c r="E12" s="8" t="s">
        <v>3</v>
      </c>
      <c r="F12" s="9" t="s">
        <v>3078</v>
      </c>
      <c r="G12" s="9" t="s">
        <v>3079</v>
      </c>
    </row>
    <row r="13" spans="1:9" x14ac:dyDescent="0.75">
      <c r="B13" t="s">
        <v>3103</v>
      </c>
      <c r="C13" t="str">
        <f>B9</f>
        <v>SSF-HKG711- Figurine Bottles</v>
      </c>
      <c r="D13" t="str">
        <f>D9</f>
        <v>Re-useable Atomizer Bottle with Figurine Lid</v>
      </c>
      <c r="E13">
        <f>SUM(Table5[Quantity])</f>
        <v>519984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1770-A461-41E9-A6BB-76281B70ACB1}">
  <dimension ref="A1:I24"/>
  <sheetViews>
    <sheetView topLeftCell="A9" workbookViewId="0">
      <selection activeCell="B20" sqref="B20:B24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7.5898437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4.26953125" bestFit="1" customWidth="1"/>
  </cols>
  <sheetData>
    <row r="1" spans="1:9" x14ac:dyDescent="0.75">
      <c r="A1" s="6" t="s">
        <v>3084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2892</v>
      </c>
      <c r="B4" t="s">
        <v>2148</v>
      </c>
      <c r="C4" t="s">
        <v>2149</v>
      </c>
      <c r="D4" t="s">
        <v>2149</v>
      </c>
      <c r="E4">
        <v>10002</v>
      </c>
      <c r="F4">
        <v>0</v>
      </c>
      <c r="G4" t="s">
        <v>196</v>
      </c>
      <c r="H4" t="s">
        <v>2859</v>
      </c>
      <c r="I4" t="s">
        <v>412</v>
      </c>
    </row>
    <row r="5" spans="1:9" x14ac:dyDescent="0.75">
      <c r="A5" t="s">
        <v>2819</v>
      </c>
      <c r="B5" t="s">
        <v>985</v>
      </c>
      <c r="C5" t="s">
        <v>986</v>
      </c>
      <c r="D5" t="s">
        <v>986</v>
      </c>
      <c r="E5">
        <v>15972</v>
      </c>
      <c r="F5">
        <v>0</v>
      </c>
      <c r="G5" t="s">
        <v>196</v>
      </c>
      <c r="H5" t="s">
        <v>2787</v>
      </c>
      <c r="I5" t="s">
        <v>412</v>
      </c>
    </row>
    <row r="6" spans="1:9" x14ac:dyDescent="0.75">
      <c r="A6" t="s">
        <v>2700</v>
      </c>
      <c r="B6" t="s">
        <v>985</v>
      </c>
      <c r="C6" t="s">
        <v>986</v>
      </c>
      <c r="D6" t="s">
        <v>986</v>
      </c>
      <c r="E6">
        <v>39936</v>
      </c>
      <c r="F6">
        <v>0</v>
      </c>
      <c r="G6" t="s">
        <v>196</v>
      </c>
      <c r="H6" t="s">
        <v>2089</v>
      </c>
      <c r="I6" t="s">
        <v>412</v>
      </c>
    </row>
    <row r="7" spans="1:9" x14ac:dyDescent="0.75">
      <c r="A7" t="s">
        <v>2696</v>
      </c>
      <c r="B7" t="s">
        <v>985</v>
      </c>
      <c r="C7" t="s">
        <v>986</v>
      </c>
      <c r="D7" t="s">
        <v>986</v>
      </c>
      <c r="E7">
        <v>37026</v>
      </c>
      <c r="F7">
        <v>0</v>
      </c>
      <c r="G7" t="s">
        <v>196</v>
      </c>
      <c r="H7" t="s">
        <v>2089</v>
      </c>
      <c r="I7" t="s">
        <v>412</v>
      </c>
    </row>
    <row r="8" spans="1:9" x14ac:dyDescent="0.75">
      <c r="A8" t="s">
        <v>2116</v>
      </c>
      <c r="B8" t="s">
        <v>985</v>
      </c>
      <c r="C8" t="s">
        <v>986</v>
      </c>
      <c r="D8" t="s">
        <v>986</v>
      </c>
      <c r="E8">
        <v>51726</v>
      </c>
      <c r="F8">
        <v>51726</v>
      </c>
      <c r="G8" t="s">
        <v>11</v>
      </c>
      <c r="H8" t="s">
        <v>2026</v>
      </c>
      <c r="I8" t="s">
        <v>412</v>
      </c>
    </row>
    <row r="9" spans="1:9" x14ac:dyDescent="0.75">
      <c r="A9" t="s">
        <v>1479</v>
      </c>
      <c r="B9" t="s">
        <v>410</v>
      </c>
      <c r="C9" t="s">
        <v>411</v>
      </c>
      <c r="D9" t="s">
        <v>411</v>
      </c>
      <c r="E9">
        <v>1002</v>
      </c>
      <c r="F9">
        <v>1002</v>
      </c>
      <c r="G9" t="s">
        <v>11</v>
      </c>
      <c r="H9" t="s">
        <v>1426</v>
      </c>
      <c r="I9" t="s">
        <v>412</v>
      </c>
    </row>
    <row r="10" spans="1:9" x14ac:dyDescent="0.75">
      <c r="A10" t="s">
        <v>1374</v>
      </c>
      <c r="B10" t="s">
        <v>985</v>
      </c>
      <c r="C10" t="s">
        <v>986</v>
      </c>
      <c r="D10" t="s">
        <v>986</v>
      </c>
      <c r="E10">
        <v>84996</v>
      </c>
      <c r="F10">
        <v>84996</v>
      </c>
      <c r="G10" t="s">
        <v>11</v>
      </c>
      <c r="H10" t="s">
        <v>1371</v>
      </c>
      <c r="I10" t="s">
        <v>412</v>
      </c>
    </row>
    <row r="11" spans="1:9" x14ac:dyDescent="0.75">
      <c r="A11" t="s">
        <v>984</v>
      </c>
      <c r="B11" t="s">
        <v>985</v>
      </c>
      <c r="C11" t="s">
        <v>986</v>
      </c>
      <c r="D11" t="s">
        <v>986</v>
      </c>
      <c r="E11">
        <v>3216</v>
      </c>
      <c r="F11">
        <v>3216</v>
      </c>
      <c r="G11" t="s">
        <v>11</v>
      </c>
      <c r="H11" t="s">
        <v>945</v>
      </c>
      <c r="I11" t="s">
        <v>412</v>
      </c>
    </row>
    <row r="12" spans="1:9" x14ac:dyDescent="0.75">
      <c r="A12" t="s">
        <v>525</v>
      </c>
      <c r="B12" t="s">
        <v>526</v>
      </c>
      <c r="C12" t="s">
        <v>527</v>
      </c>
      <c r="D12" t="s">
        <v>527</v>
      </c>
      <c r="E12">
        <v>10800</v>
      </c>
      <c r="F12">
        <v>10800</v>
      </c>
      <c r="G12" t="s">
        <v>11</v>
      </c>
      <c r="H12" t="s">
        <v>521</v>
      </c>
      <c r="I12" t="s">
        <v>412</v>
      </c>
    </row>
    <row r="13" spans="1:9" x14ac:dyDescent="0.75">
      <c r="A13" t="s">
        <v>415</v>
      </c>
      <c r="B13" t="s">
        <v>413</v>
      </c>
      <c r="C13" t="s">
        <v>414</v>
      </c>
      <c r="D13" t="s">
        <v>414</v>
      </c>
      <c r="E13">
        <v>354</v>
      </c>
      <c r="F13">
        <v>354</v>
      </c>
      <c r="G13" t="s">
        <v>11</v>
      </c>
      <c r="H13" t="s">
        <v>406</v>
      </c>
      <c r="I13" t="s">
        <v>412</v>
      </c>
    </row>
    <row r="14" spans="1:9" x14ac:dyDescent="0.75">
      <c r="A14" t="s">
        <v>415</v>
      </c>
      <c r="B14" t="s">
        <v>410</v>
      </c>
      <c r="C14" t="s">
        <v>411</v>
      </c>
      <c r="D14" t="s">
        <v>411</v>
      </c>
      <c r="E14">
        <v>354</v>
      </c>
      <c r="F14">
        <v>354</v>
      </c>
      <c r="G14" t="s">
        <v>11</v>
      </c>
      <c r="H14" t="s">
        <v>406</v>
      </c>
      <c r="I14" t="s">
        <v>412</v>
      </c>
    </row>
    <row r="15" spans="1:9" x14ac:dyDescent="0.75">
      <c r="A15" t="s">
        <v>409</v>
      </c>
      <c r="B15" t="s">
        <v>413</v>
      </c>
      <c r="C15" t="s">
        <v>414</v>
      </c>
      <c r="D15" t="s">
        <v>414</v>
      </c>
      <c r="E15">
        <v>5004</v>
      </c>
      <c r="F15">
        <v>5004</v>
      </c>
      <c r="G15" t="s">
        <v>11</v>
      </c>
      <c r="H15" t="s">
        <v>406</v>
      </c>
      <c r="I15" t="s">
        <v>412</v>
      </c>
    </row>
    <row r="16" spans="1:9" x14ac:dyDescent="0.75">
      <c r="A16" t="s">
        <v>409</v>
      </c>
      <c r="B16" t="s">
        <v>410</v>
      </c>
      <c r="C16" t="s">
        <v>411</v>
      </c>
      <c r="D16" t="s">
        <v>411</v>
      </c>
      <c r="E16">
        <v>8004</v>
      </c>
      <c r="F16">
        <v>8004</v>
      </c>
      <c r="G16" t="s">
        <v>11</v>
      </c>
      <c r="H16" t="s">
        <v>406</v>
      </c>
      <c r="I16" t="s">
        <v>412</v>
      </c>
    </row>
    <row r="19" spans="2:7" ht="44.25" x14ac:dyDescent="0.75">
      <c r="C19" s="13" t="s">
        <v>1</v>
      </c>
      <c r="D19" s="13" t="s">
        <v>2</v>
      </c>
      <c r="E19" s="13" t="s">
        <v>3</v>
      </c>
      <c r="F19" s="9" t="s">
        <v>3078</v>
      </c>
      <c r="G19" s="9" t="s">
        <v>3079</v>
      </c>
    </row>
    <row r="20" spans="2:7" x14ac:dyDescent="0.75">
      <c r="B20" t="s">
        <v>3101</v>
      </c>
      <c r="C20" s="14" t="str">
        <f>B9</f>
        <v>LAN-A01-OTG01</v>
      </c>
      <c r="D20" s="14" t="str">
        <f>D16</f>
        <v>Eco Bag with Pouch-Anpanman</v>
      </c>
      <c r="E20" s="14">
        <f>E16+E14+E9</f>
        <v>9360</v>
      </c>
    </row>
    <row r="21" spans="2:7" x14ac:dyDescent="0.75">
      <c r="B21" t="s">
        <v>3101</v>
      </c>
      <c r="C21" s="14" t="str">
        <f>B15</f>
        <v>LAN-A01-OTG07</v>
      </c>
      <c r="D21" s="14" t="str">
        <f>D15</f>
        <v>Eco Bag with Pouch-Baikinman</v>
      </c>
      <c r="E21" s="14">
        <f>E15+E13</f>
        <v>5358</v>
      </c>
    </row>
    <row r="22" spans="2:7" x14ac:dyDescent="0.75">
      <c r="B22" t="s">
        <v>3101</v>
      </c>
      <c r="C22" s="14" t="str">
        <f>B4</f>
        <v>LCS-E01-BQ118</v>
      </c>
      <c r="D22" s="14" t="str">
        <f>D4</f>
        <v>Single BBQ Heat Proof Mitt</v>
      </c>
      <c r="E22" s="14">
        <f>E4</f>
        <v>10002</v>
      </c>
    </row>
    <row r="23" spans="2:7" x14ac:dyDescent="0.75">
      <c r="B23" t="s">
        <v>3101</v>
      </c>
      <c r="C23" s="14" t="str">
        <f>B12</f>
        <v>LMI-L01-LG202</v>
      </c>
      <c r="D23" s="14" t="str">
        <f>D12</f>
        <v>Minecraft Smartphone Pouch</v>
      </c>
      <c r="E23" s="14">
        <f>E12</f>
        <v>10800</v>
      </c>
    </row>
    <row r="24" spans="2:7" x14ac:dyDescent="0.75">
      <c r="B24" t="s">
        <v>3101</v>
      </c>
      <c r="C24" s="14" t="str">
        <f>B11</f>
        <v>LPX-L01-PCH101</v>
      </c>
      <c r="D24" s="14" t="str">
        <f>D11</f>
        <v>Disney Pixar pouch Edna</v>
      </c>
      <c r="E24" s="14">
        <f>E11+E10+E8+E7+E6+E5</f>
        <v>232872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A582-9875-4507-8EC0-E0684C979308}">
  <dimension ref="A1:I9"/>
  <sheetViews>
    <sheetView workbookViewId="0">
      <selection activeCell="B9" sqref="B9"/>
    </sheetView>
  </sheetViews>
  <sheetFormatPr defaultRowHeight="14.75" x14ac:dyDescent="0.75"/>
  <cols>
    <col min="1" max="1" width="23.7265625" customWidth="1"/>
    <col min="2" max="2" width="32.31640625" customWidth="1"/>
    <col min="3" max="3" width="17.1796875" customWidth="1"/>
    <col min="4" max="4" width="18.1328125" customWidth="1"/>
    <col min="5" max="5" width="10.08984375" customWidth="1"/>
    <col min="6" max="6" width="18.54296875" customWidth="1"/>
    <col min="8" max="8" width="20.453125" customWidth="1"/>
    <col min="9" max="9" width="31.2265625" customWidth="1"/>
  </cols>
  <sheetData>
    <row r="1" spans="1:9" x14ac:dyDescent="0.75">
      <c r="A1" s="6" t="s">
        <v>3085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502</v>
      </c>
      <c r="B4" t="s">
        <v>498</v>
      </c>
      <c r="C4" t="s">
        <v>499</v>
      </c>
      <c r="D4" t="s">
        <v>499</v>
      </c>
      <c r="E4">
        <v>111798</v>
      </c>
      <c r="F4">
        <v>111798</v>
      </c>
      <c r="G4" t="s">
        <v>11</v>
      </c>
      <c r="H4" t="s">
        <v>501</v>
      </c>
      <c r="I4" t="s">
        <v>500</v>
      </c>
    </row>
    <row r="5" spans="1:9" x14ac:dyDescent="0.75">
      <c r="A5" t="s">
        <v>497</v>
      </c>
      <c r="B5" t="s">
        <v>498</v>
      </c>
      <c r="C5" t="s">
        <v>499</v>
      </c>
      <c r="D5" t="s">
        <v>499</v>
      </c>
      <c r="E5">
        <v>118206</v>
      </c>
      <c r="F5">
        <v>118206</v>
      </c>
      <c r="G5" t="s">
        <v>11</v>
      </c>
      <c r="H5" t="s">
        <v>494</v>
      </c>
      <c r="I5" t="s">
        <v>500</v>
      </c>
    </row>
    <row r="8" spans="1:9" ht="44.25" x14ac:dyDescent="0.75">
      <c r="C8" s="13" t="s">
        <v>1</v>
      </c>
      <c r="D8" s="13" t="s">
        <v>2</v>
      </c>
      <c r="E8" s="13" t="s">
        <v>3</v>
      </c>
      <c r="F8" s="9" t="s">
        <v>3078</v>
      </c>
      <c r="G8" s="9" t="s">
        <v>3079</v>
      </c>
    </row>
    <row r="9" spans="1:9" x14ac:dyDescent="0.75">
      <c r="B9" t="s">
        <v>3101</v>
      </c>
      <c r="C9" s="14" t="str">
        <f>B5</f>
        <v>LUB-E09-TO103</v>
      </c>
      <c r="D9" s="14" t="str">
        <f>D5</f>
        <v>SNOW HARE PLUSH</v>
      </c>
      <c r="E9" s="14">
        <f>E5+E4</f>
        <v>230004</v>
      </c>
      <c r="F9" s="14"/>
      <c r="G9" s="14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B265-CA8D-47EF-9437-8BE2EBC5F9F3}">
  <sheetPr>
    <tabColor theme="9"/>
  </sheetPr>
  <dimension ref="A1:I21"/>
  <sheetViews>
    <sheetView workbookViewId="0">
      <selection activeCell="B20" sqref="B20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8.679687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4.54296875" bestFit="1" customWidth="1"/>
  </cols>
  <sheetData>
    <row r="1" spans="1:9" x14ac:dyDescent="0.75">
      <c r="A1" s="6" t="s">
        <v>3086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hidden="1" x14ac:dyDescent="0.75">
      <c r="A4" t="s">
        <v>2820</v>
      </c>
      <c r="B4" t="s">
        <v>2676</v>
      </c>
      <c r="C4" t="s">
        <v>533</v>
      </c>
      <c r="D4" t="s">
        <v>533</v>
      </c>
      <c r="E4">
        <v>30192</v>
      </c>
      <c r="F4">
        <v>0</v>
      </c>
      <c r="G4" t="s">
        <v>196</v>
      </c>
      <c r="H4" t="s">
        <v>2821</v>
      </c>
      <c r="I4" t="s">
        <v>534</v>
      </c>
    </row>
    <row r="5" spans="1:9" hidden="1" x14ac:dyDescent="0.75">
      <c r="A5" t="s">
        <v>2820</v>
      </c>
      <c r="B5" t="s">
        <v>2677</v>
      </c>
      <c r="C5" t="s">
        <v>536</v>
      </c>
      <c r="D5" t="s">
        <v>536</v>
      </c>
      <c r="E5">
        <v>35496</v>
      </c>
      <c r="F5">
        <v>0</v>
      </c>
      <c r="G5" t="s">
        <v>196</v>
      </c>
      <c r="H5" t="s">
        <v>2821</v>
      </c>
      <c r="I5" t="s">
        <v>534</v>
      </c>
    </row>
    <row r="6" spans="1:9" hidden="1" x14ac:dyDescent="0.75">
      <c r="A6" t="s">
        <v>2671</v>
      </c>
      <c r="B6" t="s">
        <v>2677</v>
      </c>
      <c r="C6" t="s">
        <v>536</v>
      </c>
      <c r="D6" t="s">
        <v>536</v>
      </c>
      <c r="E6">
        <v>20400</v>
      </c>
      <c r="F6">
        <v>0</v>
      </c>
      <c r="G6" t="s">
        <v>196</v>
      </c>
      <c r="H6" t="s">
        <v>2087</v>
      </c>
      <c r="I6" t="s">
        <v>534</v>
      </c>
    </row>
    <row r="7" spans="1:9" hidden="1" x14ac:dyDescent="0.75">
      <c r="A7" t="s">
        <v>2671</v>
      </c>
      <c r="B7" t="s">
        <v>2676</v>
      </c>
      <c r="C7" t="s">
        <v>533</v>
      </c>
      <c r="D7" t="s">
        <v>533</v>
      </c>
      <c r="E7">
        <v>20400</v>
      </c>
      <c r="F7">
        <v>0</v>
      </c>
      <c r="G7" t="s">
        <v>196</v>
      </c>
      <c r="H7" t="s">
        <v>2087</v>
      </c>
      <c r="I7" t="s">
        <v>534</v>
      </c>
    </row>
    <row r="8" spans="1:9" hidden="1" x14ac:dyDescent="0.75">
      <c r="A8" t="s">
        <v>2671</v>
      </c>
      <c r="B8" t="s">
        <v>2674</v>
      </c>
      <c r="C8" t="s">
        <v>2675</v>
      </c>
      <c r="D8" t="s">
        <v>2675</v>
      </c>
      <c r="E8">
        <v>19536</v>
      </c>
      <c r="F8">
        <v>0</v>
      </c>
      <c r="G8" t="s">
        <v>196</v>
      </c>
      <c r="H8" t="s">
        <v>2087</v>
      </c>
      <c r="I8" t="s">
        <v>534</v>
      </c>
    </row>
    <row r="9" spans="1:9" hidden="1" x14ac:dyDescent="0.75">
      <c r="A9" t="s">
        <v>2671</v>
      </c>
      <c r="B9" t="s">
        <v>2672</v>
      </c>
      <c r="C9" t="s">
        <v>2673</v>
      </c>
      <c r="D9" t="s">
        <v>2673</v>
      </c>
      <c r="E9">
        <v>18480</v>
      </c>
      <c r="F9">
        <v>0</v>
      </c>
      <c r="G9" t="s">
        <v>196</v>
      </c>
      <c r="H9" t="s">
        <v>2087</v>
      </c>
      <c r="I9" t="s">
        <v>534</v>
      </c>
    </row>
    <row r="10" spans="1:9" hidden="1" x14ac:dyDescent="0.75">
      <c r="A10" t="s">
        <v>1474</v>
      </c>
      <c r="B10" t="s">
        <v>404</v>
      </c>
      <c r="C10" t="s">
        <v>405</v>
      </c>
      <c r="D10" t="s">
        <v>405</v>
      </c>
      <c r="E10">
        <v>1</v>
      </c>
      <c r="F10">
        <v>0</v>
      </c>
      <c r="G10" t="s">
        <v>11</v>
      </c>
      <c r="H10" t="s">
        <v>1426</v>
      </c>
      <c r="I10" t="s">
        <v>534</v>
      </c>
    </row>
    <row r="11" spans="1:9" x14ac:dyDescent="0.75">
      <c r="A11" t="s">
        <v>531</v>
      </c>
      <c r="B11" t="s">
        <v>535</v>
      </c>
      <c r="C11" t="s">
        <v>536</v>
      </c>
      <c r="D11" t="s">
        <v>536</v>
      </c>
      <c r="E11">
        <v>25024</v>
      </c>
      <c r="F11">
        <v>25024</v>
      </c>
      <c r="G11" t="s">
        <v>11</v>
      </c>
      <c r="H11" t="s">
        <v>521</v>
      </c>
      <c r="I11" t="s">
        <v>534</v>
      </c>
    </row>
    <row r="12" spans="1:9" hidden="1" x14ac:dyDescent="0.75">
      <c r="A12" t="s">
        <v>531</v>
      </c>
      <c r="B12" t="s">
        <v>532</v>
      </c>
      <c r="C12" t="s">
        <v>533</v>
      </c>
      <c r="D12" t="s">
        <v>533</v>
      </c>
      <c r="E12">
        <v>25024</v>
      </c>
      <c r="F12">
        <v>25024</v>
      </c>
      <c r="G12" t="s">
        <v>11</v>
      </c>
      <c r="H12" t="s">
        <v>521</v>
      </c>
      <c r="I12" t="s">
        <v>534</v>
      </c>
    </row>
    <row r="15" spans="1:9" ht="44.25" x14ac:dyDescent="0.75">
      <c r="C15" s="8" t="s">
        <v>1</v>
      </c>
      <c r="D15" s="8" t="s">
        <v>2</v>
      </c>
      <c r="E15" s="8" t="s">
        <v>3</v>
      </c>
      <c r="F15" s="9" t="s">
        <v>3078</v>
      </c>
      <c r="G15" s="9" t="s">
        <v>3079</v>
      </c>
    </row>
    <row r="16" spans="1:9" x14ac:dyDescent="0.75">
      <c r="B16" t="s">
        <v>3103</v>
      </c>
      <c r="C16" t="str">
        <f>B9</f>
        <v>LMI-E01-BK106</v>
      </c>
      <c r="D16" t="str">
        <f>D9</f>
        <v>Minecraft water bottle Pig</v>
      </c>
      <c r="E16">
        <f>E9</f>
        <v>18480</v>
      </c>
      <c r="F16">
        <v>0.69199999999999995</v>
      </c>
      <c r="G16">
        <f>F16*E16</f>
        <v>12788.16</v>
      </c>
    </row>
    <row r="17" spans="2:7" x14ac:dyDescent="0.75">
      <c r="B17" t="s">
        <v>3103</v>
      </c>
      <c r="C17" t="str">
        <f>B8</f>
        <v>LMI-E01-BK107</v>
      </c>
      <c r="D17" t="str">
        <f>D8</f>
        <v>Minecraft water bottle Creeper</v>
      </c>
      <c r="E17">
        <f>E8</f>
        <v>19536</v>
      </c>
      <c r="F17">
        <v>0.69199999999999995</v>
      </c>
      <c r="G17">
        <f t="shared" ref="G17:G21" si="0">F17*E17</f>
        <v>13518.911999999998</v>
      </c>
    </row>
    <row r="18" spans="2:7" x14ac:dyDescent="0.75">
      <c r="B18" t="s">
        <v>3103</v>
      </c>
      <c r="C18" t="str">
        <f>B7</f>
        <v>LMI-E01-BK111</v>
      </c>
      <c r="D18" t="str">
        <f>D7</f>
        <v>Minecraft water bottle Bee</v>
      </c>
      <c r="E18">
        <f>E7+E4</f>
        <v>50592</v>
      </c>
      <c r="F18">
        <v>0.69199999999999995</v>
      </c>
      <c r="G18">
        <f t="shared" si="0"/>
        <v>35009.663999999997</v>
      </c>
    </row>
    <row r="19" spans="2:7" x14ac:dyDescent="0.75">
      <c r="B19" t="s">
        <v>3103</v>
      </c>
      <c r="C19" t="str">
        <f>B6</f>
        <v>LMI-E01-BK112</v>
      </c>
      <c r="D19" t="str">
        <f>D6</f>
        <v>Minecraft water bottle Enderman</v>
      </c>
      <c r="E19">
        <f>E6+E5</f>
        <v>55896</v>
      </c>
      <c r="F19">
        <v>0.69199999999999995</v>
      </c>
      <c r="G19">
        <f t="shared" si="0"/>
        <v>38680.031999999999</v>
      </c>
    </row>
    <row r="20" spans="2:7" x14ac:dyDescent="0.75">
      <c r="B20" t="s">
        <v>3103</v>
      </c>
      <c r="C20" t="str">
        <f>B12</f>
        <v>LMI-E01-BK211</v>
      </c>
      <c r="D20" t="str">
        <f>D12</f>
        <v>Minecraft water bottle Bee</v>
      </c>
      <c r="E20">
        <f>E12</f>
        <v>25024</v>
      </c>
      <c r="F20">
        <v>0.69199999999999995</v>
      </c>
      <c r="G20">
        <f t="shared" si="0"/>
        <v>17316.608</v>
      </c>
    </row>
    <row r="21" spans="2:7" x14ac:dyDescent="0.75">
      <c r="B21" t="s">
        <v>3103</v>
      </c>
      <c r="C21" t="str">
        <f>B11</f>
        <v>LMI-E01-BK212</v>
      </c>
      <c r="D21" t="str">
        <f>D11</f>
        <v>Minecraft water bottle Enderman</v>
      </c>
      <c r="E21">
        <f>E11</f>
        <v>25024</v>
      </c>
      <c r="F21">
        <v>0.69199999999999995</v>
      </c>
      <c r="G21">
        <f t="shared" si="0"/>
        <v>17316.608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ED65-A536-4FF6-B252-13CD9DF3ECCB}">
  <dimension ref="A1:I9"/>
  <sheetViews>
    <sheetView workbookViewId="0">
      <selection activeCell="B9" sqref="B9"/>
    </sheetView>
  </sheetViews>
  <sheetFormatPr defaultRowHeight="14.75" x14ac:dyDescent="0.75"/>
  <cols>
    <col min="1" max="1" width="23.7265625" customWidth="1"/>
    <col min="2" max="2" width="32.31640625" customWidth="1"/>
    <col min="3" max="3" width="17.1796875" customWidth="1"/>
    <col min="4" max="4" width="18.1328125" customWidth="1"/>
    <col min="5" max="5" width="10.08984375" customWidth="1"/>
    <col min="6" max="6" width="18.54296875" customWidth="1"/>
    <col min="8" max="8" width="20.453125" customWidth="1"/>
    <col min="9" max="9" width="31.2265625" customWidth="1"/>
  </cols>
  <sheetData>
    <row r="1" spans="1:9" x14ac:dyDescent="0.75">
      <c r="A1" s="6" t="s">
        <v>3087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1949</v>
      </c>
      <c r="B4" t="s">
        <v>1946</v>
      </c>
      <c r="C4" t="s">
        <v>1947</v>
      </c>
      <c r="D4" t="s">
        <v>1947</v>
      </c>
      <c r="E4">
        <v>90000</v>
      </c>
      <c r="F4">
        <v>90000</v>
      </c>
      <c r="G4" t="s">
        <v>11</v>
      </c>
      <c r="H4" t="s">
        <v>1943</v>
      </c>
      <c r="I4" t="s">
        <v>1948</v>
      </c>
    </row>
    <row r="5" spans="1:9" x14ac:dyDescent="0.75">
      <c r="A5" t="s">
        <v>1945</v>
      </c>
      <c r="B5" t="s">
        <v>1946</v>
      </c>
      <c r="C5" t="s">
        <v>1947</v>
      </c>
      <c r="D5" t="s">
        <v>1947</v>
      </c>
      <c r="E5">
        <v>90000</v>
      </c>
      <c r="F5">
        <v>90000</v>
      </c>
      <c r="G5" t="s">
        <v>11</v>
      </c>
      <c r="H5" t="s">
        <v>1943</v>
      </c>
      <c r="I5" t="s">
        <v>1948</v>
      </c>
    </row>
    <row r="8" spans="1:9" ht="44.25" x14ac:dyDescent="0.75">
      <c r="C8" s="13" t="s">
        <v>1</v>
      </c>
      <c r="D8" s="13" t="s">
        <v>2</v>
      </c>
      <c r="E8" s="13" t="s">
        <v>3</v>
      </c>
      <c r="F8" s="9" t="s">
        <v>3078</v>
      </c>
      <c r="G8" s="9" t="s">
        <v>3079</v>
      </c>
    </row>
    <row r="9" spans="1:9" x14ac:dyDescent="0.75">
      <c r="B9" t="s">
        <v>3101</v>
      </c>
      <c r="C9" s="14" t="str">
        <f>B5</f>
        <v>LUB-E09-PL101</v>
      </c>
      <c r="D9" s="14" t="str">
        <f>D5</f>
        <v>Caterpillar plush</v>
      </c>
      <c r="E9" s="14">
        <f>E5+E4</f>
        <v>180000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8840-17A1-40D9-9D61-5FC279103028}">
  <dimension ref="A1:I13"/>
  <sheetViews>
    <sheetView workbookViewId="0">
      <selection activeCell="B13" sqref="B13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3.863281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3088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2823</v>
      </c>
      <c r="B4" t="s">
        <v>1735</v>
      </c>
      <c r="C4" t="s">
        <v>1736</v>
      </c>
      <c r="D4" t="s">
        <v>1736</v>
      </c>
      <c r="E4">
        <v>1</v>
      </c>
      <c r="F4">
        <v>0</v>
      </c>
      <c r="G4" t="s">
        <v>11</v>
      </c>
      <c r="H4" t="s">
        <v>2821</v>
      </c>
      <c r="I4" t="s">
        <v>522</v>
      </c>
    </row>
    <row r="5" spans="1:9" x14ac:dyDescent="0.75">
      <c r="A5" t="s">
        <v>2823</v>
      </c>
      <c r="B5" t="s">
        <v>1733</v>
      </c>
      <c r="C5" t="s">
        <v>1734</v>
      </c>
      <c r="D5" t="s">
        <v>1734</v>
      </c>
      <c r="E5">
        <v>1</v>
      </c>
      <c r="F5">
        <v>0</v>
      </c>
      <c r="G5" t="s">
        <v>11</v>
      </c>
      <c r="H5" t="s">
        <v>2821</v>
      </c>
      <c r="I5" t="s">
        <v>522</v>
      </c>
    </row>
    <row r="6" spans="1:9" x14ac:dyDescent="0.75">
      <c r="A6" t="s">
        <v>2823</v>
      </c>
      <c r="B6" t="s">
        <v>1731</v>
      </c>
      <c r="C6" t="s">
        <v>1732</v>
      </c>
      <c r="D6" t="s">
        <v>1732</v>
      </c>
      <c r="E6">
        <v>1</v>
      </c>
      <c r="F6">
        <v>0</v>
      </c>
      <c r="G6" t="s">
        <v>11</v>
      </c>
      <c r="H6" t="s">
        <v>2821</v>
      </c>
      <c r="I6" t="s">
        <v>522</v>
      </c>
    </row>
    <row r="7" spans="1:9" x14ac:dyDescent="0.75">
      <c r="A7" t="s">
        <v>518</v>
      </c>
      <c r="B7" t="s">
        <v>523</v>
      </c>
      <c r="C7" t="s">
        <v>524</v>
      </c>
      <c r="D7" t="s">
        <v>524</v>
      </c>
      <c r="E7">
        <v>25080</v>
      </c>
      <c r="F7">
        <v>25080</v>
      </c>
      <c r="G7" t="s">
        <v>11</v>
      </c>
      <c r="H7" t="s">
        <v>521</v>
      </c>
      <c r="I7" t="s">
        <v>522</v>
      </c>
    </row>
    <row r="8" spans="1:9" x14ac:dyDescent="0.75">
      <c r="A8" t="s">
        <v>518</v>
      </c>
      <c r="B8" t="s">
        <v>519</v>
      </c>
      <c r="C8" t="s">
        <v>520</v>
      </c>
      <c r="D8" t="s">
        <v>520</v>
      </c>
      <c r="E8">
        <v>25080</v>
      </c>
      <c r="F8">
        <v>25080</v>
      </c>
      <c r="G8" t="s">
        <v>11</v>
      </c>
      <c r="H8" t="s">
        <v>521</v>
      </c>
      <c r="I8" t="s">
        <v>522</v>
      </c>
    </row>
    <row r="11" spans="1:9" ht="44.25" x14ac:dyDescent="0.75">
      <c r="C11" s="13" t="s">
        <v>1</v>
      </c>
      <c r="D11" s="13" t="s">
        <v>2</v>
      </c>
      <c r="E11" s="8" t="s">
        <v>3</v>
      </c>
      <c r="F11" s="9" t="s">
        <v>3078</v>
      </c>
      <c r="G11" s="9" t="s">
        <v>3079</v>
      </c>
    </row>
    <row r="12" spans="1:9" x14ac:dyDescent="0.75">
      <c r="B12" t="s">
        <v>3103</v>
      </c>
      <c r="C12" s="14" t="str">
        <f>B7</f>
        <v>LMI-E01-BK210</v>
      </c>
      <c r="D12" s="14" t="str">
        <f>D7</f>
        <v>Minecraft white square mug Enderman</v>
      </c>
      <c r="E12">
        <f>E7</f>
        <v>25080</v>
      </c>
    </row>
    <row r="13" spans="1:9" x14ac:dyDescent="0.75">
      <c r="B13" t="s">
        <v>3103</v>
      </c>
      <c r="C13" s="14" t="str">
        <f>B8</f>
        <v>LMI-E01-BK209</v>
      </c>
      <c r="D13" s="14" t="str">
        <f>D8</f>
        <v>Minecraft white square mug Bee</v>
      </c>
      <c r="E13">
        <f>E8</f>
        <v>25080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82BF-01D3-4E73-A0E5-5559A80AF51D}">
  <dimension ref="A1:I8"/>
  <sheetViews>
    <sheetView workbookViewId="0">
      <selection activeCell="B8" sqref="B8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4.4531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3089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1873</v>
      </c>
      <c r="B4" t="s">
        <v>1874</v>
      </c>
      <c r="C4" t="s">
        <v>1875</v>
      </c>
      <c r="D4" t="s">
        <v>1875</v>
      </c>
      <c r="E4">
        <v>30000</v>
      </c>
      <c r="F4">
        <v>30000</v>
      </c>
      <c r="G4" t="s">
        <v>11</v>
      </c>
      <c r="H4" t="s">
        <v>1871</v>
      </c>
      <c r="I4" t="s">
        <v>1876</v>
      </c>
    </row>
    <row r="7" spans="1:9" ht="44.25" x14ac:dyDescent="0.75">
      <c r="C7" s="8" t="s">
        <v>1</v>
      </c>
      <c r="D7" s="8" t="s">
        <v>2</v>
      </c>
      <c r="E7" s="8" t="s">
        <v>3</v>
      </c>
      <c r="F7" s="9" t="s">
        <v>3078</v>
      </c>
      <c r="G7" s="9" t="s">
        <v>3079</v>
      </c>
    </row>
    <row r="8" spans="1:9" x14ac:dyDescent="0.75">
      <c r="B8" t="s">
        <v>3103</v>
      </c>
      <c r="C8" t="str" cm="1">
        <f t="array" ref="C8">Table11[Item Being Procured: Item Number]</f>
        <v>SSF-HKG711-1LGS</v>
      </c>
      <c r="D8" t="str" cm="1">
        <f t="array" ref="D8">Table11[Item Description2]</f>
        <v>1L glass storage / lunch box</v>
      </c>
      <c r="E8" cm="1">
        <f t="array" ref="E8">Table11[Quantity]</f>
        <v>30000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08CD-9B7E-43FC-8F03-319D998F86A2}">
  <dimension ref="A1:I10"/>
  <sheetViews>
    <sheetView workbookViewId="0">
      <selection activeCell="B10" sqref="B10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45.316406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3091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1728</v>
      </c>
      <c r="B4" t="s">
        <v>692</v>
      </c>
      <c r="C4" t="s">
        <v>693</v>
      </c>
      <c r="D4" t="s">
        <v>693</v>
      </c>
      <c r="E4">
        <v>786</v>
      </c>
      <c r="F4">
        <v>786</v>
      </c>
      <c r="G4" t="s">
        <v>11</v>
      </c>
      <c r="H4" t="s">
        <v>1521</v>
      </c>
      <c r="I4" t="s">
        <v>695</v>
      </c>
    </row>
    <row r="5" spans="1:9" x14ac:dyDescent="0.75">
      <c r="A5" t="s">
        <v>1465</v>
      </c>
      <c r="B5" t="s">
        <v>692</v>
      </c>
      <c r="C5" t="s">
        <v>693</v>
      </c>
      <c r="D5" t="s">
        <v>693</v>
      </c>
      <c r="E5">
        <v>8724</v>
      </c>
      <c r="F5">
        <v>8724</v>
      </c>
      <c r="G5" t="s">
        <v>11</v>
      </c>
      <c r="H5" t="s">
        <v>1464</v>
      </c>
      <c r="I5" t="s">
        <v>695</v>
      </c>
    </row>
    <row r="6" spans="1:9" x14ac:dyDescent="0.75">
      <c r="A6" t="s">
        <v>691</v>
      </c>
      <c r="B6" t="s">
        <v>692</v>
      </c>
      <c r="C6" t="s">
        <v>693</v>
      </c>
      <c r="D6" t="s">
        <v>693</v>
      </c>
      <c r="E6">
        <v>20004</v>
      </c>
      <c r="F6">
        <v>20004</v>
      </c>
      <c r="G6" t="s">
        <v>11</v>
      </c>
      <c r="H6" t="s">
        <v>694</v>
      </c>
      <c r="I6" t="s">
        <v>695</v>
      </c>
    </row>
    <row r="9" spans="1:9" ht="44.25" x14ac:dyDescent="0.75">
      <c r="C9" s="8" t="s">
        <v>1</v>
      </c>
      <c r="D9" s="8" t="s">
        <v>2</v>
      </c>
      <c r="E9" s="8" t="s">
        <v>3</v>
      </c>
      <c r="F9" s="9" t="s">
        <v>3078</v>
      </c>
      <c r="G9" s="9" t="s">
        <v>3079</v>
      </c>
    </row>
    <row r="10" spans="1:9" x14ac:dyDescent="0.75">
      <c r="B10" t="s">
        <v>3103</v>
      </c>
      <c r="C10" t="str">
        <f>B6</f>
        <v>SNP T2 Tumblers</v>
      </c>
      <c r="D10" t="str">
        <f>D6</f>
        <v>Tier 2 Thermal Tumblers in a mixed carton with filler</v>
      </c>
      <c r="E10">
        <f>E6+E5+E4</f>
        <v>29514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9E5E-D39B-4981-A12A-8C3B740B1207}">
  <dimension ref="A1:I8"/>
  <sheetViews>
    <sheetView workbookViewId="0">
      <selection activeCell="B8" sqref="B8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8.906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3090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1868</v>
      </c>
      <c r="B4" t="s">
        <v>1869</v>
      </c>
      <c r="C4" t="s">
        <v>1870</v>
      </c>
      <c r="D4" t="s">
        <v>1870</v>
      </c>
      <c r="E4">
        <v>28000</v>
      </c>
      <c r="F4">
        <v>28000</v>
      </c>
      <c r="G4" t="s">
        <v>11</v>
      </c>
      <c r="H4" t="s">
        <v>1871</v>
      </c>
      <c r="I4" t="s">
        <v>1872</v>
      </c>
    </row>
    <row r="7" spans="1:9" ht="44.25" x14ac:dyDescent="0.75">
      <c r="C7" s="8" t="s">
        <v>1</v>
      </c>
      <c r="D7" s="8" t="s">
        <v>2</v>
      </c>
      <c r="E7" s="8" t="s">
        <v>3</v>
      </c>
      <c r="F7" s="9" t="s">
        <v>3078</v>
      </c>
      <c r="G7" s="9" t="s">
        <v>3079</v>
      </c>
    </row>
    <row r="8" spans="1:9" x14ac:dyDescent="0.75">
      <c r="B8" t="s">
        <v>3103</v>
      </c>
      <c r="C8" t="str" cm="1">
        <f t="array" ref="C8">Table12[Item Being Procured: Item Number]</f>
        <v>SSF-HKG711-DWG</v>
      </c>
      <c r="D8" t="str" cm="1">
        <f t="array" ref="D8">Table12[Item Description2]</f>
        <v>Double Walled Glasses with Facet cut styling</v>
      </c>
      <c r="E8" cm="1">
        <f t="array" ref="E8">Table12[Quantity]</f>
        <v>28000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04B8-4D13-478A-9525-BE79AEFF4ECF}">
  <dimension ref="A1:I8"/>
  <sheetViews>
    <sheetView workbookViewId="0">
      <selection activeCell="B8" sqref="B8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4.4531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3092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543</v>
      </c>
      <c r="B4" t="s">
        <v>544</v>
      </c>
      <c r="C4" t="s">
        <v>545</v>
      </c>
      <c r="D4" t="s">
        <v>545</v>
      </c>
      <c r="E4">
        <v>20016</v>
      </c>
      <c r="F4">
        <v>20016</v>
      </c>
      <c r="G4" t="s">
        <v>11</v>
      </c>
      <c r="H4" t="s">
        <v>521</v>
      </c>
      <c r="I4" t="s">
        <v>546</v>
      </c>
    </row>
    <row r="7" spans="1:9" ht="44.25" x14ac:dyDescent="0.75">
      <c r="C7" s="8" t="s">
        <v>1</v>
      </c>
      <c r="D7" s="8" t="s">
        <v>2</v>
      </c>
      <c r="E7" s="8" t="s">
        <v>3</v>
      </c>
      <c r="F7" s="9" t="s">
        <v>3078</v>
      </c>
      <c r="G7" s="9" t="s">
        <v>3079</v>
      </c>
    </row>
    <row r="8" spans="1:9" x14ac:dyDescent="0.75">
      <c r="B8" t="s">
        <v>3104</v>
      </c>
      <c r="C8" t="str" cm="1">
        <f t="array" ref="C8">Table14[Item Being Procured: Item Number]</f>
        <v>LMI-E01-SP302</v>
      </c>
      <c r="D8" t="str" cm="1">
        <f t="array" ref="D8">Table14[Item Description2]</f>
        <v>Minecraft album for 24 Tagz</v>
      </c>
      <c r="E8" cm="1">
        <f t="array" ref="E8">Table14[Quantity]</f>
        <v>20016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815F-B27F-4FA4-ACE1-3D475383B7A8}">
  <sheetPr>
    <tabColor theme="9"/>
  </sheetPr>
  <dimension ref="A1:I8"/>
  <sheetViews>
    <sheetView workbookViewId="0">
      <selection activeCell="B8" sqref="B8"/>
    </sheetView>
  </sheetViews>
  <sheetFormatPr defaultRowHeight="14.75" x14ac:dyDescent="0.75"/>
  <cols>
    <col min="1" max="1" width="23.7265625" customWidth="1"/>
    <col min="2" max="2" width="32.31640625" customWidth="1"/>
    <col min="3" max="3" width="17.1796875" customWidth="1"/>
    <col min="4" max="4" width="18.1328125" customWidth="1"/>
    <col min="5" max="5" width="10.08984375" customWidth="1"/>
    <col min="6" max="6" width="18.54296875" customWidth="1"/>
    <col min="8" max="8" width="20.453125" customWidth="1"/>
    <col min="9" max="9" width="31.2265625" customWidth="1"/>
  </cols>
  <sheetData>
    <row r="1" spans="1:9" x14ac:dyDescent="0.75">
      <c r="A1" s="6" t="s">
        <v>3093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2138</v>
      </c>
      <c r="B4" t="s">
        <v>2139</v>
      </c>
      <c r="C4" t="s">
        <v>2140</v>
      </c>
      <c r="D4" t="s">
        <v>2140</v>
      </c>
      <c r="E4">
        <v>11610</v>
      </c>
      <c r="F4">
        <v>0</v>
      </c>
      <c r="G4" t="s">
        <v>196</v>
      </c>
      <c r="H4" t="s">
        <v>2040</v>
      </c>
      <c r="I4" t="s">
        <v>2141</v>
      </c>
    </row>
    <row r="7" spans="1:9" ht="44.25" x14ac:dyDescent="0.75">
      <c r="C7" s="8" t="s">
        <v>1</v>
      </c>
      <c r="D7" s="8" t="s">
        <v>2</v>
      </c>
      <c r="E7" s="8" t="s">
        <v>3</v>
      </c>
      <c r="F7" s="9" t="s">
        <v>3078</v>
      </c>
      <c r="G7" s="9" t="s">
        <v>3079</v>
      </c>
    </row>
    <row r="8" spans="1:9" x14ac:dyDescent="0.75">
      <c r="B8" t="s">
        <v>3102</v>
      </c>
      <c r="C8" t="str" cm="1">
        <f t="array" ref="C8">Table15[Item Being Procured: Item Number]</f>
        <v>LPK-E01-ACC08</v>
      </c>
      <c r="D8" t="str" cm="1">
        <f t="array" ref="D8">Table15[Item Description2]</f>
        <v>Pokemon Umbrella</v>
      </c>
      <c r="E8" cm="1">
        <f t="array" ref="E8">Table15[Quantity]</f>
        <v>11610</v>
      </c>
      <c r="F8">
        <v>10.016999999999999</v>
      </c>
      <c r="G8">
        <f>F8*E8</f>
        <v>116297.37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275E-EA71-44F4-A301-68063D605242}">
  <dimension ref="A1:I8"/>
  <sheetViews>
    <sheetView workbookViewId="0">
      <selection activeCell="B8" sqref="B8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0.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5.90625" bestFit="1" customWidth="1"/>
  </cols>
  <sheetData>
    <row r="1" spans="1:9" x14ac:dyDescent="0.75">
      <c r="A1" s="6" t="s">
        <v>3094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1431</v>
      </c>
      <c r="B4" t="s">
        <v>1432</v>
      </c>
      <c r="C4" t="s">
        <v>1433</v>
      </c>
      <c r="D4" t="s">
        <v>1433</v>
      </c>
      <c r="E4">
        <v>10000</v>
      </c>
      <c r="F4">
        <v>10000</v>
      </c>
      <c r="G4" t="s">
        <v>11</v>
      </c>
      <c r="H4" t="s">
        <v>1434</v>
      </c>
      <c r="I4" t="s">
        <v>1435</v>
      </c>
    </row>
    <row r="7" spans="1:9" ht="44.25" x14ac:dyDescent="0.75">
      <c r="C7" s="8" t="s">
        <v>1</v>
      </c>
      <c r="D7" s="8" t="s">
        <v>2</v>
      </c>
      <c r="E7" s="8" t="s">
        <v>3</v>
      </c>
      <c r="F7" s="9" t="s">
        <v>3078</v>
      </c>
      <c r="G7" s="9" t="s">
        <v>3079</v>
      </c>
    </row>
    <row r="8" spans="1:9" x14ac:dyDescent="0.75">
      <c r="B8" t="s">
        <v>3103</v>
      </c>
      <c r="C8" t="str" cm="1">
        <f t="array" ref="C8">Table16[Item Being Procured: Item Number]</f>
        <v>G0351101</v>
      </c>
      <c r="D8" t="str" cm="1">
        <f t="array" ref="D8">Table16[Item Description2]</f>
        <v>Monopoly Deal Refresh</v>
      </c>
      <c r="E8" cm="1">
        <f t="array" ref="E8">Table16[Quantity]</f>
        <v>10000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ACA6-0789-4B06-AE49-FD63FA555BD7}">
  <sheetPr>
    <tabColor theme="9"/>
  </sheetPr>
  <dimension ref="A1:I8"/>
  <sheetViews>
    <sheetView workbookViewId="0">
      <selection activeCell="B8" sqref="B8"/>
    </sheetView>
  </sheetViews>
  <sheetFormatPr defaultRowHeight="14.75" x14ac:dyDescent="0.75"/>
  <cols>
    <col min="1" max="1" width="23.7265625" customWidth="1"/>
    <col min="2" max="2" width="32.31640625" customWidth="1"/>
    <col min="3" max="3" width="17.1796875" customWidth="1"/>
    <col min="4" max="4" width="18.1328125" customWidth="1"/>
    <col min="5" max="5" width="10.08984375" customWidth="1"/>
    <col min="6" max="6" width="18.54296875" customWidth="1"/>
    <col min="8" max="8" width="20.453125" customWidth="1"/>
    <col min="9" max="9" width="31.2265625" customWidth="1"/>
  </cols>
  <sheetData>
    <row r="1" spans="1:9" x14ac:dyDescent="0.75">
      <c r="A1" s="6" t="s">
        <v>3095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744</v>
      </c>
      <c r="B4" t="s">
        <v>745</v>
      </c>
      <c r="C4" t="s">
        <v>746</v>
      </c>
      <c r="D4" t="s">
        <v>746</v>
      </c>
      <c r="E4">
        <v>9168</v>
      </c>
      <c r="F4">
        <v>9168</v>
      </c>
      <c r="G4" t="s">
        <v>11</v>
      </c>
      <c r="H4" t="s">
        <v>732</v>
      </c>
      <c r="I4" t="s">
        <v>747</v>
      </c>
    </row>
    <row r="7" spans="1:9" ht="44.25" x14ac:dyDescent="0.75">
      <c r="C7" s="8" t="s">
        <v>1</v>
      </c>
      <c r="D7" s="8" t="s">
        <v>2</v>
      </c>
      <c r="E7" s="8" t="s">
        <v>3</v>
      </c>
      <c r="F7" s="9" t="s">
        <v>3078</v>
      </c>
      <c r="G7" s="9" t="s">
        <v>3079</v>
      </c>
    </row>
    <row r="8" spans="1:9" x14ac:dyDescent="0.75">
      <c r="B8" t="s">
        <v>3103</v>
      </c>
      <c r="C8" t="str" cm="1">
        <f t="array" ref="C8">Table17[Item Being Procured: Item Number]</f>
        <v>LHP-E01-SP3D4</v>
      </c>
      <c r="D8" t="str" cm="1">
        <f t="array" ref="D8">Table17[Item Description2]</f>
        <v>HP wand</v>
      </c>
      <c r="E8" cm="1">
        <f t="array" ref="E8">Table17[Quantity]</f>
        <v>9168</v>
      </c>
      <c r="F8">
        <v>0.36599999999999999</v>
      </c>
      <c r="G8">
        <f>F8*E8</f>
        <v>3355.4879999999998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5506-8778-4BC3-AE2C-72A1930FB508}">
  <dimension ref="A1:I8"/>
  <sheetViews>
    <sheetView workbookViewId="0">
      <selection activeCell="B8" sqref="B8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1.0429687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6.31640625" bestFit="1" customWidth="1"/>
  </cols>
  <sheetData>
    <row r="1" spans="1:9" x14ac:dyDescent="0.75">
      <c r="A1" s="6" t="s">
        <v>3096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686</v>
      </c>
      <c r="B4" t="s">
        <v>687</v>
      </c>
      <c r="C4" t="s">
        <v>688</v>
      </c>
      <c r="D4" t="s">
        <v>688</v>
      </c>
      <c r="E4">
        <v>8004</v>
      </c>
      <c r="F4">
        <v>8004</v>
      </c>
      <c r="G4" t="s">
        <v>11</v>
      </c>
      <c r="H4" t="s">
        <v>689</v>
      </c>
      <c r="I4" t="s">
        <v>690</v>
      </c>
    </row>
    <row r="7" spans="1:9" ht="44.25" x14ac:dyDescent="0.75">
      <c r="C7" s="8" t="s">
        <v>1</v>
      </c>
      <c r="D7" s="8" t="s">
        <v>2</v>
      </c>
      <c r="E7" s="8" t="s">
        <v>3</v>
      </c>
      <c r="F7" s="9" t="s">
        <v>3078</v>
      </c>
      <c r="G7" s="9" t="s">
        <v>3079</v>
      </c>
    </row>
    <row r="8" spans="1:9" x14ac:dyDescent="0.75">
      <c r="B8" t="s">
        <v>3103</v>
      </c>
      <c r="C8" t="str" cm="1">
        <f t="array" ref="C8">Table18[Item Being Procured: Item Number]</f>
        <v>SNP 2L Bottle</v>
      </c>
      <c r="D8" t="str" cm="1">
        <f t="array" ref="D8">Table18[Item Description2]</f>
        <v>2L Tritan Drinking Bottle</v>
      </c>
      <c r="E8" cm="1">
        <f t="array" ref="E8">Table18[Quantity]</f>
        <v>8004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F80A-0789-4BAF-9888-E12C20A33313}">
  <dimension ref="A1:I11"/>
  <sheetViews>
    <sheetView workbookViewId="0">
      <selection activeCell="B10" sqref="B10:B11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49.13281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4.1328125" bestFit="1" customWidth="1"/>
  </cols>
  <sheetData>
    <row r="1" spans="1:9" x14ac:dyDescent="0.75">
      <c r="A1" s="6" t="s">
        <v>3097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1164</v>
      </c>
      <c r="B4" t="s">
        <v>734</v>
      </c>
      <c r="C4" t="s">
        <v>735</v>
      </c>
      <c r="D4" t="s">
        <v>735</v>
      </c>
      <c r="E4">
        <v>1100</v>
      </c>
      <c r="F4">
        <v>1100</v>
      </c>
      <c r="G4" t="s">
        <v>11</v>
      </c>
      <c r="H4" t="s">
        <v>1163</v>
      </c>
      <c r="I4" t="s">
        <v>733</v>
      </c>
    </row>
    <row r="5" spans="1:9" x14ac:dyDescent="0.75">
      <c r="A5" t="s">
        <v>729</v>
      </c>
      <c r="B5" t="s">
        <v>734</v>
      </c>
      <c r="C5" t="s">
        <v>735</v>
      </c>
      <c r="D5" t="s">
        <v>735</v>
      </c>
      <c r="E5">
        <v>500</v>
      </c>
      <c r="F5">
        <v>500</v>
      </c>
      <c r="G5" t="s">
        <v>11</v>
      </c>
      <c r="H5" t="s">
        <v>732</v>
      </c>
      <c r="I5" t="s">
        <v>733</v>
      </c>
    </row>
    <row r="6" spans="1:9" x14ac:dyDescent="0.75">
      <c r="A6" t="s">
        <v>729</v>
      </c>
      <c r="B6" t="s">
        <v>730</v>
      </c>
      <c r="C6" t="s">
        <v>731</v>
      </c>
      <c r="D6" t="s">
        <v>731</v>
      </c>
      <c r="E6">
        <v>5000</v>
      </c>
      <c r="F6">
        <v>5000</v>
      </c>
      <c r="G6" t="s">
        <v>11</v>
      </c>
      <c r="H6" t="s">
        <v>732</v>
      </c>
      <c r="I6" t="s">
        <v>733</v>
      </c>
    </row>
    <row r="9" spans="1:9" ht="44.25" x14ac:dyDescent="0.75">
      <c r="C9" s="8" t="s">
        <v>1</v>
      </c>
      <c r="D9" s="8" t="s">
        <v>2</v>
      </c>
      <c r="E9" s="8" t="s">
        <v>3</v>
      </c>
      <c r="F9" s="9" t="s">
        <v>3078</v>
      </c>
      <c r="G9" s="9" t="s">
        <v>3079</v>
      </c>
    </row>
    <row r="10" spans="1:9" x14ac:dyDescent="0.75">
      <c r="B10" t="s">
        <v>3101</v>
      </c>
      <c r="C10" t="str">
        <f>B5</f>
        <v>SNP 1M Snuggly Snoopy</v>
      </c>
      <c r="D10" t="str">
        <f>D5</f>
        <v>1M Monochrome Snoopy plush</v>
      </c>
      <c r="E10">
        <f>E4+E5</f>
        <v>1600</v>
      </c>
    </row>
    <row r="11" spans="1:9" x14ac:dyDescent="0.75">
      <c r="B11" t="s">
        <v>3101</v>
      </c>
      <c r="C11" t="str">
        <f>B6</f>
        <v>SNP 20cm Plush Snoopy</v>
      </c>
      <c r="D11" t="str">
        <f>D6</f>
        <v>20cm Plush Monochrome Snoopy with cap &amp; sunglasses</v>
      </c>
      <c r="E11">
        <f>E6</f>
        <v>5000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BF83-D933-4F03-A139-369180857EEF}">
  <dimension ref="A1:I8"/>
  <sheetViews>
    <sheetView workbookViewId="0">
      <selection activeCell="B8" sqref="B8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7.406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3098</v>
      </c>
    </row>
    <row r="3" spans="1:9" x14ac:dyDescent="0.75">
      <c r="A3" t="s">
        <v>0</v>
      </c>
      <c r="B3" t="s">
        <v>1</v>
      </c>
      <c r="C3" t="s">
        <v>2</v>
      </c>
      <c r="D3" t="s">
        <v>2989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722</v>
      </c>
      <c r="B4" t="s">
        <v>723</v>
      </c>
      <c r="C4" t="s">
        <v>724</v>
      </c>
      <c r="D4" t="s">
        <v>724</v>
      </c>
      <c r="E4">
        <v>5008</v>
      </c>
      <c r="F4">
        <v>5008</v>
      </c>
      <c r="G4" t="s">
        <v>11</v>
      </c>
      <c r="H4" t="s">
        <v>725</v>
      </c>
      <c r="I4" t="s">
        <v>726</v>
      </c>
    </row>
    <row r="7" spans="1:9" ht="44.25" x14ac:dyDescent="0.75">
      <c r="C7" s="8" t="s">
        <v>1</v>
      </c>
      <c r="D7" s="8" t="s">
        <v>2</v>
      </c>
      <c r="E7" s="8" t="s">
        <v>3</v>
      </c>
      <c r="F7" s="9" t="s">
        <v>3078</v>
      </c>
      <c r="G7" s="9" t="s">
        <v>3079</v>
      </c>
    </row>
    <row r="8" spans="1:9" x14ac:dyDescent="0.75">
      <c r="B8" t="s">
        <v>3102</v>
      </c>
      <c r="C8" t="str" cm="1">
        <f t="array" ref="C8">Table20[Item Being Procured: Item Number]</f>
        <v>SNP Black Umbrella</v>
      </c>
      <c r="D8" t="str" cm="1">
        <f t="array" ref="D8">Table20[Item Description2]</f>
        <v>Snoopy Urban Style Umbrella with J Handle</v>
      </c>
      <c r="E8" cm="1">
        <f t="array" ref="E8">Table20[Quantity]</f>
        <v>5008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33"/>
  <sheetViews>
    <sheetView workbookViewId="0">
      <selection activeCell="B22" sqref="B22"/>
    </sheetView>
  </sheetViews>
  <sheetFormatPr defaultRowHeight="14.75" x14ac:dyDescent="0.75"/>
  <cols>
    <col min="1" max="1" width="24" customWidth="1"/>
    <col min="2" max="2" width="34" customWidth="1"/>
    <col min="3" max="4" width="69" customWidth="1"/>
    <col min="5" max="5" width="13" customWidth="1"/>
    <col min="6" max="6" width="19" customWidth="1"/>
    <col min="7" max="7" width="10" customWidth="1"/>
    <col min="8" max="8" width="21" customWidth="1"/>
    <col min="9" max="9" width="51" customWidth="1"/>
  </cols>
  <sheetData>
    <row r="1" spans="1:9" ht="16" x14ac:dyDescent="0.8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6" x14ac:dyDescent="0.8">
      <c r="A2" s="2" t="s">
        <v>8</v>
      </c>
      <c r="B2" s="2" t="s">
        <v>9</v>
      </c>
      <c r="C2" s="2" t="s">
        <v>10</v>
      </c>
      <c r="D2" s="2" t="s">
        <v>10</v>
      </c>
      <c r="E2" s="3">
        <v>11400</v>
      </c>
      <c r="F2" s="3">
        <v>11400</v>
      </c>
      <c r="G2" s="2" t="s">
        <v>11</v>
      </c>
      <c r="H2" s="2" t="s">
        <v>12</v>
      </c>
      <c r="I2" s="2" t="s">
        <v>13</v>
      </c>
    </row>
    <row r="3" spans="1:9" ht="16" x14ac:dyDescent="0.8">
      <c r="A3" s="2" t="s">
        <v>14</v>
      </c>
      <c r="B3" s="2" t="s">
        <v>15</v>
      </c>
      <c r="C3" s="2" t="s">
        <v>16</v>
      </c>
      <c r="D3" s="2" t="s">
        <v>16</v>
      </c>
      <c r="E3" s="3">
        <v>5000</v>
      </c>
      <c r="F3" s="3">
        <v>5000</v>
      </c>
      <c r="G3" s="2" t="s">
        <v>11</v>
      </c>
      <c r="H3" s="2" t="s">
        <v>12</v>
      </c>
      <c r="I3" s="2" t="s">
        <v>17</v>
      </c>
    </row>
    <row r="4" spans="1:9" ht="16" x14ac:dyDescent="0.8">
      <c r="A4" s="2" t="s">
        <v>14</v>
      </c>
      <c r="B4" s="2" t="s">
        <v>18</v>
      </c>
      <c r="C4" s="2" t="s">
        <v>19</v>
      </c>
      <c r="D4" s="2" t="s">
        <v>19</v>
      </c>
      <c r="E4" s="3">
        <v>5000</v>
      </c>
      <c r="F4" s="3">
        <v>5000</v>
      </c>
      <c r="G4" s="2" t="s">
        <v>11</v>
      </c>
      <c r="H4" s="2" t="s">
        <v>12</v>
      </c>
      <c r="I4" s="2" t="s">
        <v>17</v>
      </c>
    </row>
    <row r="5" spans="1:9" ht="16" x14ac:dyDescent="0.8">
      <c r="A5" s="2" t="s">
        <v>20</v>
      </c>
      <c r="B5" s="2" t="s">
        <v>21</v>
      </c>
      <c r="C5" s="2" t="s">
        <v>22</v>
      </c>
      <c r="D5" s="2" t="s">
        <v>22</v>
      </c>
      <c r="E5" s="3">
        <v>39936</v>
      </c>
      <c r="F5" s="3">
        <v>39936</v>
      </c>
      <c r="G5" s="2" t="s">
        <v>11</v>
      </c>
      <c r="H5" s="2" t="s">
        <v>12</v>
      </c>
      <c r="I5" s="2" t="s">
        <v>23</v>
      </c>
    </row>
    <row r="6" spans="1:9" ht="16" x14ac:dyDescent="0.8">
      <c r="A6" s="2" t="s">
        <v>20</v>
      </c>
      <c r="B6" s="2" t="s">
        <v>24</v>
      </c>
      <c r="C6" s="2" t="s">
        <v>25</v>
      </c>
      <c r="D6" s="2" t="s">
        <v>25</v>
      </c>
      <c r="E6" s="3">
        <v>39936</v>
      </c>
      <c r="F6" s="3">
        <v>39936</v>
      </c>
      <c r="G6" s="2" t="s">
        <v>11</v>
      </c>
      <c r="H6" s="2" t="s">
        <v>12</v>
      </c>
      <c r="I6" s="2" t="s">
        <v>23</v>
      </c>
    </row>
    <row r="7" spans="1:9" ht="16" x14ac:dyDescent="0.8">
      <c r="A7" s="2" t="s">
        <v>20</v>
      </c>
      <c r="B7" s="2" t="s">
        <v>26</v>
      </c>
      <c r="C7" s="2" t="s">
        <v>27</v>
      </c>
      <c r="D7" s="2" t="s">
        <v>27</v>
      </c>
      <c r="E7" s="3">
        <v>54528</v>
      </c>
      <c r="F7" s="3">
        <v>54528</v>
      </c>
      <c r="G7" s="2" t="s">
        <v>11</v>
      </c>
      <c r="H7" s="2" t="s">
        <v>12</v>
      </c>
      <c r="I7" s="2" t="s">
        <v>23</v>
      </c>
    </row>
    <row r="8" spans="1:9" ht="16" x14ac:dyDescent="0.8">
      <c r="A8" s="2" t="s">
        <v>20</v>
      </c>
      <c r="B8" s="2" t="s">
        <v>28</v>
      </c>
      <c r="C8" s="2" t="s">
        <v>29</v>
      </c>
      <c r="D8" s="2" t="s">
        <v>29</v>
      </c>
      <c r="E8" s="3">
        <v>43776</v>
      </c>
      <c r="F8" s="3">
        <v>43776</v>
      </c>
      <c r="G8" s="2" t="s">
        <v>11</v>
      </c>
      <c r="H8" s="2" t="s">
        <v>12</v>
      </c>
      <c r="I8" s="2" t="s">
        <v>23</v>
      </c>
    </row>
    <row r="9" spans="1:9" ht="16" x14ac:dyDescent="0.8">
      <c r="A9" s="2" t="s">
        <v>20</v>
      </c>
      <c r="B9" s="2" t="s">
        <v>30</v>
      </c>
      <c r="C9" s="2" t="s">
        <v>31</v>
      </c>
      <c r="D9" s="2" t="s">
        <v>31</v>
      </c>
      <c r="E9" s="3">
        <v>28800</v>
      </c>
      <c r="F9" s="3">
        <v>28800</v>
      </c>
      <c r="G9" s="2" t="s">
        <v>11</v>
      </c>
      <c r="H9" s="2" t="s">
        <v>12</v>
      </c>
      <c r="I9" s="2" t="s">
        <v>23</v>
      </c>
    </row>
    <row r="10" spans="1:9" ht="16" x14ac:dyDescent="0.8">
      <c r="A10" s="2" t="s">
        <v>20</v>
      </c>
      <c r="B10" s="2" t="s">
        <v>32</v>
      </c>
      <c r="C10" s="2" t="s">
        <v>33</v>
      </c>
      <c r="D10" s="2" t="s">
        <v>33</v>
      </c>
      <c r="E10" s="3">
        <v>28800</v>
      </c>
      <c r="F10" s="3">
        <v>28800</v>
      </c>
      <c r="G10" s="2" t="s">
        <v>11</v>
      </c>
      <c r="H10" s="2" t="s">
        <v>12</v>
      </c>
      <c r="I10" s="2" t="s">
        <v>23</v>
      </c>
    </row>
    <row r="11" spans="1:9" ht="16" x14ac:dyDescent="0.8">
      <c r="A11" s="2" t="s">
        <v>34</v>
      </c>
      <c r="B11" s="2" t="s">
        <v>35</v>
      </c>
      <c r="C11" s="2" t="s">
        <v>36</v>
      </c>
      <c r="D11" s="2" t="s">
        <v>36</v>
      </c>
      <c r="E11" s="3">
        <v>486</v>
      </c>
      <c r="F11" s="3">
        <v>486</v>
      </c>
      <c r="G11" s="2" t="s">
        <v>11</v>
      </c>
      <c r="H11" s="2" t="s">
        <v>37</v>
      </c>
      <c r="I11" s="2" t="s">
        <v>38</v>
      </c>
    </row>
    <row r="12" spans="1:9" ht="16" x14ac:dyDescent="0.8">
      <c r="A12" s="2" t="s">
        <v>34</v>
      </c>
      <c r="B12" s="2" t="s">
        <v>39</v>
      </c>
      <c r="C12" s="2" t="s">
        <v>40</v>
      </c>
      <c r="D12" s="2" t="s">
        <v>40</v>
      </c>
      <c r="E12" s="3">
        <v>6774</v>
      </c>
      <c r="F12" s="3">
        <v>6774</v>
      </c>
      <c r="G12" s="2" t="s">
        <v>11</v>
      </c>
      <c r="H12" s="2" t="s">
        <v>37</v>
      </c>
      <c r="I12" s="2" t="s">
        <v>38</v>
      </c>
    </row>
    <row r="13" spans="1:9" ht="16" x14ac:dyDescent="0.8">
      <c r="A13" s="2" t="s">
        <v>34</v>
      </c>
      <c r="B13" s="2" t="s">
        <v>41</v>
      </c>
      <c r="C13" s="2" t="s">
        <v>42</v>
      </c>
      <c r="D13" s="2" t="s">
        <v>42</v>
      </c>
      <c r="E13" s="3">
        <v>12896</v>
      </c>
      <c r="F13" s="3">
        <v>12732</v>
      </c>
      <c r="G13" s="2" t="s">
        <v>11</v>
      </c>
      <c r="H13" s="2" t="s">
        <v>37</v>
      </c>
      <c r="I13" s="2" t="s">
        <v>38</v>
      </c>
    </row>
    <row r="14" spans="1:9" ht="16" x14ac:dyDescent="0.8">
      <c r="A14" s="2" t="s">
        <v>43</v>
      </c>
      <c r="B14" s="2" t="s">
        <v>44</v>
      </c>
      <c r="C14" s="2" t="s">
        <v>45</v>
      </c>
      <c r="D14" s="2" t="s">
        <v>45</v>
      </c>
      <c r="E14" s="3">
        <v>1</v>
      </c>
      <c r="F14" s="3">
        <v>1</v>
      </c>
      <c r="G14" s="2" t="s">
        <v>11</v>
      </c>
      <c r="H14" s="2" t="s">
        <v>46</v>
      </c>
      <c r="I14" s="2" t="s">
        <v>47</v>
      </c>
    </row>
    <row r="15" spans="1:9" ht="16" x14ac:dyDescent="0.8">
      <c r="A15" s="2" t="s">
        <v>43</v>
      </c>
      <c r="B15" s="2" t="s">
        <v>48</v>
      </c>
      <c r="C15" s="2" t="s">
        <v>49</v>
      </c>
      <c r="D15" s="2" t="s">
        <v>49</v>
      </c>
      <c r="E15" s="3">
        <v>2</v>
      </c>
      <c r="F15" s="3">
        <v>2</v>
      </c>
      <c r="G15" s="2" t="s">
        <v>11</v>
      </c>
      <c r="H15" s="2" t="s">
        <v>46</v>
      </c>
      <c r="I15" s="2" t="s">
        <v>47</v>
      </c>
    </row>
    <row r="16" spans="1:9" ht="16" x14ac:dyDescent="0.8">
      <c r="A16" s="2" t="s">
        <v>50</v>
      </c>
      <c r="B16" s="2" t="s">
        <v>51</v>
      </c>
      <c r="C16" s="2" t="s">
        <v>52</v>
      </c>
      <c r="D16" s="2" t="s">
        <v>52</v>
      </c>
      <c r="E16" s="3">
        <v>3</v>
      </c>
      <c r="F16" s="3">
        <v>3</v>
      </c>
      <c r="G16" s="2" t="s">
        <v>11</v>
      </c>
      <c r="H16" s="2" t="s">
        <v>46</v>
      </c>
      <c r="I16" s="2" t="s">
        <v>53</v>
      </c>
    </row>
    <row r="17" spans="1:9" ht="16" x14ac:dyDescent="0.8">
      <c r="A17" s="2" t="s">
        <v>50</v>
      </c>
      <c r="B17" s="2" t="s">
        <v>54</v>
      </c>
      <c r="C17" s="2" t="s">
        <v>55</v>
      </c>
      <c r="D17" s="2" t="s">
        <v>55</v>
      </c>
      <c r="E17" s="3">
        <v>2</v>
      </c>
      <c r="F17" s="3">
        <v>2</v>
      </c>
      <c r="G17" s="2" t="s">
        <v>11</v>
      </c>
      <c r="H17" s="2" t="s">
        <v>46</v>
      </c>
      <c r="I17" s="2" t="s">
        <v>53</v>
      </c>
    </row>
    <row r="18" spans="1:9" ht="16" x14ac:dyDescent="0.8">
      <c r="A18" s="2" t="s">
        <v>50</v>
      </c>
      <c r="B18" s="2" t="s">
        <v>56</v>
      </c>
      <c r="C18" s="2" t="s">
        <v>57</v>
      </c>
      <c r="D18" s="2" t="s">
        <v>57</v>
      </c>
      <c r="E18" s="3">
        <v>14</v>
      </c>
      <c r="F18" s="3">
        <v>14</v>
      </c>
      <c r="G18" s="2" t="s">
        <v>11</v>
      </c>
      <c r="H18" s="2" t="s">
        <v>46</v>
      </c>
      <c r="I18" s="2" t="s">
        <v>53</v>
      </c>
    </row>
    <row r="19" spans="1:9" ht="16" x14ac:dyDescent="0.8">
      <c r="A19" s="2" t="s">
        <v>50</v>
      </c>
      <c r="B19" s="2" t="s">
        <v>58</v>
      </c>
      <c r="C19" s="2" t="s">
        <v>59</v>
      </c>
      <c r="D19" s="2" t="s">
        <v>59</v>
      </c>
      <c r="E19" s="3">
        <v>1</v>
      </c>
      <c r="F19" s="3">
        <v>1</v>
      </c>
      <c r="G19" s="2" t="s">
        <v>11</v>
      </c>
      <c r="H19" s="2" t="s">
        <v>46</v>
      </c>
      <c r="I19" s="2" t="s">
        <v>53</v>
      </c>
    </row>
    <row r="20" spans="1:9" ht="16" x14ac:dyDescent="0.8">
      <c r="A20" s="2" t="s">
        <v>60</v>
      </c>
      <c r="B20" s="2" t="s">
        <v>61</v>
      </c>
      <c r="C20" s="2" t="s">
        <v>62</v>
      </c>
      <c r="D20" s="2" t="s">
        <v>62</v>
      </c>
      <c r="E20" s="3">
        <v>2</v>
      </c>
      <c r="F20" s="3">
        <v>2</v>
      </c>
      <c r="G20" s="2" t="s">
        <v>11</v>
      </c>
      <c r="H20" s="2" t="s">
        <v>46</v>
      </c>
      <c r="I20" s="2" t="s">
        <v>63</v>
      </c>
    </row>
    <row r="21" spans="1:9" ht="16" x14ac:dyDescent="0.8">
      <c r="A21" s="2" t="s">
        <v>60</v>
      </c>
      <c r="B21" s="2" t="s">
        <v>64</v>
      </c>
      <c r="C21" s="2" t="s">
        <v>65</v>
      </c>
      <c r="D21" s="2" t="s">
        <v>65</v>
      </c>
      <c r="E21" s="3">
        <v>2</v>
      </c>
      <c r="F21" s="3">
        <v>2</v>
      </c>
      <c r="G21" s="2" t="s">
        <v>11</v>
      </c>
      <c r="H21" s="2" t="s">
        <v>46</v>
      </c>
      <c r="I21" s="2" t="s">
        <v>63</v>
      </c>
    </row>
    <row r="22" spans="1:9" ht="16" x14ac:dyDescent="0.8">
      <c r="A22" s="2" t="s">
        <v>60</v>
      </c>
      <c r="B22" s="2" t="s">
        <v>66</v>
      </c>
      <c r="C22" s="2" t="s">
        <v>67</v>
      </c>
      <c r="D22" s="2" t="s">
        <v>67</v>
      </c>
      <c r="E22" s="3">
        <v>1</v>
      </c>
      <c r="F22" s="3">
        <v>1</v>
      </c>
      <c r="G22" s="2" t="s">
        <v>11</v>
      </c>
      <c r="H22" s="2" t="s">
        <v>46</v>
      </c>
      <c r="I22" s="2" t="s">
        <v>63</v>
      </c>
    </row>
    <row r="23" spans="1:9" ht="16" x14ac:dyDescent="0.8">
      <c r="A23" s="2" t="s">
        <v>60</v>
      </c>
      <c r="B23" s="2" t="s">
        <v>68</v>
      </c>
      <c r="C23" s="2" t="s">
        <v>69</v>
      </c>
      <c r="D23" s="2" t="s">
        <v>69</v>
      </c>
      <c r="E23" s="3">
        <v>9</v>
      </c>
      <c r="F23" s="3">
        <v>8</v>
      </c>
      <c r="G23" s="2" t="s">
        <v>11</v>
      </c>
      <c r="H23" s="2" t="s">
        <v>46</v>
      </c>
      <c r="I23" s="2" t="s">
        <v>63</v>
      </c>
    </row>
    <row r="24" spans="1:9" ht="16" x14ac:dyDescent="0.8">
      <c r="A24" s="2" t="s">
        <v>60</v>
      </c>
      <c r="B24" s="2" t="s">
        <v>70</v>
      </c>
      <c r="C24" s="2" t="s">
        <v>71</v>
      </c>
      <c r="D24" s="2" t="s">
        <v>71</v>
      </c>
      <c r="E24" s="3">
        <v>1</v>
      </c>
      <c r="F24" s="3">
        <v>1</v>
      </c>
      <c r="G24" s="2" t="s">
        <v>11</v>
      </c>
      <c r="H24" s="2" t="s">
        <v>46</v>
      </c>
      <c r="I24" s="2" t="s">
        <v>63</v>
      </c>
    </row>
    <row r="25" spans="1:9" ht="16" x14ac:dyDescent="0.8">
      <c r="A25" s="2" t="s">
        <v>72</v>
      </c>
      <c r="B25" s="2" t="s">
        <v>73</v>
      </c>
      <c r="C25" s="2" t="s">
        <v>74</v>
      </c>
      <c r="D25" s="2" t="s">
        <v>74</v>
      </c>
      <c r="E25" s="3">
        <v>1</v>
      </c>
      <c r="F25" s="3">
        <v>1</v>
      </c>
      <c r="G25" s="2" t="s">
        <v>11</v>
      </c>
      <c r="H25" s="2" t="s">
        <v>46</v>
      </c>
      <c r="I25" s="2" t="s">
        <v>75</v>
      </c>
    </row>
    <row r="26" spans="1:9" ht="16" x14ac:dyDescent="0.8">
      <c r="A26" s="2" t="s">
        <v>72</v>
      </c>
      <c r="B26" s="2" t="s">
        <v>76</v>
      </c>
      <c r="C26" s="2" t="s">
        <v>77</v>
      </c>
      <c r="D26" s="2" t="s">
        <v>77</v>
      </c>
      <c r="E26" s="3">
        <v>1</v>
      </c>
      <c r="F26" s="3">
        <v>1</v>
      </c>
      <c r="G26" s="2" t="s">
        <v>11</v>
      </c>
      <c r="H26" s="2" t="s">
        <v>46</v>
      </c>
      <c r="I26" s="2" t="s">
        <v>75</v>
      </c>
    </row>
    <row r="27" spans="1:9" ht="16" x14ac:dyDescent="0.8">
      <c r="A27" s="2" t="s">
        <v>78</v>
      </c>
      <c r="B27" s="2" t="s">
        <v>79</v>
      </c>
      <c r="C27" s="2" t="s">
        <v>80</v>
      </c>
      <c r="D27" s="2" t="s">
        <v>80</v>
      </c>
      <c r="E27" s="3">
        <v>1</v>
      </c>
      <c r="F27" s="3">
        <v>1</v>
      </c>
      <c r="G27" s="2" t="s">
        <v>11</v>
      </c>
      <c r="H27" s="2" t="s">
        <v>46</v>
      </c>
      <c r="I27" s="2" t="s">
        <v>81</v>
      </c>
    </row>
    <row r="28" spans="1:9" ht="16" x14ac:dyDescent="0.8">
      <c r="A28" s="2" t="s">
        <v>78</v>
      </c>
      <c r="B28" s="2" t="s">
        <v>82</v>
      </c>
      <c r="C28" s="2" t="s">
        <v>83</v>
      </c>
      <c r="D28" s="2" t="s">
        <v>83</v>
      </c>
      <c r="E28" s="3">
        <v>1</v>
      </c>
      <c r="F28" s="3">
        <v>1</v>
      </c>
      <c r="G28" s="2" t="s">
        <v>11</v>
      </c>
      <c r="H28" s="2" t="s">
        <v>46</v>
      </c>
      <c r="I28" s="2" t="s">
        <v>81</v>
      </c>
    </row>
    <row r="29" spans="1:9" ht="16" x14ac:dyDescent="0.8">
      <c r="A29" s="2" t="s">
        <v>84</v>
      </c>
      <c r="B29" s="2" t="s">
        <v>85</v>
      </c>
      <c r="C29" s="2" t="s">
        <v>86</v>
      </c>
      <c r="D29" s="2" t="s">
        <v>86</v>
      </c>
      <c r="E29" s="3">
        <v>2</v>
      </c>
      <c r="F29" s="3">
        <v>2</v>
      </c>
      <c r="G29" s="2" t="s">
        <v>11</v>
      </c>
      <c r="H29" s="2" t="s">
        <v>46</v>
      </c>
      <c r="I29" s="2" t="s">
        <v>87</v>
      </c>
    </row>
    <row r="30" spans="1:9" ht="16" x14ac:dyDescent="0.8">
      <c r="A30" s="2" t="s">
        <v>84</v>
      </c>
      <c r="B30" s="2" t="s">
        <v>88</v>
      </c>
      <c r="C30" s="2" t="s">
        <v>89</v>
      </c>
      <c r="D30" s="2" t="s">
        <v>89</v>
      </c>
      <c r="E30" s="3">
        <v>2</v>
      </c>
      <c r="F30" s="3">
        <v>2</v>
      </c>
      <c r="G30" s="2" t="s">
        <v>11</v>
      </c>
      <c r="H30" s="2" t="s">
        <v>46</v>
      </c>
      <c r="I30" s="2" t="s">
        <v>87</v>
      </c>
    </row>
    <row r="31" spans="1:9" ht="16" x14ac:dyDescent="0.8">
      <c r="A31" s="2" t="s">
        <v>84</v>
      </c>
      <c r="B31" s="2" t="s">
        <v>90</v>
      </c>
      <c r="C31" s="2" t="s">
        <v>91</v>
      </c>
      <c r="D31" s="2" t="s">
        <v>91</v>
      </c>
      <c r="E31" s="3">
        <v>1</v>
      </c>
      <c r="F31" s="3">
        <v>1</v>
      </c>
      <c r="G31" s="2" t="s">
        <v>11</v>
      </c>
      <c r="H31" s="2" t="s">
        <v>46</v>
      </c>
      <c r="I31" s="2" t="s">
        <v>87</v>
      </c>
    </row>
    <row r="32" spans="1:9" ht="16" x14ac:dyDescent="0.8">
      <c r="A32" s="2" t="s">
        <v>84</v>
      </c>
      <c r="B32" s="2" t="s">
        <v>92</v>
      </c>
      <c r="C32" s="2" t="s">
        <v>93</v>
      </c>
      <c r="D32" s="2" t="s">
        <v>93</v>
      </c>
      <c r="E32" s="3">
        <v>1</v>
      </c>
      <c r="F32" s="3">
        <v>1</v>
      </c>
      <c r="G32" s="2" t="s">
        <v>11</v>
      </c>
      <c r="H32" s="2" t="s">
        <v>46</v>
      </c>
      <c r="I32" s="2" t="s">
        <v>87</v>
      </c>
    </row>
    <row r="33" spans="1:9" ht="16" x14ac:dyDescent="0.8">
      <c r="A33" s="2" t="s">
        <v>84</v>
      </c>
      <c r="B33" s="2" t="s">
        <v>94</v>
      </c>
      <c r="C33" s="2" t="s">
        <v>95</v>
      </c>
      <c r="D33" s="2" t="s">
        <v>95</v>
      </c>
      <c r="E33" s="3">
        <v>2</v>
      </c>
      <c r="F33" s="3">
        <v>2</v>
      </c>
      <c r="G33" s="2" t="s">
        <v>11</v>
      </c>
      <c r="H33" s="2" t="s">
        <v>46</v>
      </c>
      <c r="I33" s="2" t="s">
        <v>87</v>
      </c>
    </row>
    <row r="34" spans="1:9" ht="16" x14ac:dyDescent="0.8">
      <c r="A34" s="2" t="s">
        <v>84</v>
      </c>
      <c r="B34" s="2" t="s">
        <v>96</v>
      </c>
      <c r="C34" s="2" t="s">
        <v>97</v>
      </c>
      <c r="D34" s="2" t="s">
        <v>97</v>
      </c>
      <c r="E34" s="3">
        <v>17</v>
      </c>
      <c r="F34" s="3">
        <v>17</v>
      </c>
      <c r="G34" s="2" t="s">
        <v>11</v>
      </c>
      <c r="H34" s="2" t="s">
        <v>46</v>
      </c>
      <c r="I34" s="2" t="s">
        <v>87</v>
      </c>
    </row>
    <row r="35" spans="1:9" ht="16" x14ac:dyDescent="0.8">
      <c r="A35" s="2" t="s">
        <v>84</v>
      </c>
      <c r="B35" s="2" t="s">
        <v>98</v>
      </c>
      <c r="C35" s="2" t="s">
        <v>99</v>
      </c>
      <c r="D35" s="2" t="s">
        <v>99</v>
      </c>
      <c r="E35" s="3">
        <v>1</v>
      </c>
      <c r="F35" s="3">
        <v>1</v>
      </c>
      <c r="G35" s="2" t="s">
        <v>11</v>
      </c>
      <c r="H35" s="2" t="s">
        <v>46</v>
      </c>
      <c r="I35" s="2" t="s">
        <v>87</v>
      </c>
    </row>
    <row r="36" spans="1:9" ht="16" x14ac:dyDescent="0.8">
      <c r="A36" s="2" t="s">
        <v>84</v>
      </c>
      <c r="B36" s="2" t="s">
        <v>100</v>
      </c>
      <c r="C36" s="2" t="s">
        <v>101</v>
      </c>
      <c r="D36" s="2" t="s">
        <v>101</v>
      </c>
      <c r="E36" s="3">
        <v>1</v>
      </c>
      <c r="F36" s="3">
        <v>1</v>
      </c>
      <c r="G36" s="2" t="s">
        <v>11</v>
      </c>
      <c r="H36" s="2" t="s">
        <v>46</v>
      </c>
      <c r="I36" s="2" t="s">
        <v>87</v>
      </c>
    </row>
    <row r="37" spans="1:9" ht="16" x14ac:dyDescent="0.8">
      <c r="A37" s="2" t="s">
        <v>84</v>
      </c>
      <c r="B37" s="2" t="s">
        <v>102</v>
      </c>
      <c r="C37" s="2" t="s">
        <v>103</v>
      </c>
      <c r="D37" s="2" t="s">
        <v>103</v>
      </c>
      <c r="E37" s="3">
        <v>3</v>
      </c>
      <c r="F37" s="3">
        <v>4</v>
      </c>
      <c r="G37" s="2" t="s">
        <v>11</v>
      </c>
      <c r="H37" s="2" t="s">
        <v>46</v>
      </c>
      <c r="I37" s="2" t="s">
        <v>87</v>
      </c>
    </row>
    <row r="38" spans="1:9" ht="16" x14ac:dyDescent="0.8">
      <c r="A38" s="2" t="s">
        <v>104</v>
      </c>
      <c r="B38" s="2" t="s">
        <v>105</v>
      </c>
      <c r="C38" s="2" t="s">
        <v>106</v>
      </c>
      <c r="D38" s="2" t="s">
        <v>106</v>
      </c>
      <c r="E38" s="3">
        <v>1</v>
      </c>
      <c r="F38" s="3">
        <v>1</v>
      </c>
      <c r="G38" s="2" t="s">
        <v>11</v>
      </c>
      <c r="H38" s="2" t="s">
        <v>46</v>
      </c>
      <c r="I38" s="2" t="s">
        <v>107</v>
      </c>
    </row>
    <row r="39" spans="1:9" ht="16" x14ac:dyDescent="0.8">
      <c r="A39" s="2" t="s">
        <v>108</v>
      </c>
      <c r="B39" s="2" t="s">
        <v>109</v>
      </c>
      <c r="C39" s="2" t="s">
        <v>110</v>
      </c>
      <c r="D39" s="2" t="s">
        <v>110</v>
      </c>
      <c r="E39" s="3">
        <v>6</v>
      </c>
      <c r="F39" s="3">
        <v>6</v>
      </c>
      <c r="G39" s="2" t="s">
        <v>11</v>
      </c>
      <c r="H39" s="2" t="s">
        <v>46</v>
      </c>
      <c r="I39" s="2" t="s">
        <v>111</v>
      </c>
    </row>
    <row r="40" spans="1:9" ht="16" x14ac:dyDescent="0.8">
      <c r="A40" s="2" t="s">
        <v>108</v>
      </c>
      <c r="B40" s="2" t="s">
        <v>112</v>
      </c>
      <c r="C40" s="2" t="s">
        <v>113</v>
      </c>
      <c r="D40" s="2" t="s">
        <v>113</v>
      </c>
      <c r="E40" s="3">
        <v>1</v>
      </c>
      <c r="F40" s="3">
        <v>1</v>
      </c>
      <c r="G40" s="2" t="s">
        <v>11</v>
      </c>
      <c r="H40" s="2" t="s">
        <v>46</v>
      </c>
      <c r="I40" s="2" t="s">
        <v>111</v>
      </c>
    </row>
    <row r="41" spans="1:9" ht="16" x14ac:dyDescent="0.8">
      <c r="A41" s="2" t="s">
        <v>114</v>
      </c>
      <c r="B41" s="2" t="s">
        <v>115</v>
      </c>
      <c r="C41" s="2" t="s">
        <v>116</v>
      </c>
      <c r="D41" s="2" t="s">
        <v>116</v>
      </c>
      <c r="E41" s="3">
        <v>4</v>
      </c>
      <c r="F41" s="3">
        <v>4</v>
      </c>
      <c r="G41" s="2" t="s">
        <v>11</v>
      </c>
      <c r="H41" s="2" t="s">
        <v>46</v>
      </c>
      <c r="I41" s="2" t="s">
        <v>117</v>
      </c>
    </row>
    <row r="42" spans="1:9" ht="16" x14ac:dyDescent="0.8">
      <c r="A42" s="2" t="s">
        <v>114</v>
      </c>
      <c r="B42" s="2" t="s">
        <v>118</v>
      </c>
      <c r="C42" s="2" t="s">
        <v>119</v>
      </c>
      <c r="D42" s="2" t="s">
        <v>119</v>
      </c>
      <c r="E42" s="3">
        <v>1</v>
      </c>
      <c r="F42" s="3">
        <v>1</v>
      </c>
      <c r="G42" s="2" t="s">
        <v>11</v>
      </c>
      <c r="H42" s="2" t="s">
        <v>46</v>
      </c>
      <c r="I42" s="2" t="s">
        <v>117</v>
      </c>
    </row>
    <row r="43" spans="1:9" ht="16" x14ac:dyDescent="0.8">
      <c r="A43" s="2" t="s">
        <v>114</v>
      </c>
      <c r="B43" s="2" t="s">
        <v>120</v>
      </c>
      <c r="C43" s="2" t="s">
        <v>121</v>
      </c>
      <c r="D43" s="2" t="s">
        <v>121</v>
      </c>
      <c r="E43" s="3">
        <v>4</v>
      </c>
      <c r="F43" s="3">
        <v>4</v>
      </c>
      <c r="G43" s="2" t="s">
        <v>11</v>
      </c>
      <c r="H43" s="2" t="s">
        <v>46</v>
      </c>
      <c r="I43" s="2" t="s">
        <v>117</v>
      </c>
    </row>
    <row r="44" spans="1:9" ht="16" x14ac:dyDescent="0.8">
      <c r="A44" s="2" t="s">
        <v>114</v>
      </c>
      <c r="B44" s="2" t="s">
        <v>122</v>
      </c>
      <c r="C44" s="2" t="s">
        <v>123</v>
      </c>
      <c r="D44" s="2" t="s">
        <v>123</v>
      </c>
      <c r="E44" s="3">
        <v>7</v>
      </c>
      <c r="F44" s="3">
        <v>7</v>
      </c>
      <c r="G44" s="2" t="s">
        <v>11</v>
      </c>
      <c r="H44" s="2" t="s">
        <v>46</v>
      </c>
      <c r="I44" s="2" t="s">
        <v>117</v>
      </c>
    </row>
    <row r="45" spans="1:9" ht="16" x14ac:dyDescent="0.8">
      <c r="A45" s="2" t="s">
        <v>114</v>
      </c>
      <c r="B45" s="2" t="s">
        <v>124</v>
      </c>
      <c r="C45" s="2" t="s">
        <v>125</v>
      </c>
      <c r="D45" s="2" t="s">
        <v>125</v>
      </c>
      <c r="E45" s="3">
        <v>6</v>
      </c>
      <c r="F45" s="3">
        <v>6</v>
      </c>
      <c r="G45" s="2" t="s">
        <v>11</v>
      </c>
      <c r="H45" s="2" t="s">
        <v>46</v>
      </c>
      <c r="I45" s="2" t="s">
        <v>117</v>
      </c>
    </row>
    <row r="46" spans="1:9" ht="16" x14ac:dyDescent="0.8">
      <c r="A46" s="2" t="s">
        <v>114</v>
      </c>
      <c r="B46" s="2" t="s">
        <v>126</v>
      </c>
      <c r="C46" s="2" t="s">
        <v>127</v>
      </c>
      <c r="D46" s="2" t="s">
        <v>127</v>
      </c>
      <c r="E46" s="3">
        <v>3</v>
      </c>
      <c r="F46" s="3">
        <v>3</v>
      </c>
      <c r="G46" s="2" t="s">
        <v>11</v>
      </c>
      <c r="H46" s="2" t="s">
        <v>46</v>
      </c>
      <c r="I46" s="2" t="s">
        <v>117</v>
      </c>
    </row>
    <row r="47" spans="1:9" ht="16" x14ac:dyDescent="0.8">
      <c r="A47" s="2" t="s">
        <v>114</v>
      </c>
      <c r="B47" s="2" t="s">
        <v>128</v>
      </c>
      <c r="C47" s="2" t="s">
        <v>129</v>
      </c>
      <c r="D47" s="2" t="s">
        <v>129</v>
      </c>
      <c r="E47" s="3">
        <v>1</v>
      </c>
      <c r="F47" s="3">
        <v>1</v>
      </c>
      <c r="G47" s="2" t="s">
        <v>11</v>
      </c>
      <c r="H47" s="2" t="s">
        <v>46</v>
      </c>
      <c r="I47" s="2" t="s">
        <v>117</v>
      </c>
    </row>
    <row r="48" spans="1:9" ht="16" x14ac:dyDescent="0.8">
      <c r="A48" s="2" t="s">
        <v>130</v>
      </c>
      <c r="B48" s="2" t="s">
        <v>131</v>
      </c>
      <c r="C48" s="2" t="s">
        <v>132</v>
      </c>
      <c r="D48" s="2" t="s">
        <v>132</v>
      </c>
      <c r="E48" s="3">
        <v>2</v>
      </c>
      <c r="F48" s="3">
        <v>2</v>
      </c>
      <c r="G48" s="2" t="s">
        <v>11</v>
      </c>
      <c r="H48" s="2" t="s">
        <v>46</v>
      </c>
      <c r="I48" s="2" t="s">
        <v>133</v>
      </c>
    </row>
    <row r="49" spans="1:9" ht="16" x14ac:dyDescent="0.8">
      <c r="A49" s="2" t="s">
        <v>130</v>
      </c>
      <c r="B49" s="2" t="s">
        <v>134</v>
      </c>
      <c r="C49" s="2" t="s">
        <v>135</v>
      </c>
      <c r="D49" s="2" t="s">
        <v>135</v>
      </c>
      <c r="E49" s="3">
        <v>3</v>
      </c>
      <c r="F49" s="3">
        <v>3</v>
      </c>
      <c r="G49" s="2" t="s">
        <v>11</v>
      </c>
      <c r="H49" s="2" t="s">
        <v>46</v>
      </c>
      <c r="I49" s="2" t="s">
        <v>133</v>
      </c>
    </row>
    <row r="50" spans="1:9" ht="16" x14ac:dyDescent="0.8">
      <c r="A50" s="2" t="s">
        <v>130</v>
      </c>
      <c r="B50" s="2" t="s">
        <v>136</v>
      </c>
      <c r="C50" s="2" t="s">
        <v>137</v>
      </c>
      <c r="D50" s="2" t="s">
        <v>137</v>
      </c>
      <c r="E50" s="3">
        <v>2</v>
      </c>
      <c r="F50" s="3">
        <v>52</v>
      </c>
      <c r="G50" s="2" t="s">
        <v>11</v>
      </c>
      <c r="H50" s="2" t="s">
        <v>46</v>
      </c>
      <c r="I50" s="2" t="s">
        <v>133</v>
      </c>
    </row>
    <row r="51" spans="1:9" ht="16" x14ac:dyDescent="0.8">
      <c r="A51" s="2" t="s">
        <v>130</v>
      </c>
      <c r="B51" s="2" t="s">
        <v>138</v>
      </c>
      <c r="C51" s="2" t="s">
        <v>139</v>
      </c>
      <c r="D51" s="2" t="s">
        <v>139</v>
      </c>
      <c r="E51" s="3">
        <v>2</v>
      </c>
      <c r="F51" s="3">
        <v>2</v>
      </c>
      <c r="G51" s="2" t="s">
        <v>11</v>
      </c>
      <c r="H51" s="2" t="s">
        <v>46</v>
      </c>
      <c r="I51" s="2" t="s">
        <v>133</v>
      </c>
    </row>
    <row r="52" spans="1:9" ht="16" x14ac:dyDescent="0.8">
      <c r="A52" s="2" t="s">
        <v>130</v>
      </c>
      <c r="B52" s="2" t="s">
        <v>140</v>
      </c>
      <c r="C52" s="2" t="s">
        <v>141</v>
      </c>
      <c r="D52" s="2" t="s">
        <v>141</v>
      </c>
      <c r="E52" s="3">
        <v>2</v>
      </c>
      <c r="F52" s="3">
        <v>2</v>
      </c>
      <c r="G52" s="2" t="s">
        <v>11</v>
      </c>
      <c r="H52" s="2" t="s">
        <v>46</v>
      </c>
      <c r="I52" s="2" t="s">
        <v>133</v>
      </c>
    </row>
    <row r="53" spans="1:9" ht="16" x14ac:dyDescent="0.8">
      <c r="A53" s="2" t="s">
        <v>130</v>
      </c>
      <c r="B53" s="2" t="s">
        <v>142</v>
      </c>
      <c r="C53" s="2" t="s">
        <v>143</v>
      </c>
      <c r="D53" s="2" t="s">
        <v>143</v>
      </c>
      <c r="E53" s="3">
        <v>1</v>
      </c>
      <c r="F53" s="3">
        <v>1</v>
      </c>
      <c r="G53" s="2" t="s">
        <v>11</v>
      </c>
      <c r="H53" s="2" t="s">
        <v>46</v>
      </c>
      <c r="I53" s="2" t="s">
        <v>133</v>
      </c>
    </row>
    <row r="54" spans="1:9" ht="16" x14ac:dyDescent="0.8">
      <c r="A54" s="2" t="s">
        <v>130</v>
      </c>
      <c r="B54" s="2" t="s">
        <v>144</v>
      </c>
      <c r="C54" s="2" t="s">
        <v>145</v>
      </c>
      <c r="D54" s="2" t="s">
        <v>145</v>
      </c>
      <c r="E54" s="3">
        <v>1</v>
      </c>
      <c r="F54" s="3">
        <v>1</v>
      </c>
      <c r="G54" s="2" t="s">
        <v>11</v>
      </c>
      <c r="H54" s="2" t="s">
        <v>46</v>
      </c>
      <c r="I54" s="2" t="s">
        <v>133</v>
      </c>
    </row>
    <row r="55" spans="1:9" ht="16" x14ac:dyDescent="0.8">
      <c r="A55" s="2" t="s">
        <v>130</v>
      </c>
      <c r="B55" s="2" t="s">
        <v>146</v>
      </c>
      <c r="C55" s="2" t="s">
        <v>147</v>
      </c>
      <c r="D55" s="2" t="s">
        <v>147</v>
      </c>
      <c r="E55" s="3">
        <v>2</v>
      </c>
      <c r="F55" s="3">
        <v>2</v>
      </c>
      <c r="G55" s="2" t="s">
        <v>11</v>
      </c>
      <c r="H55" s="2" t="s">
        <v>46</v>
      </c>
      <c r="I55" s="2" t="s">
        <v>133</v>
      </c>
    </row>
    <row r="56" spans="1:9" ht="16" x14ac:dyDescent="0.8">
      <c r="A56" s="2" t="s">
        <v>130</v>
      </c>
      <c r="B56" s="2" t="s">
        <v>148</v>
      </c>
      <c r="C56" s="2" t="s">
        <v>149</v>
      </c>
      <c r="D56" s="2" t="s">
        <v>149</v>
      </c>
      <c r="E56" s="3">
        <v>3</v>
      </c>
      <c r="F56" s="3">
        <v>3</v>
      </c>
      <c r="G56" s="2" t="s">
        <v>11</v>
      </c>
      <c r="H56" s="2" t="s">
        <v>46</v>
      </c>
      <c r="I56" s="2" t="s">
        <v>133</v>
      </c>
    </row>
    <row r="57" spans="1:9" ht="16" x14ac:dyDescent="0.8">
      <c r="A57" s="2" t="s">
        <v>130</v>
      </c>
      <c r="B57" s="2" t="s">
        <v>150</v>
      </c>
      <c r="C57" s="2" t="s">
        <v>151</v>
      </c>
      <c r="D57" s="2" t="s">
        <v>151</v>
      </c>
      <c r="E57" s="3">
        <v>6</v>
      </c>
      <c r="F57" s="3">
        <v>6</v>
      </c>
      <c r="G57" s="2" t="s">
        <v>11</v>
      </c>
      <c r="H57" s="2" t="s">
        <v>46</v>
      </c>
      <c r="I57" s="2" t="s">
        <v>133</v>
      </c>
    </row>
    <row r="58" spans="1:9" ht="16" x14ac:dyDescent="0.8">
      <c r="A58" s="2" t="s">
        <v>130</v>
      </c>
      <c r="B58" s="2" t="s">
        <v>152</v>
      </c>
      <c r="C58" s="2" t="s">
        <v>153</v>
      </c>
      <c r="D58" s="2" t="s">
        <v>153</v>
      </c>
      <c r="E58" s="3">
        <v>4</v>
      </c>
      <c r="F58" s="3">
        <v>4</v>
      </c>
      <c r="G58" s="2" t="s">
        <v>11</v>
      </c>
      <c r="H58" s="2" t="s">
        <v>46</v>
      </c>
      <c r="I58" s="2" t="s">
        <v>133</v>
      </c>
    </row>
    <row r="59" spans="1:9" ht="16" x14ac:dyDescent="0.8">
      <c r="A59" s="2" t="s">
        <v>130</v>
      </c>
      <c r="B59" s="2" t="s">
        <v>154</v>
      </c>
      <c r="C59" s="2" t="s">
        <v>155</v>
      </c>
      <c r="D59" s="2" t="s">
        <v>155</v>
      </c>
      <c r="E59" s="3">
        <v>1</v>
      </c>
      <c r="F59" s="3">
        <v>1</v>
      </c>
      <c r="G59" s="2" t="s">
        <v>11</v>
      </c>
      <c r="H59" s="2" t="s">
        <v>46</v>
      </c>
      <c r="I59" s="2" t="s">
        <v>133</v>
      </c>
    </row>
    <row r="60" spans="1:9" ht="16" x14ac:dyDescent="0.8">
      <c r="A60" s="2" t="s">
        <v>130</v>
      </c>
      <c r="B60" s="2" t="s">
        <v>156</v>
      </c>
      <c r="C60" s="2" t="s">
        <v>157</v>
      </c>
      <c r="D60" s="2" t="s">
        <v>157</v>
      </c>
      <c r="E60" s="3">
        <v>3</v>
      </c>
      <c r="F60" s="3">
        <v>3</v>
      </c>
      <c r="G60" s="2" t="s">
        <v>11</v>
      </c>
      <c r="H60" s="2" t="s">
        <v>46</v>
      </c>
      <c r="I60" s="2" t="s">
        <v>133</v>
      </c>
    </row>
    <row r="61" spans="1:9" ht="16" x14ac:dyDescent="0.8">
      <c r="A61" s="2" t="s">
        <v>130</v>
      </c>
      <c r="B61" s="2" t="s">
        <v>158</v>
      </c>
      <c r="C61" s="2" t="s">
        <v>159</v>
      </c>
      <c r="D61" s="2" t="s">
        <v>159</v>
      </c>
      <c r="E61" s="3">
        <v>4</v>
      </c>
      <c r="F61" s="3">
        <v>4</v>
      </c>
      <c r="G61" s="2" t="s">
        <v>11</v>
      </c>
      <c r="H61" s="2" t="s">
        <v>46</v>
      </c>
      <c r="I61" s="2" t="s">
        <v>133</v>
      </c>
    </row>
    <row r="62" spans="1:9" ht="16" x14ac:dyDescent="0.8">
      <c r="A62" s="2" t="s">
        <v>130</v>
      </c>
      <c r="B62" s="2" t="s">
        <v>160</v>
      </c>
      <c r="C62" s="2" t="s">
        <v>161</v>
      </c>
      <c r="D62" s="2" t="s">
        <v>161</v>
      </c>
      <c r="E62" s="3">
        <v>2</v>
      </c>
      <c r="F62" s="3">
        <v>27</v>
      </c>
      <c r="G62" s="2" t="s">
        <v>11</v>
      </c>
      <c r="H62" s="2" t="s">
        <v>46</v>
      </c>
      <c r="I62" s="2" t="s">
        <v>133</v>
      </c>
    </row>
    <row r="63" spans="1:9" ht="16" x14ac:dyDescent="0.8">
      <c r="A63" s="2" t="s">
        <v>130</v>
      </c>
      <c r="B63" s="2" t="s">
        <v>162</v>
      </c>
      <c r="C63" s="2" t="s">
        <v>163</v>
      </c>
      <c r="D63" s="2" t="s">
        <v>163</v>
      </c>
      <c r="E63" s="3">
        <v>2</v>
      </c>
      <c r="F63" s="3">
        <v>2</v>
      </c>
      <c r="G63" s="2" t="s">
        <v>11</v>
      </c>
      <c r="H63" s="2" t="s">
        <v>46</v>
      </c>
      <c r="I63" s="2" t="s">
        <v>133</v>
      </c>
    </row>
    <row r="64" spans="1:9" ht="16" x14ac:dyDescent="0.8">
      <c r="A64" s="2" t="s">
        <v>164</v>
      </c>
      <c r="B64" s="2" t="s">
        <v>165</v>
      </c>
      <c r="C64" s="2" t="s">
        <v>166</v>
      </c>
      <c r="D64" s="2" t="s">
        <v>166</v>
      </c>
      <c r="E64" s="3">
        <v>9864</v>
      </c>
      <c r="F64" s="3">
        <v>9864</v>
      </c>
      <c r="G64" s="2" t="s">
        <v>11</v>
      </c>
      <c r="H64" s="2" t="s">
        <v>167</v>
      </c>
      <c r="I64" s="2" t="s">
        <v>168</v>
      </c>
    </row>
    <row r="65" spans="1:9" ht="16" x14ac:dyDescent="0.8">
      <c r="A65" s="2" t="s">
        <v>164</v>
      </c>
      <c r="B65" s="2" t="s">
        <v>169</v>
      </c>
      <c r="C65" s="2" t="s">
        <v>170</v>
      </c>
      <c r="D65" s="2" t="s">
        <v>170</v>
      </c>
      <c r="E65" s="3">
        <v>14768</v>
      </c>
      <c r="F65" s="3">
        <v>14768</v>
      </c>
      <c r="G65" s="2" t="s">
        <v>11</v>
      </c>
      <c r="H65" s="2" t="s">
        <v>167</v>
      </c>
      <c r="I65" s="2" t="s">
        <v>168</v>
      </c>
    </row>
    <row r="66" spans="1:9" ht="16" x14ac:dyDescent="0.8">
      <c r="A66" s="2" t="s">
        <v>164</v>
      </c>
      <c r="B66" s="2" t="s">
        <v>171</v>
      </c>
      <c r="C66" s="2" t="s">
        <v>172</v>
      </c>
      <c r="D66" s="2" t="s">
        <v>172</v>
      </c>
      <c r="E66" s="3">
        <v>23920</v>
      </c>
      <c r="F66" s="3">
        <v>23920</v>
      </c>
      <c r="G66" s="2" t="s">
        <v>11</v>
      </c>
      <c r="H66" s="2" t="s">
        <v>167</v>
      </c>
      <c r="I66" s="2" t="s">
        <v>168</v>
      </c>
    </row>
    <row r="67" spans="1:9" ht="16" x14ac:dyDescent="0.8">
      <c r="A67" s="2" t="s">
        <v>164</v>
      </c>
      <c r="B67" s="2" t="s">
        <v>173</v>
      </c>
      <c r="C67" s="2" t="s">
        <v>174</v>
      </c>
      <c r="D67" s="2" t="s">
        <v>174</v>
      </c>
      <c r="E67" s="3">
        <v>16660</v>
      </c>
      <c r="F67" s="3">
        <v>16660</v>
      </c>
      <c r="G67" s="2" t="s">
        <v>11</v>
      </c>
      <c r="H67" s="2" t="s">
        <v>167</v>
      </c>
      <c r="I67" s="2" t="s">
        <v>168</v>
      </c>
    </row>
    <row r="68" spans="1:9" ht="16" x14ac:dyDescent="0.8">
      <c r="A68" s="2" t="s">
        <v>164</v>
      </c>
      <c r="B68" s="2" t="s">
        <v>175</v>
      </c>
      <c r="C68" s="2" t="s">
        <v>176</v>
      </c>
      <c r="D68" s="2" t="s">
        <v>176</v>
      </c>
      <c r="E68" s="3">
        <v>29844</v>
      </c>
      <c r="F68" s="3">
        <v>29844</v>
      </c>
      <c r="G68" s="2" t="s">
        <v>11</v>
      </c>
      <c r="H68" s="2" t="s">
        <v>167</v>
      </c>
      <c r="I68" s="2" t="s">
        <v>168</v>
      </c>
    </row>
    <row r="69" spans="1:9" ht="16" x14ac:dyDescent="0.8">
      <c r="A69" s="2" t="s">
        <v>164</v>
      </c>
      <c r="B69" s="2" t="s">
        <v>177</v>
      </c>
      <c r="C69" s="2" t="s">
        <v>178</v>
      </c>
      <c r="D69" s="2" t="s">
        <v>178</v>
      </c>
      <c r="E69" s="3">
        <v>13856</v>
      </c>
      <c r="F69" s="3">
        <v>13856</v>
      </c>
      <c r="G69" s="2" t="s">
        <v>11</v>
      </c>
      <c r="H69" s="2" t="s">
        <v>167</v>
      </c>
      <c r="I69" s="2" t="s">
        <v>168</v>
      </c>
    </row>
    <row r="70" spans="1:9" ht="16" x14ac:dyDescent="0.8">
      <c r="A70" s="2" t="s">
        <v>179</v>
      </c>
      <c r="B70" s="2" t="s">
        <v>165</v>
      </c>
      <c r="C70" s="2" t="s">
        <v>166</v>
      </c>
      <c r="D70" s="2" t="s">
        <v>166</v>
      </c>
      <c r="E70" s="3">
        <v>5100</v>
      </c>
      <c r="F70" s="3">
        <v>5100</v>
      </c>
      <c r="G70" s="2" t="s">
        <v>11</v>
      </c>
      <c r="H70" s="2" t="s">
        <v>167</v>
      </c>
      <c r="I70" s="2" t="s">
        <v>168</v>
      </c>
    </row>
    <row r="71" spans="1:9" ht="16" x14ac:dyDescent="0.8">
      <c r="A71" s="2" t="s">
        <v>179</v>
      </c>
      <c r="B71" s="2" t="s">
        <v>180</v>
      </c>
      <c r="C71" s="2" t="s">
        <v>181</v>
      </c>
      <c r="D71" s="2" t="s">
        <v>181</v>
      </c>
      <c r="E71" s="3">
        <v>1304</v>
      </c>
      <c r="F71" s="3">
        <v>1304</v>
      </c>
      <c r="G71" s="2" t="s">
        <v>11</v>
      </c>
      <c r="H71" s="2" t="s">
        <v>167</v>
      </c>
      <c r="I71" s="2" t="s">
        <v>168</v>
      </c>
    </row>
    <row r="72" spans="1:9" ht="16" x14ac:dyDescent="0.8">
      <c r="A72" s="2" t="s">
        <v>179</v>
      </c>
      <c r="B72" s="2" t="s">
        <v>169</v>
      </c>
      <c r="C72" s="2" t="s">
        <v>170</v>
      </c>
      <c r="D72" s="2" t="s">
        <v>170</v>
      </c>
      <c r="E72" s="3">
        <v>11508</v>
      </c>
      <c r="F72" s="3">
        <v>11508</v>
      </c>
      <c r="G72" s="2" t="s">
        <v>11</v>
      </c>
      <c r="H72" s="2" t="s">
        <v>167</v>
      </c>
      <c r="I72" s="2" t="s">
        <v>168</v>
      </c>
    </row>
    <row r="73" spans="1:9" ht="16" x14ac:dyDescent="0.8">
      <c r="A73" s="2" t="s">
        <v>179</v>
      </c>
      <c r="B73" s="2" t="s">
        <v>171</v>
      </c>
      <c r="C73" s="2" t="s">
        <v>172</v>
      </c>
      <c r="D73" s="2" t="s">
        <v>172</v>
      </c>
      <c r="E73" s="3">
        <v>1620</v>
      </c>
      <c r="F73" s="3">
        <v>1620</v>
      </c>
      <c r="G73" s="2" t="s">
        <v>11</v>
      </c>
      <c r="H73" s="2" t="s">
        <v>167</v>
      </c>
      <c r="I73" s="2" t="s">
        <v>168</v>
      </c>
    </row>
    <row r="74" spans="1:9" ht="16" x14ac:dyDescent="0.8">
      <c r="A74" s="2" t="s">
        <v>179</v>
      </c>
      <c r="B74" s="2" t="s">
        <v>173</v>
      </c>
      <c r="C74" s="2" t="s">
        <v>174</v>
      </c>
      <c r="D74" s="2" t="s">
        <v>174</v>
      </c>
      <c r="E74" s="3">
        <v>7224</v>
      </c>
      <c r="F74" s="3">
        <v>7224</v>
      </c>
      <c r="G74" s="2" t="s">
        <v>11</v>
      </c>
      <c r="H74" s="2" t="s">
        <v>167</v>
      </c>
      <c r="I74" s="2" t="s">
        <v>168</v>
      </c>
    </row>
    <row r="75" spans="1:9" ht="16" x14ac:dyDescent="0.8">
      <c r="A75" s="2" t="s">
        <v>179</v>
      </c>
      <c r="B75" s="2" t="s">
        <v>175</v>
      </c>
      <c r="C75" s="2" t="s">
        <v>176</v>
      </c>
      <c r="D75" s="2" t="s">
        <v>176</v>
      </c>
      <c r="E75" s="3">
        <v>7164</v>
      </c>
      <c r="F75" s="3">
        <v>7164</v>
      </c>
      <c r="G75" s="2" t="s">
        <v>11</v>
      </c>
      <c r="H75" s="2" t="s">
        <v>167</v>
      </c>
      <c r="I75" s="2" t="s">
        <v>168</v>
      </c>
    </row>
    <row r="76" spans="1:9" ht="16" x14ac:dyDescent="0.8">
      <c r="A76" s="2" t="s">
        <v>182</v>
      </c>
      <c r="B76" s="2" t="s">
        <v>183</v>
      </c>
      <c r="C76" s="2" t="s">
        <v>184</v>
      </c>
      <c r="D76" s="2" t="s">
        <v>184</v>
      </c>
      <c r="E76" s="3">
        <v>1</v>
      </c>
      <c r="F76" s="3">
        <v>1</v>
      </c>
      <c r="G76" s="2" t="s">
        <v>11</v>
      </c>
      <c r="H76" s="2" t="s">
        <v>185</v>
      </c>
      <c r="I76" s="2" t="s">
        <v>53</v>
      </c>
    </row>
    <row r="77" spans="1:9" ht="16" x14ac:dyDescent="0.8">
      <c r="A77" s="2" t="s">
        <v>186</v>
      </c>
      <c r="B77" s="2" t="s">
        <v>187</v>
      </c>
      <c r="C77" s="2" t="s">
        <v>188</v>
      </c>
      <c r="D77" s="2" t="s">
        <v>188</v>
      </c>
      <c r="E77" s="3">
        <v>6</v>
      </c>
      <c r="F77" s="3">
        <v>6</v>
      </c>
      <c r="G77" s="2" t="s">
        <v>11</v>
      </c>
      <c r="H77" s="2" t="s">
        <v>189</v>
      </c>
      <c r="I77" s="2" t="s">
        <v>190</v>
      </c>
    </row>
    <row r="78" spans="1:9" ht="16" x14ac:dyDescent="0.8">
      <c r="A78" s="2" t="s">
        <v>186</v>
      </c>
      <c r="B78" s="2" t="s">
        <v>191</v>
      </c>
      <c r="C78" s="2" t="s">
        <v>192</v>
      </c>
      <c r="D78" s="2" t="s">
        <v>192</v>
      </c>
      <c r="E78" s="3">
        <v>6</v>
      </c>
      <c r="F78" s="3">
        <v>6</v>
      </c>
      <c r="G78" s="2" t="s">
        <v>11</v>
      </c>
      <c r="H78" s="2" t="s">
        <v>189</v>
      </c>
      <c r="I78" s="2" t="s">
        <v>190</v>
      </c>
    </row>
    <row r="79" spans="1:9" ht="16" x14ac:dyDescent="0.8">
      <c r="A79" s="2" t="s">
        <v>186</v>
      </c>
      <c r="B79" s="2" t="s">
        <v>193</v>
      </c>
      <c r="C79" s="2" t="s">
        <v>194</v>
      </c>
      <c r="D79" s="2" t="s">
        <v>194</v>
      </c>
      <c r="E79" s="3">
        <v>6</v>
      </c>
      <c r="F79" s="3">
        <v>6</v>
      </c>
      <c r="G79" s="2" t="s">
        <v>11</v>
      </c>
      <c r="H79" s="2" t="s">
        <v>189</v>
      </c>
      <c r="I79" s="2" t="s">
        <v>190</v>
      </c>
    </row>
    <row r="80" spans="1:9" ht="16" x14ac:dyDescent="0.8">
      <c r="A80" s="2" t="s">
        <v>195</v>
      </c>
      <c r="B80" s="2" t="s">
        <v>169</v>
      </c>
      <c r="C80" s="2" t="s">
        <v>170</v>
      </c>
      <c r="D80" s="2" t="s">
        <v>170</v>
      </c>
      <c r="E80" s="3">
        <v>1</v>
      </c>
      <c r="F80" s="3">
        <v>0</v>
      </c>
      <c r="G80" s="2" t="s">
        <v>11</v>
      </c>
      <c r="H80" s="2" t="s">
        <v>189</v>
      </c>
      <c r="I80" s="2" t="s">
        <v>168</v>
      </c>
    </row>
    <row r="81" spans="1:9" ht="16" x14ac:dyDescent="0.8">
      <c r="A81" s="2" t="s">
        <v>195</v>
      </c>
      <c r="B81" s="2" t="s">
        <v>171</v>
      </c>
      <c r="C81" s="2" t="s">
        <v>172</v>
      </c>
      <c r="D81" s="2" t="s">
        <v>172</v>
      </c>
      <c r="E81" s="3">
        <v>1</v>
      </c>
      <c r="F81" s="3">
        <v>0</v>
      </c>
      <c r="G81" s="2" t="s">
        <v>11</v>
      </c>
      <c r="H81" s="2" t="s">
        <v>189</v>
      </c>
      <c r="I81" s="2" t="s">
        <v>168</v>
      </c>
    </row>
    <row r="82" spans="1:9" ht="16" x14ac:dyDescent="0.8">
      <c r="A82" s="2" t="s">
        <v>195</v>
      </c>
      <c r="B82" s="2" t="s">
        <v>173</v>
      </c>
      <c r="C82" s="2" t="s">
        <v>174</v>
      </c>
      <c r="D82" s="2" t="s">
        <v>174</v>
      </c>
      <c r="E82" s="3">
        <v>1</v>
      </c>
      <c r="F82" s="3">
        <v>0</v>
      </c>
      <c r="G82" s="2" t="s">
        <v>11</v>
      </c>
      <c r="H82" s="2" t="s">
        <v>189</v>
      </c>
      <c r="I82" s="2" t="s">
        <v>168</v>
      </c>
    </row>
    <row r="83" spans="1:9" ht="16" x14ac:dyDescent="0.8">
      <c r="A83" s="2" t="s">
        <v>195</v>
      </c>
      <c r="B83" s="2" t="s">
        <v>175</v>
      </c>
      <c r="C83" s="2" t="s">
        <v>176</v>
      </c>
      <c r="D83" s="2" t="s">
        <v>176</v>
      </c>
      <c r="E83" s="3">
        <v>1</v>
      </c>
      <c r="F83" s="3">
        <v>0</v>
      </c>
      <c r="G83" s="2" t="s">
        <v>11</v>
      </c>
      <c r="H83" s="2" t="s">
        <v>189</v>
      </c>
      <c r="I83" s="2" t="s">
        <v>168</v>
      </c>
    </row>
    <row r="84" spans="1:9" ht="16" x14ac:dyDescent="0.8">
      <c r="A84" s="2" t="s">
        <v>195</v>
      </c>
      <c r="B84" s="2" t="s">
        <v>177</v>
      </c>
      <c r="C84" s="2" t="s">
        <v>178</v>
      </c>
      <c r="D84" s="2" t="s">
        <v>178</v>
      </c>
      <c r="E84" s="3">
        <v>1</v>
      </c>
      <c r="F84" s="3">
        <v>0</v>
      </c>
      <c r="G84" s="2" t="s">
        <v>11</v>
      </c>
      <c r="H84" s="2" t="s">
        <v>189</v>
      </c>
      <c r="I84" s="2" t="s">
        <v>168</v>
      </c>
    </row>
    <row r="85" spans="1:9" ht="16" x14ac:dyDescent="0.8">
      <c r="A85" s="2" t="s">
        <v>197</v>
      </c>
      <c r="B85" s="2" t="s">
        <v>198</v>
      </c>
      <c r="C85" s="2" t="s">
        <v>199</v>
      </c>
      <c r="D85" s="2" t="s">
        <v>199</v>
      </c>
      <c r="E85" s="3">
        <v>42000</v>
      </c>
      <c r="F85" s="3">
        <v>42000</v>
      </c>
      <c r="G85" s="2" t="s">
        <v>11</v>
      </c>
      <c r="H85" s="2" t="s">
        <v>200</v>
      </c>
      <c r="I85" s="2" t="s">
        <v>201</v>
      </c>
    </row>
    <row r="86" spans="1:9" ht="16" x14ac:dyDescent="0.8">
      <c r="A86" s="2" t="s">
        <v>197</v>
      </c>
      <c r="B86" s="2" t="s">
        <v>202</v>
      </c>
      <c r="C86" s="2" t="s">
        <v>203</v>
      </c>
      <c r="D86" s="2" t="s">
        <v>203</v>
      </c>
      <c r="E86" s="3">
        <v>38610</v>
      </c>
      <c r="F86" s="3">
        <v>38610</v>
      </c>
      <c r="G86" s="2" t="s">
        <v>11</v>
      </c>
      <c r="H86" s="2" t="s">
        <v>200</v>
      </c>
      <c r="I86" s="2" t="s">
        <v>201</v>
      </c>
    </row>
    <row r="87" spans="1:9" ht="16" x14ac:dyDescent="0.8">
      <c r="A87" s="2" t="s">
        <v>204</v>
      </c>
      <c r="B87" s="2" t="s">
        <v>205</v>
      </c>
      <c r="C87" s="2" t="s">
        <v>206</v>
      </c>
      <c r="D87" s="2" t="s">
        <v>206</v>
      </c>
      <c r="E87" s="3">
        <v>26208</v>
      </c>
      <c r="F87" s="3">
        <v>0</v>
      </c>
      <c r="G87" s="2" t="s">
        <v>11</v>
      </c>
      <c r="H87" s="2" t="s">
        <v>207</v>
      </c>
      <c r="I87" s="2" t="s">
        <v>208</v>
      </c>
    </row>
    <row r="88" spans="1:9" ht="16" x14ac:dyDescent="0.8">
      <c r="A88" s="2" t="s">
        <v>204</v>
      </c>
      <c r="B88" s="2" t="s">
        <v>209</v>
      </c>
      <c r="C88" s="2" t="s">
        <v>210</v>
      </c>
      <c r="D88" s="2" t="s">
        <v>210</v>
      </c>
      <c r="E88" s="3">
        <v>12096</v>
      </c>
      <c r="F88" s="3">
        <v>0</v>
      </c>
      <c r="G88" s="2" t="s">
        <v>11</v>
      </c>
      <c r="H88" s="2" t="s">
        <v>207</v>
      </c>
      <c r="I88" s="2" t="s">
        <v>208</v>
      </c>
    </row>
    <row r="89" spans="1:9" ht="16" x14ac:dyDescent="0.8">
      <c r="A89" s="2" t="s">
        <v>204</v>
      </c>
      <c r="B89" s="2" t="s">
        <v>211</v>
      </c>
      <c r="C89" s="2" t="s">
        <v>212</v>
      </c>
      <c r="D89" s="2" t="s">
        <v>212</v>
      </c>
      <c r="E89" s="3">
        <v>12672</v>
      </c>
      <c r="F89" s="3">
        <v>0</v>
      </c>
      <c r="G89" s="2" t="s">
        <v>11</v>
      </c>
      <c r="H89" s="2" t="s">
        <v>207</v>
      </c>
      <c r="I89" s="2" t="s">
        <v>208</v>
      </c>
    </row>
    <row r="90" spans="1:9" ht="16" x14ac:dyDescent="0.8">
      <c r="A90" s="2" t="s">
        <v>204</v>
      </c>
      <c r="B90" s="2" t="s">
        <v>213</v>
      </c>
      <c r="C90" s="2" t="s">
        <v>214</v>
      </c>
      <c r="D90" s="2" t="s">
        <v>214</v>
      </c>
      <c r="E90" s="3">
        <v>6616</v>
      </c>
      <c r="F90" s="3">
        <v>0</v>
      </c>
      <c r="G90" s="2" t="s">
        <v>11</v>
      </c>
      <c r="H90" s="2" t="s">
        <v>207</v>
      </c>
      <c r="I90" s="2" t="s">
        <v>208</v>
      </c>
    </row>
    <row r="91" spans="1:9" ht="16" x14ac:dyDescent="0.8">
      <c r="A91" s="2" t="s">
        <v>204</v>
      </c>
      <c r="B91" s="2" t="s">
        <v>215</v>
      </c>
      <c r="C91" s="2" t="s">
        <v>216</v>
      </c>
      <c r="D91" s="2" t="s">
        <v>216</v>
      </c>
      <c r="E91" s="3">
        <v>13824</v>
      </c>
      <c r="F91" s="3">
        <v>0</v>
      </c>
      <c r="G91" s="2" t="s">
        <v>11</v>
      </c>
      <c r="H91" s="2" t="s">
        <v>207</v>
      </c>
      <c r="I91" s="2" t="s">
        <v>208</v>
      </c>
    </row>
    <row r="92" spans="1:9" ht="16" x14ac:dyDescent="0.8">
      <c r="A92" s="2" t="s">
        <v>204</v>
      </c>
      <c r="B92" s="2" t="s">
        <v>217</v>
      </c>
      <c r="C92" s="2" t="s">
        <v>218</v>
      </c>
      <c r="D92" s="2" t="s">
        <v>218</v>
      </c>
      <c r="E92" s="3">
        <v>14080</v>
      </c>
      <c r="F92" s="3">
        <v>0</v>
      </c>
      <c r="G92" s="2" t="s">
        <v>11</v>
      </c>
      <c r="H92" s="2" t="s">
        <v>207</v>
      </c>
      <c r="I92" s="2" t="s">
        <v>208</v>
      </c>
    </row>
    <row r="93" spans="1:9" ht="16" x14ac:dyDescent="0.8">
      <c r="A93" s="2" t="s">
        <v>204</v>
      </c>
      <c r="B93" s="2" t="s">
        <v>219</v>
      </c>
      <c r="C93" s="2" t="s">
        <v>220</v>
      </c>
      <c r="D93" s="2" t="s">
        <v>220</v>
      </c>
      <c r="E93" s="3">
        <v>15120</v>
      </c>
      <c r="F93" s="3">
        <v>0</v>
      </c>
      <c r="G93" s="2" t="s">
        <v>11</v>
      </c>
      <c r="H93" s="2" t="s">
        <v>207</v>
      </c>
      <c r="I93" s="2" t="s">
        <v>208</v>
      </c>
    </row>
    <row r="94" spans="1:9" ht="16" x14ac:dyDescent="0.8">
      <c r="A94" s="2" t="s">
        <v>221</v>
      </c>
      <c r="B94" s="2" t="s">
        <v>213</v>
      </c>
      <c r="C94" s="2" t="s">
        <v>214</v>
      </c>
      <c r="D94" s="2" t="s">
        <v>214</v>
      </c>
      <c r="E94" s="3">
        <v>1</v>
      </c>
      <c r="F94" s="3">
        <v>0</v>
      </c>
      <c r="G94" s="2" t="s">
        <v>11</v>
      </c>
      <c r="H94" s="2" t="s">
        <v>207</v>
      </c>
      <c r="I94" s="2" t="s">
        <v>208</v>
      </c>
    </row>
    <row r="95" spans="1:9" ht="16" x14ac:dyDescent="0.8">
      <c r="A95" s="2" t="s">
        <v>221</v>
      </c>
      <c r="B95" s="2" t="s">
        <v>215</v>
      </c>
      <c r="C95" s="2" t="s">
        <v>216</v>
      </c>
      <c r="D95" s="2" t="s">
        <v>216</v>
      </c>
      <c r="E95" s="3">
        <v>1</v>
      </c>
      <c r="F95" s="3">
        <v>0</v>
      </c>
      <c r="G95" s="2" t="s">
        <v>11</v>
      </c>
      <c r="H95" s="2" t="s">
        <v>207</v>
      </c>
      <c r="I95" s="2" t="s">
        <v>208</v>
      </c>
    </row>
    <row r="96" spans="1:9" ht="16" x14ac:dyDescent="0.8">
      <c r="A96" s="2" t="s">
        <v>221</v>
      </c>
      <c r="B96" s="2" t="s">
        <v>217</v>
      </c>
      <c r="C96" s="2" t="s">
        <v>218</v>
      </c>
      <c r="D96" s="2" t="s">
        <v>218</v>
      </c>
      <c r="E96" s="3">
        <v>1</v>
      </c>
      <c r="F96" s="3">
        <v>0</v>
      </c>
      <c r="G96" s="2" t="s">
        <v>11</v>
      </c>
      <c r="H96" s="2" t="s">
        <v>207</v>
      </c>
      <c r="I96" s="2" t="s">
        <v>208</v>
      </c>
    </row>
    <row r="97" spans="1:9" ht="16" x14ac:dyDescent="0.8">
      <c r="A97" s="2" t="s">
        <v>221</v>
      </c>
      <c r="B97" s="2" t="s">
        <v>219</v>
      </c>
      <c r="C97" s="2" t="s">
        <v>220</v>
      </c>
      <c r="D97" s="2" t="s">
        <v>220</v>
      </c>
      <c r="E97" s="3">
        <v>1</v>
      </c>
      <c r="F97" s="3">
        <v>0</v>
      </c>
      <c r="G97" s="2" t="s">
        <v>11</v>
      </c>
      <c r="H97" s="2" t="s">
        <v>207</v>
      </c>
      <c r="I97" s="2" t="s">
        <v>208</v>
      </c>
    </row>
    <row r="98" spans="1:9" ht="16" x14ac:dyDescent="0.8">
      <c r="A98" s="2" t="s">
        <v>221</v>
      </c>
      <c r="B98" s="2" t="s">
        <v>205</v>
      </c>
      <c r="C98" s="2" t="s">
        <v>206</v>
      </c>
      <c r="D98" s="2" t="s">
        <v>206</v>
      </c>
      <c r="E98" s="3">
        <v>1</v>
      </c>
      <c r="F98" s="3">
        <v>0</v>
      </c>
      <c r="G98" s="2" t="s">
        <v>11</v>
      </c>
      <c r="H98" s="2" t="s">
        <v>207</v>
      </c>
      <c r="I98" s="2" t="s">
        <v>208</v>
      </c>
    </row>
    <row r="99" spans="1:9" ht="16" x14ac:dyDescent="0.8">
      <c r="A99" s="2" t="s">
        <v>221</v>
      </c>
      <c r="B99" s="2" t="s">
        <v>209</v>
      </c>
      <c r="C99" s="2" t="s">
        <v>210</v>
      </c>
      <c r="D99" s="2" t="s">
        <v>210</v>
      </c>
      <c r="E99" s="3">
        <v>1</v>
      </c>
      <c r="F99" s="3">
        <v>0</v>
      </c>
      <c r="G99" s="2" t="s">
        <v>11</v>
      </c>
      <c r="H99" s="2" t="s">
        <v>207</v>
      </c>
      <c r="I99" s="2" t="s">
        <v>208</v>
      </c>
    </row>
    <row r="100" spans="1:9" ht="16" x14ac:dyDescent="0.8">
      <c r="A100" s="2" t="s">
        <v>221</v>
      </c>
      <c r="B100" s="2" t="s">
        <v>211</v>
      </c>
      <c r="C100" s="2" t="s">
        <v>212</v>
      </c>
      <c r="D100" s="2" t="s">
        <v>212</v>
      </c>
      <c r="E100" s="3">
        <v>1</v>
      </c>
      <c r="F100" s="3">
        <v>0</v>
      </c>
      <c r="G100" s="2" t="s">
        <v>11</v>
      </c>
      <c r="H100" s="2" t="s">
        <v>207</v>
      </c>
      <c r="I100" s="2" t="s">
        <v>208</v>
      </c>
    </row>
    <row r="101" spans="1:9" ht="16" x14ac:dyDescent="0.8">
      <c r="A101" s="2" t="s">
        <v>222</v>
      </c>
      <c r="B101" s="2" t="s">
        <v>213</v>
      </c>
      <c r="C101" s="2" t="s">
        <v>214</v>
      </c>
      <c r="D101" s="2" t="s">
        <v>214</v>
      </c>
      <c r="E101" s="3">
        <v>30336</v>
      </c>
      <c r="F101" s="3">
        <v>30336</v>
      </c>
      <c r="G101" s="2" t="s">
        <v>11</v>
      </c>
      <c r="H101" s="2" t="s">
        <v>207</v>
      </c>
      <c r="I101" s="2" t="s">
        <v>208</v>
      </c>
    </row>
    <row r="102" spans="1:9" ht="16" x14ac:dyDescent="0.8">
      <c r="A102" s="2" t="s">
        <v>223</v>
      </c>
      <c r="B102" s="2" t="s">
        <v>213</v>
      </c>
      <c r="C102" s="2" t="s">
        <v>214</v>
      </c>
      <c r="D102" s="2" t="s">
        <v>214</v>
      </c>
      <c r="E102" s="3">
        <v>70784</v>
      </c>
      <c r="F102" s="3">
        <v>70784</v>
      </c>
      <c r="G102" s="2" t="s">
        <v>11</v>
      </c>
      <c r="H102" s="2" t="s">
        <v>207</v>
      </c>
      <c r="I102" s="2" t="s">
        <v>208</v>
      </c>
    </row>
    <row r="103" spans="1:9" ht="16" x14ac:dyDescent="0.8">
      <c r="A103" s="2" t="s">
        <v>226</v>
      </c>
      <c r="B103" s="2" t="s">
        <v>227</v>
      </c>
      <c r="C103" s="2" t="s">
        <v>228</v>
      </c>
      <c r="D103" s="2" t="s">
        <v>228</v>
      </c>
      <c r="E103" s="3">
        <v>15438</v>
      </c>
      <c r="F103" s="3">
        <v>21048</v>
      </c>
      <c r="G103" s="2" t="s">
        <v>11</v>
      </c>
      <c r="H103" s="2" t="s">
        <v>229</v>
      </c>
      <c r="I103" s="2" t="s">
        <v>38</v>
      </c>
    </row>
    <row r="104" spans="1:9" ht="16" x14ac:dyDescent="0.8">
      <c r="A104" s="2" t="s">
        <v>230</v>
      </c>
      <c r="B104" s="2" t="s">
        <v>35</v>
      </c>
      <c r="C104" s="2" t="s">
        <v>36</v>
      </c>
      <c r="D104" s="2" t="s">
        <v>36</v>
      </c>
      <c r="E104" s="3">
        <v>58818</v>
      </c>
      <c r="F104" s="3">
        <v>61458</v>
      </c>
      <c r="G104" s="2" t="s">
        <v>11</v>
      </c>
      <c r="H104" s="2" t="s">
        <v>229</v>
      </c>
      <c r="I104" s="2" t="s">
        <v>38</v>
      </c>
    </row>
    <row r="105" spans="1:9" ht="16" x14ac:dyDescent="0.8">
      <c r="A105" s="2" t="s">
        <v>231</v>
      </c>
      <c r="B105" s="2" t="s">
        <v>232</v>
      </c>
      <c r="C105" s="2" t="s">
        <v>233</v>
      </c>
      <c r="D105" s="2" t="s">
        <v>233</v>
      </c>
      <c r="E105" s="3">
        <v>25200</v>
      </c>
      <c r="F105" s="3">
        <v>25200</v>
      </c>
      <c r="G105" s="2" t="s">
        <v>11</v>
      </c>
      <c r="H105" s="2" t="s">
        <v>229</v>
      </c>
      <c r="I105" s="2" t="s">
        <v>234</v>
      </c>
    </row>
    <row r="106" spans="1:9" ht="16" x14ac:dyDescent="0.8">
      <c r="A106" s="2" t="s">
        <v>235</v>
      </c>
      <c r="B106" s="2" t="s">
        <v>236</v>
      </c>
      <c r="C106" s="2" t="s">
        <v>237</v>
      </c>
      <c r="D106" s="2" t="s">
        <v>237</v>
      </c>
      <c r="E106" s="3">
        <v>800</v>
      </c>
      <c r="F106" s="3">
        <v>800</v>
      </c>
      <c r="G106" s="2" t="s">
        <v>11</v>
      </c>
      <c r="H106" s="2" t="s">
        <v>229</v>
      </c>
      <c r="I106" s="2" t="s">
        <v>238</v>
      </c>
    </row>
    <row r="107" spans="1:9" ht="16" x14ac:dyDescent="0.8">
      <c r="A107" s="2" t="s">
        <v>230</v>
      </c>
      <c r="B107" s="2" t="s">
        <v>239</v>
      </c>
      <c r="C107" s="2" t="s">
        <v>240</v>
      </c>
      <c r="D107" s="2" t="s">
        <v>240</v>
      </c>
      <c r="E107" s="3">
        <v>6180</v>
      </c>
      <c r="F107" s="3">
        <v>6180</v>
      </c>
      <c r="G107" s="2" t="s">
        <v>11</v>
      </c>
      <c r="H107" s="2" t="s">
        <v>229</v>
      </c>
      <c r="I107" s="2" t="s">
        <v>38</v>
      </c>
    </row>
    <row r="108" spans="1:9" ht="16" x14ac:dyDescent="0.8">
      <c r="A108" s="2" t="s">
        <v>230</v>
      </c>
      <c r="B108" s="2" t="s">
        <v>247</v>
      </c>
      <c r="C108" s="2" t="s">
        <v>248</v>
      </c>
      <c r="D108" s="2" t="s">
        <v>248</v>
      </c>
      <c r="E108" s="3">
        <v>240</v>
      </c>
      <c r="F108" s="3">
        <v>240</v>
      </c>
      <c r="G108" s="2" t="s">
        <v>11</v>
      </c>
      <c r="H108" s="2" t="s">
        <v>229</v>
      </c>
      <c r="I108" s="2" t="s">
        <v>38</v>
      </c>
    </row>
    <row r="109" spans="1:9" ht="16" x14ac:dyDescent="0.8">
      <c r="A109" s="2" t="s">
        <v>230</v>
      </c>
      <c r="B109" s="2" t="s">
        <v>41</v>
      </c>
      <c r="C109" s="2" t="s">
        <v>42</v>
      </c>
      <c r="D109" s="2" t="s">
        <v>42</v>
      </c>
      <c r="E109" s="3">
        <v>1060</v>
      </c>
      <c r="F109" s="3">
        <v>1060</v>
      </c>
      <c r="G109" s="2" t="s">
        <v>11</v>
      </c>
      <c r="H109" s="2" t="s">
        <v>229</v>
      </c>
      <c r="I109" s="2" t="s">
        <v>38</v>
      </c>
    </row>
    <row r="110" spans="1:9" ht="16" x14ac:dyDescent="0.8">
      <c r="A110" s="2" t="s">
        <v>249</v>
      </c>
      <c r="B110" s="2" t="s">
        <v>239</v>
      </c>
      <c r="C110" s="2" t="s">
        <v>240</v>
      </c>
      <c r="D110" s="2" t="s">
        <v>240</v>
      </c>
      <c r="E110" s="3">
        <v>78318</v>
      </c>
      <c r="F110" s="3">
        <v>78318</v>
      </c>
      <c r="G110" s="2" t="s">
        <v>11</v>
      </c>
      <c r="H110" s="2" t="s">
        <v>242</v>
      </c>
      <c r="I110" s="2" t="s">
        <v>38</v>
      </c>
    </row>
    <row r="111" spans="1:9" ht="16" x14ac:dyDescent="0.8">
      <c r="A111" s="2" t="s">
        <v>250</v>
      </c>
      <c r="B111" s="2" t="s">
        <v>39</v>
      </c>
      <c r="C111" s="2" t="s">
        <v>40</v>
      </c>
      <c r="D111" s="2" t="s">
        <v>40</v>
      </c>
      <c r="E111" s="3">
        <v>6774</v>
      </c>
      <c r="F111" s="3">
        <v>0</v>
      </c>
      <c r="G111" s="2" t="s">
        <v>196</v>
      </c>
      <c r="H111" s="2" t="s">
        <v>242</v>
      </c>
      <c r="I111" s="2" t="s">
        <v>38</v>
      </c>
    </row>
    <row r="112" spans="1:9" ht="16" x14ac:dyDescent="0.8">
      <c r="A112" s="2" t="s">
        <v>230</v>
      </c>
      <c r="B112" s="2" t="s">
        <v>39</v>
      </c>
      <c r="C112" s="2" t="s">
        <v>40</v>
      </c>
      <c r="D112" s="2" t="s">
        <v>40</v>
      </c>
      <c r="E112" s="3">
        <v>1278</v>
      </c>
      <c r="F112" s="3">
        <v>1284</v>
      </c>
      <c r="G112" s="2" t="s">
        <v>11</v>
      </c>
      <c r="H112" s="2" t="s">
        <v>229</v>
      </c>
      <c r="I112" s="2" t="s">
        <v>38</v>
      </c>
    </row>
    <row r="113" spans="1:9" ht="16" x14ac:dyDescent="0.8">
      <c r="A113" s="2" t="s">
        <v>251</v>
      </c>
      <c r="B113" s="2" t="s">
        <v>39</v>
      </c>
      <c r="C113" s="2" t="s">
        <v>40</v>
      </c>
      <c r="D113" s="2" t="s">
        <v>40</v>
      </c>
      <c r="E113" s="3">
        <v>5568</v>
      </c>
      <c r="F113" s="3">
        <v>5568</v>
      </c>
      <c r="G113" s="2" t="s">
        <v>11</v>
      </c>
      <c r="H113" s="2" t="s">
        <v>242</v>
      </c>
      <c r="I113" s="2" t="s">
        <v>38</v>
      </c>
    </row>
    <row r="114" spans="1:9" ht="16" x14ac:dyDescent="0.8">
      <c r="A114" s="2" t="s">
        <v>251</v>
      </c>
      <c r="B114" s="2" t="s">
        <v>247</v>
      </c>
      <c r="C114" s="2" t="s">
        <v>248</v>
      </c>
      <c r="D114" s="2" t="s">
        <v>248</v>
      </c>
      <c r="E114" s="3">
        <v>6822</v>
      </c>
      <c r="F114" s="3">
        <v>6822</v>
      </c>
      <c r="G114" s="2" t="s">
        <v>11</v>
      </c>
      <c r="H114" s="2" t="s">
        <v>242</v>
      </c>
      <c r="I114" s="2" t="s">
        <v>38</v>
      </c>
    </row>
    <row r="115" spans="1:9" ht="16" x14ac:dyDescent="0.8">
      <c r="A115" s="2" t="s">
        <v>252</v>
      </c>
      <c r="B115" s="2" t="s">
        <v>39</v>
      </c>
      <c r="C115" s="2" t="s">
        <v>40</v>
      </c>
      <c r="D115" s="2" t="s">
        <v>40</v>
      </c>
      <c r="E115" s="3">
        <v>40122</v>
      </c>
      <c r="F115" s="3">
        <v>40140</v>
      </c>
      <c r="G115" s="2" t="s">
        <v>11</v>
      </c>
      <c r="H115" s="2" t="s">
        <v>242</v>
      </c>
      <c r="I115" s="2" t="s">
        <v>38</v>
      </c>
    </row>
    <row r="116" spans="1:9" ht="16" x14ac:dyDescent="0.8">
      <c r="A116" s="2" t="s">
        <v>252</v>
      </c>
      <c r="B116" s="2" t="s">
        <v>247</v>
      </c>
      <c r="C116" s="2" t="s">
        <v>248</v>
      </c>
      <c r="D116" s="2" t="s">
        <v>248</v>
      </c>
      <c r="E116" s="3">
        <v>474</v>
      </c>
      <c r="F116" s="3">
        <v>474</v>
      </c>
      <c r="G116" s="2" t="s">
        <v>11</v>
      </c>
      <c r="H116" s="2" t="s">
        <v>242</v>
      </c>
      <c r="I116" s="2" t="s">
        <v>38</v>
      </c>
    </row>
    <row r="117" spans="1:9" ht="16" x14ac:dyDescent="0.8">
      <c r="A117" s="2" t="s">
        <v>252</v>
      </c>
      <c r="B117" s="2" t="s">
        <v>227</v>
      </c>
      <c r="C117" s="2" t="s">
        <v>228</v>
      </c>
      <c r="D117" s="2" t="s">
        <v>228</v>
      </c>
      <c r="E117" s="3">
        <v>14052</v>
      </c>
      <c r="F117" s="3">
        <v>14160</v>
      </c>
      <c r="G117" s="2" t="s">
        <v>11</v>
      </c>
      <c r="H117" s="2" t="s">
        <v>242</v>
      </c>
      <c r="I117" s="2" t="s">
        <v>38</v>
      </c>
    </row>
    <row r="118" spans="1:9" ht="16" x14ac:dyDescent="0.8">
      <c r="A118" s="2" t="s">
        <v>253</v>
      </c>
      <c r="B118" s="2" t="s">
        <v>254</v>
      </c>
      <c r="C118" s="2" t="s">
        <v>255</v>
      </c>
      <c r="D118" s="2" t="s">
        <v>255</v>
      </c>
      <c r="E118" s="3">
        <v>41280</v>
      </c>
      <c r="F118" s="3">
        <v>40784</v>
      </c>
      <c r="G118" s="2" t="s">
        <v>11</v>
      </c>
      <c r="H118" s="2" t="s">
        <v>242</v>
      </c>
      <c r="I118" s="2" t="s">
        <v>256</v>
      </c>
    </row>
    <row r="119" spans="1:9" ht="16" x14ac:dyDescent="0.8">
      <c r="A119" s="2" t="s">
        <v>253</v>
      </c>
      <c r="B119" s="2" t="s">
        <v>257</v>
      </c>
      <c r="C119" s="2" t="s">
        <v>258</v>
      </c>
      <c r="D119" s="2" t="s">
        <v>258</v>
      </c>
      <c r="E119" s="3">
        <v>39984</v>
      </c>
      <c r="F119" s="3">
        <v>39984</v>
      </c>
      <c r="G119" s="2" t="s">
        <v>11</v>
      </c>
      <c r="H119" s="2" t="s">
        <v>242</v>
      </c>
      <c r="I119" s="2" t="s">
        <v>256</v>
      </c>
    </row>
    <row r="120" spans="1:9" ht="16" x14ac:dyDescent="0.8">
      <c r="A120" s="2" t="s">
        <v>252</v>
      </c>
      <c r="B120" s="2" t="s">
        <v>35</v>
      </c>
      <c r="C120" s="2" t="s">
        <v>36</v>
      </c>
      <c r="D120" s="2" t="s">
        <v>36</v>
      </c>
      <c r="E120" s="3">
        <v>798</v>
      </c>
      <c r="F120" s="3">
        <v>798</v>
      </c>
      <c r="G120" s="2" t="s">
        <v>11</v>
      </c>
      <c r="H120" s="2" t="s">
        <v>242</v>
      </c>
      <c r="I120" s="2" t="s">
        <v>38</v>
      </c>
    </row>
    <row r="121" spans="1:9" ht="16" x14ac:dyDescent="0.8">
      <c r="A121" s="2" t="s">
        <v>259</v>
      </c>
      <c r="B121" s="2" t="s">
        <v>260</v>
      </c>
      <c r="C121" s="2" t="s">
        <v>261</v>
      </c>
      <c r="D121" s="2" t="s">
        <v>261</v>
      </c>
      <c r="E121" s="3">
        <v>5148</v>
      </c>
      <c r="F121" s="3">
        <v>5148</v>
      </c>
      <c r="G121" s="2" t="s">
        <v>11</v>
      </c>
      <c r="H121" s="2" t="s">
        <v>242</v>
      </c>
      <c r="I121" s="2" t="s">
        <v>262</v>
      </c>
    </row>
    <row r="122" spans="1:9" ht="16" x14ac:dyDescent="0.8">
      <c r="A122" s="2" t="s">
        <v>226</v>
      </c>
      <c r="B122" s="2" t="s">
        <v>39</v>
      </c>
      <c r="C122" s="2" t="s">
        <v>40</v>
      </c>
      <c r="D122" s="2" t="s">
        <v>40</v>
      </c>
      <c r="E122" s="3">
        <v>25326</v>
      </c>
      <c r="F122" s="3">
        <v>19890</v>
      </c>
      <c r="G122" s="2" t="s">
        <v>11</v>
      </c>
      <c r="H122" s="2" t="s">
        <v>229</v>
      </c>
      <c r="I122" s="2" t="s">
        <v>38</v>
      </c>
    </row>
    <row r="123" spans="1:9" ht="16" x14ac:dyDescent="0.8">
      <c r="A123" s="2" t="s">
        <v>226</v>
      </c>
      <c r="B123" s="2" t="s">
        <v>247</v>
      </c>
      <c r="C123" s="2" t="s">
        <v>248</v>
      </c>
      <c r="D123" s="2" t="s">
        <v>248</v>
      </c>
      <c r="E123" s="3">
        <v>3000</v>
      </c>
      <c r="F123" s="3">
        <v>3000</v>
      </c>
      <c r="G123" s="2" t="s">
        <v>11</v>
      </c>
      <c r="H123" s="2" t="s">
        <v>229</v>
      </c>
      <c r="I123" s="2" t="s">
        <v>38</v>
      </c>
    </row>
    <row r="124" spans="1:9" ht="16" x14ac:dyDescent="0.8">
      <c r="A124" s="2" t="s">
        <v>263</v>
      </c>
      <c r="B124" s="2" t="s">
        <v>264</v>
      </c>
      <c r="C124" s="2" t="s">
        <v>265</v>
      </c>
      <c r="D124" s="2" t="s">
        <v>265</v>
      </c>
      <c r="E124" s="3">
        <v>75564</v>
      </c>
      <c r="F124" s="3">
        <v>75570</v>
      </c>
      <c r="G124" s="2" t="s">
        <v>11</v>
      </c>
      <c r="H124" s="2" t="s">
        <v>242</v>
      </c>
      <c r="I124" s="2" t="s">
        <v>38</v>
      </c>
    </row>
    <row r="125" spans="1:9" ht="16" x14ac:dyDescent="0.8">
      <c r="A125" s="2" t="s">
        <v>263</v>
      </c>
      <c r="B125" s="2" t="s">
        <v>266</v>
      </c>
      <c r="C125" s="2" t="s">
        <v>267</v>
      </c>
      <c r="D125" s="2" t="s">
        <v>267</v>
      </c>
      <c r="E125" s="3">
        <v>10500</v>
      </c>
      <c r="F125" s="3">
        <v>10500</v>
      </c>
      <c r="G125" s="2" t="s">
        <v>11</v>
      </c>
      <c r="H125" s="2" t="s">
        <v>242</v>
      </c>
      <c r="I125" s="2" t="s">
        <v>38</v>
      </c>
    </row>
    <row r="126" spans="1:9" ht="16" x14ac:dyDescent="0.8">
      <c r="A126" s="2" t="s">
        <v>268</v>
      </c>
      <c r="B126" s="2" t="s">
        <v>264</v>
      </c>
      <c r="C126" s="2" t="s">
        <v>265</v>
      </c>
      <c r="D126" s="2" t="s">
        <v>265</v>
      </c>
      <c r="E126" s="3">
        <v>86934</v>
      </c>
      <c r="F126" s="3">
        <v>86928</v>
      </c>
      <c r="G126" s="2" t="s">
        <v>196</v>
      </c>
      <c r="H126" s="2" t="s">
        <v>242</v>
      </c>
      <c r="I126" s="2" t="s">
        <v>38</v>
      </c>
    </row>
    <row r="127" spans="1:9" ht="16" x14ac:dyDescent="0.8">
      <c r="A127" s="2" t="s">
        <v>269</v>
      </c>
      <c r="B127" s="2" t="s">
        <v>41</v>
      </c>
      <c r="C127" s="2" t="s">
        <v>42</v>
      </c>
      <c r="D127" s="2" t="s">
        <v>42</v>
      </c>
      <c r="E127" s="3">
        <v>12896</v>
      </c>
      <c r="F127" s="3">
        <v>0</v>
      </c>
      <c r="G127" s="2" t="s">
        <v>11</v>
      </c>
      <c r="H127" s="2" t="s">
        <v>242</v>
      </c>
      <c r="I127" s="2" t="s">
        <v>38</v>
      </c>
    </row>
    <row r="128" spans="1:9" ht="16" x14ac:dyDescent="0.8">
      <c r="A128" s="2" t="s">
        <v>270</v>
      </c>
      <c r="B128" s="2" t="s">
        <v>41</v>
      </c>
      <c r="C128" s="2" t="s">
        <v>42</v>
      </c>
      <c r="D128" s="2" t="s">
        <v>42</v>
      </c>
      <c r="E128" s="3">
        <v>14196</v>
      </c>
      <c r="F128" s="3">
        <v>14180</v>
      </c>
      <c r="G128" s="2" t="s">
        <v>11</v>
      </c>
      <c r="H128" s="2" t="s">
        <v>242</v>
      </c>
      <c r="I128" s="2" t="s">
        <v>38</v>
      </c>
    </row>
    <row r="129" spans="1:9" ht="16" x14ac:dyDescent="0.8">
      <c r="A129" s="2" t="s">
        <v>271</v>
      </c>
      <c r="B129" s="2" t="s">
        <v>272</v>
      </c>
      <c r="C129" s="2" t="s">
        <v>273</v>
      </c>
      <c r="D129" s="2" t="s">
        <v>273</v>
      </c>
      <c r="E129" s="3">
        <v>94560</v>
      </c>
      <c r="F129" s="3">
        <v>94544</v>
      </c>
      <c r="G129" s="2" t="s">
        <v>11</v>
      </c>
      <c r="H129" s="2" t="s">
        <v>242</v>
      </c>
      <c r="I129" s="2" t="s">
        <v>38</v>
      </c>
    </row>
    <row r="130" spans="1:9" ht="16" x14ac:dyDescent="0.8">
      <c r="A130" s="2" t="s">
        <v>274</v>
      </c>
      <c r="B130" s="2" t="s">
        <v>272</v>
      </c>
      <c r="C130" s="2" t="s">
        <v>273</v>
      </c>
      <c r="D130" s="2" t="s">
        <v>273</v>
      </c>
      <c r="E130" s="3">
        <v>42600</v>
      </c>
      <c r="F130" s="3">
        <v>42600</v>
      </c>
      <c r="G130" s="2" t="s">
        <v>11</v>
      </c>
      <c r="H130" s="2" t="s">
        <v>242</v>
      </c>
      <c r="I130" s="2" t="s">
        <v>38</v>
      </c>
    </row>
    <row r="131" spans="1:9" ht="16" x14ac:dyDescent="0.8">
      <c r="A131" s="2" t="s">
        <v>275</v>
      </c>
      <c r="B131" s="2" t="s">
        <v>276</v>
      </c>
      <c r="C131" s="2" t="s">
        <v>277</v>
      </c>
      <c r="D131" s="2" t="s">
        <v>277</v>
      </c>
      <c r="E131" s="3">
        <v>3520</v>
      </c>
      <c r="F131" s="3">
        <v>3520</v>
      </c>
      <c r="G131" s="2" t="s">
        <v>11</v>
      </c>
      <c r="H131" s="2" t="s">
        <v>278</v>
      </c>
      <c r="I131" s="2" t="s">
        <v>279</v>
      </c>
    </row>
    <row r="132" spans="1:9" ht="16" x14ac:dyDescent="0.8">
      <c r="A132" s="2" t="s">
        <v>275</v>
      </c>
      <c r="B132" s="2" t="s">
        <v>280</v>
      </c>
      <c r="C132" s="2" t="s">
        <v>281</v>
      </c>
      <c r="D132" s="2" t="s">
        <v>281</v>
      </c>
      <c r="E132" s="3">
        <v>5400</v>
      </c>
      <c r="F132" s="3">
        <v>3000</v>
      </c>
      <c r="G132" s="2" t="s">
        <v>11</v>
      </c>
      <c r="H132" s="2" t="s">
        <v>278</v>
      </c>
      <c r="I132" s="2" t="s">
        <v>279</v>
      </c>
    </row>
    <row r="133" spans="1:9" ht="16" x14ac:dyDescent="0.8">
      <c r="A133" s="2" t="s">
        <v>275</v>
      </c>
      <c r="B133" s="2" t="s">
        <v>282</v>
      </c>
      <c r="C133" s="2" t="s">
        <v>283</v>
      </c>
      <c r="D133" s="2" t="s">
        <v>283</v>
      </c>
      <c r="E133" s="3">
        <v>3360</v>
      </c>
      <c r="F133" s="3">
        <v>3360</v>
      </c>
      <c r="G133" s="2" t="s">
        <v>11</v>
      </c>
      <c r="H133" s="2" t="s">
        <v>278</v>
      </c>
      <c r="I133" s="2" t="s">
        <v>279</v>
      </c>
    </row>
    <row r="134" spans="1:9" ht="16" x14ac:dyDescent="0.8">
      <c r="A134" s="2" t="s">
        <v>275</v>
      </c>
      <c r="B134" s="2" t="s">
        <v>284</v>
      </c>
      <c r="C134" s="2" t="s">
        <v>285</v>
      </c>
      <c r="D134" s="2" t="s">
        <v>285</v>
      </c>
      <c r="E134" s="3">
        <v>2660</v>
      </c>
      <c r="F134" s="3">
        <v>2660</v>
      </c>
      <c r="G134" s="2" t="s">
        <v>11</v>
      </c>
      <c r="H134" s="2" t="s">
        <v>278</v>
      </c>
      <c r="I134" s="2" t="s">
        <v>279</v>
      </c>
    </row>
    <row r="135" spans="1:9" ht="16" x14ac:dyDescent="0.8">
      <c r="A135" s="2" t="s">
        <v>286</v>
      </c>
      <c r="B135" s="2" t="s">
        <v>287</v>
      </c>
      <c r="C135" s="2" t="s">
        <v>288</v>
      </c>
      <c r="D135" s="2" t="s">
        <v>288</v>
      </c>
      <c r="E135" s="3">
        <v>4435200</v>
      </c>
      <c r="F135" s="3">
        <v>4435200</v>
      </c>
      <c r="G135" s="2" t="s">
        <v>11</v>
      </c>
      <c r="H135" s="2" t="s">
        <v>278</v>
      </c>
      <c r="I135" s="2" t="s">
        <v>289</v>
      </c>
    </row>
    <row r="136" spans="1:9" ht="16" x14ac:dyDescent="0.8">
      <c r="A136" s="2" t="s">
        <v>290</v>
      </c>
      <c r="B136" s="2" t="s">
        <v>291</v>
      </c>
      <c r="C136" s="2" t="s">
        <v>243</v>
      </c>
      <c r="D136" s="2" t="s">
        <v>243</v>
      </c>
      <c r="E136" s="3">
        <v>954</v>
      </c>
      <c r="F136" s="3">
        <v>0</v>
      </c>
      <c r="G136" s="2" t="s">
        <v>11</v>
      </c>
      <c r="H136" s="2" t="s">
        <v>292</v>
      </c>
      <c r="I136" s="2" t="s">
        <v>201</v>
      </c>
    </row>
    <row r="137" spans="1:9" ht="16" x14ac:dyDescent="0.8">
      <c r="A137" s="2" t="s">
        <v>290</v>
      </c>
      <c r="B137" s="2" t="s">
        <v>293</v>
      </c>
      <c r="C137" s="2" t="s">
        <v>244</v>
      </c>
      <c r="D137" s="2" t="s">
        <v>244</v>
      </c>
      <c r="E137" s="3">
        <v>300</v>
      </c>
      <c r="F137" s="3">
        <v>0</v>
      </c>
      <c r="G137" s="2" t="s">
        <v>11</v>
      </c>
      <c r="H137" s="2" t="s">
        <v>292</v>
      </c>
      <c r="I137" s="2" t="s">
        <v>201</v>
      </c>
    </row>
    <row r="138" spans="1:9" ht="16" x14ac:dyDescent="0.8">
      <c r="A138" s="2" t="s">
        <v>294</v>
      </c>
      <c r="B138" s="2" t="s">
        <v>295</v>
      </c>
      <c r="C138" s="2" t="s">
        <v>296</v>
      </c>
      <c r="D138" s="2" t="s">
        <v>296</v>
      </c>
      <c r="E138" s="3">
        <v>34592</v>
      </c>
      <c r="F138" s="3">
        <v>34592</v>
      </c>
      <c r="G138" s="2" t="s">
        <v>11</v>
      </c>
      <c r="H138" s="2" t="s">
        <v>292</v>
      </c>
      <c r="I138" s="2" t="s">
        <v>297</v>
      </c>
    </row>
    <row r="139" spans="1:9" ht="16" x14ac:dyDescent="0.8">
      <c r="A139" s="2" t="s">
        <v>294</v>
      </c>
      <c r="B139" s="2" t="s">
        <v>298</v>
      </c>
      <c r="C139" s="2" t="s">
        <v>299</v>
      </c>
      <c r="D139" s="2" t="s">
        <v>299</v>
      </c>
      <c r="E139" s="3">
        <v>51976</v>
      </c>
      <c r="F139" s="3">
        <v>51976</v>
      </c>
      <c r="G139" s="2" t="s">
        <v>11</v>
      </c>
      <c r="H139" s="2" t="s">
        <v>292</v>
      </c>
      <c r="I139" s="2" t="s">
        <v>297</v>
      </c>
    </row>
    <row r="140" spans="1:9" ht="16" x14ac:dyDescent="0.8">
      <c r="A140" s="2" t="s">
        <v>294</v>
      </c>
      <c r="B140" s="2" t="s">
        <v>300</v>
      </c>
      <c r="C140" s="2" t="s">
        <v>301</v>
      </c>
      <c r="D140" s="2" t="s">
        <v>301</v>
      </c>
      <c r="E140" s="3">
        <v>83616</v>
      </c>
      <c r="F140" s="3">
        <v>83616</v>
      </c>
      <c r="G140" s="2" t="s">
        <v>11</v>
      </c>
      <c r="H140" s="2" t="s">
        <v>292</v>
      </c>
      <c r="I140" s="2" t="s">
        <v>297</v>
      </c>
    </row>
    <row r="141" spans="1:9" ht="16" x14ac:dyDescent="0.8">
      <c r="A141" s="2" t="s">
        <v>294</v>
      </c>
      <c r="B141" s="2" t="s">
        <v>302</v>
      </c>
      <c r="C141" s="2" t="s">
        <v>303</v>
      </c>
      <c r="D141" s="2" t="s">
        <v>303</v>
      </c>
      <c r="E141" s="3">
        <v>93128</v>
      </c>
      <c r="F141" s="3">
        <v>93128</v>
      </c>
      <c r="G141" s="2" t="s">
        <v>11</v>
      </c>
      <c r="H141" s="2" t="s">
        <v>292</v>
      </c>
      <c r="I141" s="2" t="s">
        <v>297</v>
      </c>
    </row>
    <row r="142" spans="1:9" ht="16" x14ac:dyDescent="0.8">
      <c r="A142" s="2" t="s">
        <v>294</v>
      </c>
      <c r="B142" s="2" t="s">
        <v>304</v>
      </c>
      <c r="C142" s="2" t="s">
        <v>305</v>
      </c>
      <c r="D142" s="2" t="s">
        <v>305</v>
      </c>
      <c r="E142" s="3">
        <v>43080</v>
      </c>
      <c r="F142" s="3">
        <v>43080</v>
      </c>
      <c r="G142" s="2" t="s">
        <v>11</v>
      </c>
      <c r="H142" s="2" t="s">
        <v>292</v>
      </c>
      <c r="I142" s="2" t="s">
        <v>297</v>
      </c>
    </row>
    <row r="143" spans="1:9" ht="16" x14ac:dyDescent="0.8">
      <c r="A143" s="2" t="s">
        <v>294</v>
      </c>
      <c r="B143" s="2" t="s">
        <v>306</v>
      </c>
      <c r="C143" s="2" t="s">
        <v>307</v>
      </c>
      <c r="D143" s="2" t="s">
        <v>307</v>
      </c>
      <c r="E143" s="3">
        <v>38896</v>
      </c>
      <c r="F143" s="3">
        <v>38896</v>
      </c>
      <c r="G143" s="2" t="s">
        <v>11</v>
      </c>
      <c r="H143" s="2" t="s">
        <v>292</v>
      </c>
      <c r="I143" s="2" t="s">
        <v>297</v>
      </c>
    </row>
    <row r="144" spans="1:9" ht="16" x14ac:dyDescent="0.8">
      <c r="A144" s="2" t="s">
        <v>308</v>
      </c>
      <c r="B144" s="2" t="s">
        <v>309</v>
      </c>
      <c r="C144" s="2" t="s">
        <v>310</v>
      </c>
      <c r="D144" s="2" t="s">
        <v>310</v>
      </c>
      <c r="E144" s="3">
        <v>35200</v>
      </c>
      <c r="F144" s="3">
        <v>35200</v>
      </c>
      <c r="G144" s="2" t="s">
        <v>11</v>
      </c>
      <c r="H144" s="2" t="s">
        <v>292</v>
      </c>
      <c r="I144" s="2" t="s">
        <v>311</v>
      </c>
    </row>
    <row r="145" spans="1:9" ht="16" x14ac:dyDescent="0.8">
      <c r="A145" s="2" t="s">
        <v>308</v>
      </c>
      <c r="B145" s="2" t="s">
        <v>312</v>
      </c>
      <c r="C145" s="2" t="s">
        <v>313</v>
      </c>
      <c r="D145" s="2" t="s">
        <v>313</v>
      </c>
      <c r="E145" s="3">
        <v>44800</v>
      </c>
      <c r="F145" s="3">
        <v>44800</v>
      </c>
      <c r="G145" s="2" t="s">
        <v>11</v>
      </c>
      <c r="H145" s="2" t="s">
        <v>292</v>
      </c>
      <c r="I145" s="2" t="s">
        <v>311</v>
      </c>
    </row>
    <row r="146" spans="1:9" ht="16" x14ac:dyDescent="0.8">
      <c r="A146" s="2" t="s">
        <v>314</v>
      </c>
      <c r="B146" s="2" t="s">
        <v>287</v>
      </c>
      <c r="C146" s="2" t="s">
        <v>288</v>
      </c>
      <c r="D146" s="2" t="s">
        <v>288</v>
      </c>
      <c r="E146" s="3">
        <v>4435200</v>
      </c>
      <c r="F146" s="3">
        <v>4435200</v>
      </c>
      <c r="G146" s="2" t="s">
        <v>11</v>
      </c>
      <c r="H146" s="2" t="s">
        <v>292</v>
      </c>
      <c r="I146" s="2" t="s">
        <v>289</v>
      </c>
    </row>
    <row r="147" spans="1:9" ht="16" x14ac:dyDescent="0.8">
      <c r="A147" s="2" t="s">
        <v>315</v>
      </c>
      <c r="B147" s="2" t="s">
        <v>287</v>
      </c>
      <c r="C147" s="2" t="s">
        <v>288</v>
      </c>
      <c r="D147" s="2" t="s">
        <v>288</v>
      </c>
      <c r="E147" s="3">
        <v>4435200</v>
      </c>
      <c r="F147" s="3">
        <v>4435200</v>
      </c>
      <c r="G147" s="2" t="s">
        <v>11</v>
      </c>
      <c r="H147" s="2" t="s">
        <v>292</v>
      </c>
      <c r="I147" s="2" t="s">
        <v>289</v>
      </c>
    </row>
    <row r="148" spans="1:9" ht="16" x14ac:dyDescent="0.8">
      <c r="A148" s="2" t="s">
        <v>316</v>
      </c>
      <c r="B148" s="2" t="s">
        <v>287</v>
      </c>
      <c r="C148" s="2" t="s">
        <v>288</v>
      </c>
      <c r="D148" s="2" t="s">
        <v>288</v>
      </c>
      <c r="E148" s="3">
        <v>4435200</v>
      </c>
      <c r="F148" s="3">
        <v>4435200</v>
      </c>
      <c r="G148" s="2" t="s">
        <v>11</v>
      </c>
      <c r="H148" s="2" t="s">
        <v>292</v>
      </c>
      <c r="I148" s="2" t="s">
        <v>289</v>
      </c>
    </row>
    <row r="149" spans="1:9" ht="16" x14ac:dyDescent="0.8">
      <c r="A149" s="2" t="s">
        <v>317</v>
      </c>
      <c r="B149" s="2" t="s">
        <v>287</v>
      </c>
      <c r="C149" s="2" t="s">
        <v>288</v>
      </c>
      <c r="D149" s="2" t="s">
        <v>288</v>
      </c>
      <c r="E149" s="3">
        <v>4435200</v>
      </c>
      <c r="F149" s="3">
        <v>4435200</v>
      </c>
      <c r="G149" s="2" t="s">
        <v>11</v>
      </c>
      <c r="H149" s="2" t="s">
        <v>292</v>
      </c>
      <c r="I149" s="2" t="s">
        <v>289</v>
      </c>
    </row>
    <row r="150" spans="1:9" ht="16" x14ac:dyDescent="0.8">
      <c r="A150" s="2" t="s">
        <v>318</v>
      </c>
      <c r="B150" s="2" t="s">
        <v>287</v>
      </c>
      <c r="C150" s="2" t="s">
        <v>288</v>
      </c>
      <c r="D150" s="2" t="s">
        <v>288</v>
      </c>
      <c r="E150" s="3">
        <v>4435200</v>
      </c>
      <c r="F150" s="3">
        <v>4435200</v>
      </c>
      <c r="G150" s="2" t="s">
        <v>11</v>
      </c>
      <c r="H150" s="2" t="s">
        <v>292</v>
      </c>
      <c r="I150" s="2" t="s">
        <v>289</v>
      </c>
    </row>
    <row r="151" spans="1:9" ht="16" x14ac:dyDescent="0.8">
      <c r="A151" s="2" t="s">
        <v>319</v>
      </c>
      <c r="B151" s="2" t="s">
        <v>287</v>
      </c>
      <c r="C151" s="2" t="s">
        <v>288</v>
      </c>
      <c r="D151" s="2" t="s">
        <v>288</v>
      </c>
      <c r="E151" s="3">
        <v>4435200</v>
      </c>
      <c r="F151" s="3">
        <v>4435200</v>
      </c>
      <c r="G151" s="2" t="s">
        <v>11</v>
      </c>
      <c r="H151" s="2" t="s">
        <v>292</v>
      </c>
      <c r="I151" s="2" t="s">
        <v>289</v>
      </c>
    </row>
    <row r="152" spans="1:9" ht="16" x14ac:dyDescent="0.8">
      <c r="A152" s="2" t="s">
        <v>320</v>
      </c>
      <c r="B152" s="2" t="s">
        <v>287</v>
      </c>
      <c r="C152" s="2" t="s">
        <v>288</v>
      </c>
      <c r="D152" s="2" t="s">
        <v>288</v>
      </c>
      <c r="E152" s="3">
        <v>4435200</v>
      </c>
      <c r="F152" s="3">
        <v>4435200</v>
      </c>
      <c r="G152" s="2" t="s">
        <v>11</v>
      </c>
      <c r="H152" s="2" t="s">
        <v>292</v>
      </c>
      <c r="I152" s="2" t="s">
        <v>289</v>
      </c>
    </row>
    <row r="153" spans="1:9" ht="16" x14ac:dyDescent="0.8">
      <c r="A153" s="2" t="s">
        <v>328</v>
      </c>
      <c r="B153" s="2" t="s">
        <v>295</v>
      </c>
      <c r="C153" s="2" t="s">
        <v>296</v>
      </c>
      <c r="D153" s="2" t="s">
        <v>296</v>
      </c>
      <c r="E153" s="3">
        <v>15824</v>
      </c>
      <c r="F153" s="3">
        <v>15824</v>
      </c>
      <c r="G153" s="2" t="s">
        <v>11</v>
      </c>
      <c r="H153" s="2" t="s">
        <v>323</v>
      </c>
      <c r="I153" s="2" t="s">
        <v>297</v>
      </c>
    </row>
    <row r="154" spans="1:9" ht="16" x14ac:dyDescent="0.8">
      <c r="A154" s="2" t="s">
        <v>328</v>
      </c>
      <c r="B154" s="2" t="s">
        <v>298</v>
      </c>
      <c r="C154" s="2" t="s">
        <v>299</v>
      </c>
      <c r="D154" s="2" t="s">
        <v>299</v>
      </c>
      <c r="E154" s="3">
        <v>28328</v>
      </c>
      <c r="F154" s="3">
        <v>28328</v>
      </c>
      <c r="G154" s="2" t="s">
        <v>11</v>
      </c>
      <c r="H154" s="2" t="s">
        <v>323</v>
      </c>
      <c r="I154" s="2" t="s">
        <v>297</v>
      </c>
    </row>
    <row r="155" spans="1:9" ht="16" x14ac:dyDescent="0.8">
      <c r="A155" s="2" t="s">
        <v>328</v>
      </c>
      <c r="B155" s="2" t="s">
        <v>300</v>
      </c>
      <c r="C155" s="2" t="s">
        <v>301</v>
      </c>
      <c r="D155" s="2" t="s">
        <v>301</v>
      </c>
      <c r="E155" s="3">
        <v>4020</v>
      </c>
      <c r="F155" s="3">
        <v>4020</v>
      </c>
      <c r="G155" s="2" t="s">
        <v>11</v>
      </c>
      <c r="H155" s="2" t="s">
        <v>323</v>
      </c>
      <c r="I155" s="2" t="s">
        <v>297</v>
      </c>
    </row>
    <row r="156" spans="1:9" ht="16" x14ac:dyDescent="0.8">
      <c r="A156" s="2" t="s">
        <v>328</v>
      </c>
      <c r="B156" s="2" t="s">
        <v>302</v>
      </c>
      <c r="C156" s="2" t="s">
        <v>303</v>
      </c>
      <c r="D156" s="2" t="s">
        <v>303</v>
      </c>
      <c r="E156" s="3">
        <v>2216</v>
      </c>
      <c r="F156" s="3">
        <v>2216</v>
      </c>
      <c r="G156" s="2" t="s">
        <v>11</v>
      </c>
      <c r="H156" s="2" t="s">
        <v>323</v>
      </c>
      <c r="I156" s="2" t="s">
        <v>297</v>
      </c>
    </row>
    <row r="157" spans="1:9" ht="16" x14ac:dyDescent="0.8">
      <c r="A157" s="2" t="s">
        <v>328</v>
      </c>
      <c r="B157" s="2" t="s">
        <v>304</v>
      </c>
      <c r="C157" s="2" t="s">
        <v>305</v>
      </c>
      <c r="D157" s="2" t="s">
        <v>305</v>
      </c>
      <c r="E157" s="3">
        <v>23144</v>
      </c>
      <c r="F157" s="3">
        <v>23144</v>
      </c>
      <c r="G157" s="2" t="s">
        <v>11</v>
      </c>
      <c r="H157" s="2" t="s">
        <v>323</v>
      </c>
      <c r="I157" s="2" t="s">
        <v>297</v>
      </c>
    </row>
    <row r="158" spans="1:9" ht="16" x14ac:dyDescent="0.8">
      <c r="A158" s="2" t="s">
        <v>328</v>
      </c>
      <c r="B158" s="2" t="s">
        <v>306</v>
      </c>
      <c r="C158" s="2" t="s">
        <v>307</v>
      </c>
      <c r="D158" s="2" t="s">
        <v>307</v>
      </c>
      <c r="E158" s="3">
        <v>21360</v>
      </c>
      <c r="F158" s="3">
        <v>21360</v>
      </c>
      <c r="G158" s="2" t="s">
        <v>11</v>
      </c>
      <c r="H158" s="2" t="s">
        <v>323</v>
      </c>
      <c r="I158" s="2" t="s">
        <v>297</v>
      </c>
    </row>
    <row r="159" spans="1:9" ht="16" x14ac:dyDescent="0.8">
      <c r="A159" s="2" t="s">
        <v>329</v>
      </c>
      <c r="B159" s="2" t="s">
        <v>309</v>
      </c>
      <c r="C159" s="2" t="s">
        <v>310</v>
      </c>
      <c r="D159" s="2" t="s">
        <v>310</v>
      </c>
      <c r="E159" s="3">
        <v>35200</v>
      </c>
      <c r="F159" s="3">
        <v>35200</v>
      </c>
      <c r="G159" s="2" t="s">
        <v>11</v>
      </c>
      <c r="H159" s="2" t="s">
        <v>323</v>
      </c>
      <c r="I159" s="2" t="s">
        <v>311</v>
      </c>
    </row>
    <row r="160" spans="1:9" ht="16" x14ac:dyDescent="0.8">
      <c r="A160" s="2" t="s">
        <v>329</v>
      </c>
      <c r="B160" s="2" t="s">
        <v>312</v>
      </c>
      <c r="C160" s="2" t="s">
        <v>313</v>
      </c>
      <c r="D160" s="2" t="s">
        <v>313</v>
      </c>
      <c r="E160" s="3">
        <v>44800</v>
      </c>
      <c r="F160" s="3">
        <v>44800</v>
      </c>
      <c r="G160" s="2" t="s">
        <v>11</v>
      </c>
      <c r="H160" s="2" t="s">
        <v>323</v>
      </c>
      <c r="I160" s="2" t="s">
        <v>311</v>
      </c>
    </row>
    <row r="161" spans="1:9" ht="16" x14ac:dyDescent="0.8">
      <c r="A161" s="2" t="s">
        <v>330</v>
      </c>
      <c r="B161" s="2" t="s">
        <v>295</v>
      </c>
      <c r="C161" s="2" t="s">
        <v>296</v>
      </c>
      <c r="D161" s="2" t="s">
        <v>296</v>
      </c>
      <c r="E161" s="3">
        <v>22720</v>
      </c>
      <c r="F161" s="3">
        <v>22720</v>
      </c>
      <c r="G161" s="2" t="s">
        <v>11</v>
      </c>
      <c r="H161" s="2" t="s">
        <v>323</v>
      </c>
      <c r="I161" s="2" t="s">
        <v>297</v>
      </c>
    </row>
    <row r="162" spans="1:9" ht="16" x14ac:dyDescent="0.8">
      <c r="A162" s="2" t="s">
        <v>330</v>
      </c>
      <c r="B162" s="2" t="s">
        <v>298</v>
      </c>
      <c r="C162" s="2" t="s">
        <v>299</v>
      </c>
      <c r="D162" s="2" t="s">
        <v>299</v>
      </c>
      <c r="E162" s="3">
        <v>76864</v>
      </c>
      <c r="F162" s="3">
        <v>113758</v>
      </c>
      <c r="G162" s="2" t="s">
        <v>11</v>
      </c>
      <c r="H162" s="2" t="s">
        <v>323</v>
      </c>
      <c r="I162" s="2" t="s">
        <v>297</v>
      </c>
    </row>
    <row r="163" spans="1:9" ht="16" x14ac:dyDescent="0.8">
      <c r="A163" s="2" t="s">
        <v>330</v>
      </c>
      <c r="B163" s="2" t="s">
        <v>300</v>
      </c>
      <c r="C163" s="2" t="s">
        <v>301</v>
      </c>
      <c r="D163" s="2" t="s">
        <v>301</v>
      </c>
      <c r="E163" s="3">
        <v>80592</v>
      </c>
      <c r="F163" s="3">
        <v>80592</v>
      </c>
      <c r="G163" s="2" t="s">
        <v>11</v>
      </c>
      <c r="H163" s="2" t="s">
        <v>323</v>
      </c>
      <c r="I163" s="2" t="s">
        <v>297</v>
      </c>
    </row>
    <row r="164" spans="1:9" ht="16" x14ac:dyDescent="0.8">
      <c r="A164" s="2" t="s">
        <v>330</v>
      </c>
      <c r="B164" s="2" t="s">
        <v>302</v>
      </c>
      <c r="C164" s="2" t="s">
        <v>303</v>
      </c>
      <c r="D164" s="2" t="s">
        <v>303</v>
      </c>
      <c r="E164" s="3">
        <v>91448</v>
      </c>
      <c r="F164" s="3">
        <v>91448</v>
      </c>
      <c r="G164" s="2" t="s">
        <v>11</v>
      </c>
      <c r="H164" s="2" t="s">
        <v>323</v>
      </c>
      <c r="I164" s="2" t="s">
        <v>297</v>
      </c>
    </row>
    <row r="165" spans="1:9" ht="16" x14ac:dyDescent="0.8">
      <c r="A165" s="2" t="s">
        <v>330</v>
      </c>
      <c r="B165" s="2" t="s">
        <v>304</v>
      </c>
      <c r="C165" s="2" t="s">
        <v>305</v>
      </c>
      <c r="D165" s="2" t="s">
        <v>305</v>
      </c>
      <c r="E165" s="3">
        <v>61976</v>
      </c>
      <c r="F165" s="3">
        <v>61976</v>
      </c>
      <c r="G165" s="2" t="s">
        <v>11</v>
      </c>
      <c r="H165" s="2" t="s">
        <v>323</v>
      </c>
      <c r="I165" s="2" t="s">
        <v>297</v>
      </c>
    </row>
    <row r="166" spans="1:9" ht="16" x14ac:dyDescent="0.8">
      <c r="A166" s="2" t="s">
        <v>330</v>
      </c>
      <c r="B166" s="2" t="s">
        <v>306</v>
      </c>
      <c r="C166" s="2" t="s">
        <v>307</v>
      </c>
      <c r="D166" s="2" t="s">
        <v>307</v>
      </c>
      <c r="E166" s="3">
        <v>57760</v>
      </c>
      <c r="F166" s="3">
        <v>101760</v>
      </c>
      <c r="G166" s="2" t="s">
        <v>11</v>
      </c>
      <c r="H166" s="2" t="s">
        <v>323</v>
      </c>
      <c r="I166" s="2" t="s">
        <v>297</v>
      </c>
    </row>
    <row r="167" spans="1:9" ht="16" x14ac:dyDescent="0.8">
      <c r="A167" s="2" t="s">
        <v>331</v>
      </c>
      <c r="B167" s="2" t="s">
        <v>309</v>
      </c>
      <c r="C167" s="2" t="s">
        <v>310</v>
      </c>
      <c r="D167" s="2" t="s">
        <v>310</v>
      </c>
      <c r="E167" s="3">
        <v>35200</v>
      </c>
      <c r="F167" s="3">
        <v>35200</v>
      </c>
      <c r="G167" s="2" t="s">
        <v>11</v>
      </c>
      <c r="H167" s="2" t="s">
        <v>323</v>
      </c>
      <c r="I167" s="2" t="s">
        <v>311</v>
      </c>
    </row>
    <row r="168" spans="1:9" ht="16" x14ac:dyDescent="0.8">
      <c r="A168" s="2" t="s">
        <v>331</v>
      </c>
      <c r="B168" s="2" t="s">
        <v>312</v>
      </c>
      <c r="C168" s="2" t="s">
        <v>313</v>
      </c>
      <c r="D168" s="2" t="s">
        <v>313</v>
      </c>
      <c r="E168" s="3">
        <v>44800</v>
      </c>
      <c r="F168" s="3">
        <v>44800</v>
      </c>
      <c r="G168" s="2" t="s">
        <v>11</v>
      </c>
      <c r="H168" s="2" t="s">
        <v>323</v>
      </c>
      <c r="I168" s="2" t="s">
        <v>311</v>
      </c>
    </row>
    <row r="169" spans="1:9" ht="16" x14ac:dyDescent="0.8">
      <c r="A169" s="2" t="s">
        <v>332</v>
      </c>
      <c r="B169" s="2" t="s">
        <v>295</v>
      </c>
      <c r="C169" s="2" t="s">
        <v>296</v>
      </c>
      <c r="D169" s="2" t="s">
        <v>296</v>
      </c>
      <c r="E169" s="3">
        <v>22720</v>
      </c>
      <c r="F169" s="3">
        <v>22720</v>
      </c>
      <c r="G169" s="2" t="s">
        <v>11</v>
      </c>
      <c r="H169" s="2" t="s">
        <v>323</v>
      </c>
      <c r="I169" s="2" t="s">
        <v>297</v>
      </c>
    </row>
    <row r="170" spans="1:9" ht="16" x14ac:dyDescent="0.8">
      <c r="A170" s="2" t="s">
        <v>332</v>
      </c>
      <c r="B170" s="2" t="s">
        <v>298</v>
      </c>
      <c r="C170" s="2" t="s">
        <v>299</v>
      </c>
      <c r="D170" s="2" t="s">
        <v>299</v>
      </c>
      <c r="E170" s="3">
        <v>76864</v>
      </c>
      <c r="F170" s="3">
        <v>76864</v>
      </c>
      <c r="G170" s="2" t="s">
        <v>11</v>
      </c>
      <c r="H170" s="2" t="s">
        <v>323</v>
      </c>
      <c r="I170" s="2" t="s">
        <v>297</v>
      </c>
    </row>
    <row r="171" spans="1:9" ht="16" x14ac:dyDescent="0.8">
      <c r="A171" s="2" t="s">
        <v>332</v>
      </c>
      <c r="B171" s="2" t="s">
        <v>300</v>
      </c>
      <c r="C171" s="2" t="s">
        <v>301</v>
      </c>
      <c r="D171" s="2" t="s">
        <v>301</v>
      </c>
      <c r="E171" s="3">
        <v>80592</v>
      </c>
      <c r="F171" s="3">
        <v>80592</v>
      </c>
      <c r="G171" s="2" t="s">
        <v>11</v>
      </c>
      <c r="H171" s="2" t="s">
        <v>323</v>
      </c>
      <c r="I171" s="2" t="s">
        <v>297</v>
      </c>
    </row>
    <row r="172" spans="1:9" ht="16" x14ac:dyDescent="0.8">
      <c r="A172" s="2" t="s">
        <v>332</v>
      </c>
      <c r="B172" s="2" t="s">
        <v>302</v>
      </c>
      <c r="C172" s="2" t="s">
        <v>303</v>
      </c>
      <c r="D172" s="2" t="s">
        <v>303</v>
      </c>
      <c r="E172" s="3">
        <v>91448</v>
      </c>
      <c r="F172" s="3">
        <v>91448</v>
      </c>
      <c r="G172" s="2" t="s">
        <v>11</v>
      </c>
      <c r="H172" s="2" t="s">
        <v>323</v>
      </c>
      <c r="I172" s="2" t="s">
        <v>297</v>
      </c>
    </row>
    <row r="173" spans="1:9" ht="16" x14ac:dyDescent="0.8">
      <c r="A173" s="2" t="s">
        <v>332</v>
      </c>
      <c r="B173" s="2" t="s">
        <v>304</v>
      </c>
      <c r="C173" s="2" t="s">
        <v>305</v>
      </c>
      <c r="D173" s="2" t="s">
        <v>305</v>
      </c>
      <c r="E173" s="3">
        <v>61976</v>
      </c>
      <c r="F173" s="3">
        <v>61976</v>
      </c>
      <c r="G173" s="2" t="s">
        <v>11</v>
      </c>
      <c r="H173" s="2" t="s">
        <v>323</v>
      </c>
      <c r="I173" s="2" t="s">
        <v>297</v>
      </c>
    </row>
    <row r="174" spans="1:9" ht="16" x14ac:dyDescent="0.8">
      <c r="A174" s="2" t="s">
        <v>332</v>
      </c>
      <c r="B174" s="2" t="s">
        <v>306</v>
      </c>
      <c r="C174" s="2" t="s">
        <v>307</v>
      </c>
      <c r="D174" s="2" t="s">
        <v>307</v>
      </c>
      <c r="E174" s="3">
        <v>57760</v>
      </c>
      <c r="F174" s="3">
        <v>57760</v>
      </c>
      <c r="G174" s="2" t="s">
        <v>11</v>
      </c>
      <c r="H174" s="2" t="s">
        <v>323</v>
      </c>
      <c r="I174" s="2" t="s">
        <v>297</v>
      </c>
    </row>
    <row r="175" spans="1:9" ht="16" x14ac:dyDescent="0.8">
      <c r="A175" s="2" t="s">
        <v>333</v>
      </c>
      <c r="B175" s="2" t="s">
        <v>309</v>
      </c>
      <c r="C175" s="2" t="s">
        <v>310</v>
      </c>
      <c r="D175" s="2" t="s">
        <v>310</v>
      </c>
      <c r="E175" s="3">
        <v>20560</v>
      </c>
      <c r="F175" s="3">
        <v>20560</v>
      </c>
      <c r="G175" s="2" t="s">
        <v>11</v>
      </c>
      <c r="H175" s="2" t="s">
        <v>323</v>
      </c>
      <c r="I175" s="2" t="s">
        <v>311</v>
      </c>
    </row>
    <row r="176" spans="1:9" ht="16" x14ac:dyDescent="0.8">
      <c r="A176" s="2" t="s">
        <v>333</v>
      </c>
      <c r="B176" s="2" t="s">
        <v>312</v>
      </c>
      <c r="C176" s="2" t="s">
        <v>313</v>
      </c>
      <c r="D176" s="2" t="s">
        <v>313</v>
      </c>
      <c r="E176" s="3">
        <v>27808</v>
      </c>
      <c r="F176" s="3">
        <v>27808</v>
      </c>
      <c r="G176" s="2" t="s">
        <v>11</v>
      </c>
      <c r="H176" s="2" t="s">
        <v>323</v>
      </c>
      <c r="I176" s="2" t="s">
        <v>311</v>
      </c>
    </row>
    <row r="177" spans="1:9" ht="16" x14ac:dyDescent="0.8">
      <c r="A177" s="2" t="s">
        <v>356</v>
      </c>
      <c r="B177" s="2" t="s">
        <v>357</v>
      </c>
      <c r="C177" s="2" t="s">
        <v>358</v>
      </c>
      <c r="D177" s="2" t="s">
        <v>358</v>
      </c>
      <c r="E177" s="3">
        <v>600</v>
      </c>
      <c r="F177" s="3">
        <v>600</v>
      </c>
      <c r="G177" s="2" t="s">
        <v>11</v>
      </c>
      <c r="H177" s="2" t="s">
        <v>359</v>
      </c>
      <c r="I177" s="2" t="s">
        <v>360</v>
      </c>
    </row>
    <row r="178" spans="1:9" ht="16" x14ac:dyDescent="0.8">
      <c r="A178" s="2" t="s">
        <v>356</v>
      </c>
      <c r="B178" s="2" t="s">
        <v>361</v>
      </c>
      <c r="C178" s="2" t="s">
        <v>362</v>
      </c>
      <c r="D178" s="2" t="s">
        <v>362</v>
      </c>
      <c r="E178" s="3">
        <v>600</v>
      </c>
      <c r="F178" s="3">
        <v>600</v>
      </c>
      <c r="G178" s="2" t="s">
        <v>11</v>
      </c>
      <c r="H178" s="2" t="s">
        <v>359</v>
      </c>
      <c r="I178" s="2" t="s">
        <v>360</v>
      </c>
    </row>
    <row r="179" spans="1:9" ht="16" x14ac:dyDescent="0.8">
      <c r="A179" s="2" t="s">
        <v>363</v>
      </c>
      <c r="B179" s="2" t="s">
        <v>364</v>
      </c>
      <c r="C179" s="2" t="s">
        <v>365</v>
      </c>
      <c r="D179" s="2" t="s">
        <v>365</v>
      </c>
      <c r="E179" s="3">
        <v>1844</v>
      </c>
      <c r="F179" s="3">
        <v>1844</v>
      </c>
      <c r="G179" s="2" t="s">
        <v>11</v>
      </c>
      <c r="H179" s="2" t="s">
        <v>359</v>
      </c>
      <c r="I179" s="2" t="s">
        <v>360</v>
      </c>
    </row>
    <row r="180" spans="1:9" ht="16" x14ac:dyDescent="0.8">
      <c r="A180" s="2" t="s">
        <v>375</v>
      </c>
      <c r="B180" s="2" t="s">
        <v>213</v>
      </c>
      <c r="C180" s="2" t="s">
        <v>214</v>
      </c>
      <c r="D180" s="2" t="s">
        <v>214</v>
      </c>
      <c r="E180" s="3">
        <v>101120</v>
      </c>
      <c r="F180" s="3">
        <v>101120</v>
      </c>
      <c r="G180" s="2" t="s">
        <v>11</v>
      </c>
      <c r="H180" s="2" t="s">
        <v>376</v>
      </c>
      <c r="I180" s="2" t="s">
        <v>208</v>
      </c>
    </row>
    <row r="181" spans="1:9" ht="16" x14ac:dyDescent="0.8">
      <c r="A181" s="2" t="s">
        <v>377</v>
      </c>
      <c r="B181" s="2" t="s">
        <v>165</v>
      </c>
      <c r="C181" s="2" t="s">
        <v>166</v>
      </c>
      <c r="D181" s="2" t="s">
        <v>166</v>
      </c>
      <c r="E181" s="3">
        <v>15354</v>
      </c>
      <c r="F181" s="3">
        <v>15354</v>
      </c>
      <c r="G181" s="2" t="s">
        <v>11</v>
      </c>
      <c r="H181" s="2" t="s">
        <v>376</v>
      </c>
      <c r="I181" s="2" t="s">
        <v>168</v>
      </c>
    </row>
    <row r="182" spans="1:9" ht="16" x14ac:dyDescent="0.8">
      <c r="A182" s="2" t="s">
        <v>377</v>
      </c>
      <c r="B182" s="2" t="s">
        <v>180</v>
      </c>
      <c r="C182" s="2" t="s">
        <v>181</v>
      </c>
      <c r="D182" s="2" t="s">
        <v>181</v>
      </c>
      <c r="E182" s="3">
        <v>16392</v>
      </c>
      <c r="F182" s="3">
        <v>16392</v>
      </c>
      <c r="G182" s="2" t="s">
        <v>11</v>
      </c>
      <c r="H182" s="2" t="s">
        <v>376</v>
      </c>
      <c r="I182" s="2" t="s">
        <v>168</v>
      </c>
    </row>
    <row r="183" spans="1:9" ht="16" x14ac:dyDescent="0.8">
      <c r="A183" s="2" t="s">
        <v>377</v>
      </c>
      <c r="B183" s="2" t="s">
        <v>169</v>
      </c>
      <c r="C183" s="2" t="s">
        <v>170</v>
      </c>
      <c r="D183" s="2" t="s">
        <v>170</v>
      </c>
      <c r="E183" s="3">
        <v>20556</v>
      </c>
      <c r="F183" s="3">
        <v>20556</v>
      </c>
      <c r="G183" s="2" t="s">
        <v>11</v>
      </c>
      <c r="H183" s="2" t="s">
        <v>376</v>
      </c>
      <c r="I183" s="2" t="s">
        <v>168</v>
      </c>
    </row>
    <row r="184" spans="1:9" ht="16" x14ac:dyDescent="0.8">
      <c r="A184" s="2" t="s">
        <v>377</v>
      </c>
      <c r="B184" s="2" t="s">
        <v>171</v>
      </c>
      <c r="C184" s="2" t="s">
        <v>172</v>
      </c>
      <c r="D184" s="2" t="s">
        <v>172</v>
      </c>
      <c r="E184" s="3">
        <v>19948</v>
      </c>
      <c r="F184" s="3">
        <v>19948</v>
      </c>
      <c r="G184" s="2" t="s">
        <v>11</v>
      </c>
      <c r="H184" s="2" t="s">
        <v>376</v>
      </c>
      <c r="I184" s="2" t="s">
        <v>168</v>
      </c>
    </row>
    <row r="185" spans="1:9" ht="16" x14ac:dyDescent="0.8">
      <c r="A185" s="2" t="s">
        <v>377</v>
      </c>
      <c r="B185" s="2" t="s">
        <v>173</v>
      </c>
      <c r="C185" s="2" t="s">
        <v>174</v>
      </c>
      <c r="D185" s="2" t="s">
        <v>174</v>
      </c>
      <c r="E185" s="3">
        <v>18344</v>
      </c>
      <c r="F185" s="3">
        <v>18344</v>
      </c>
      <c r="G185" s="2" t="s">
        <v>11</v>
      </c>
      <c r="H185" s="2" t="s">
        <v>376</v>
      </c>
      <c r="I185" s="2" t="s">
        <v>168</v>
      </c>
    </row>
    <row r="186" spans="1:9" ht="16" x14ac:dyDescent="0.8">
      <c r="A186" s="2" t="s">
        <v>377</v>
      </c>
      <c r="B186" s="2" t="s">
        <v>175</v>
      </c>
      <c r="C186" s="2" t="s">
        <v>176</v>
      </c>
      <c r="D186" s="2" t="s">
        <v>176</v>
      </c>
      <c r="E186" s="3">
        <v>22576</v>
      </c>
      <c r="F186" s="3">
        <v>22576</v>
      </c>
      <c r="G186" s="2" t="s">
        <v>11</v>
      </c>
      <c r="H186" s="2" t="s">
        <v>376</v>
      </c>
      <c r="I186" s="2" t="s">
        <v>168</v>
      </c>
    </row>
    <row r="187" spans="1:9" ht="16" x14ac:dyDescent="0.8">
      <c r="A187" s="2" t="s">
        <v>378</v>
      </c>
      <c r="B187" s="2" t="s">
        <v>175</v>
      </c>
      <c r="C187" s="2" t="s">
        <v>176</v>
      </c>
      <c r="D187" s="2" t="s">
        <v>176</v>
      </c>
      <c r="E187" s="3">
        <v>17600</v>
      </c>
      <c r="F187" s="3">
        <v>17600</v>
      </c>
      <c r="G187" s="2" t="s">
        <v>11</v>
      </c>
      <c r="H187" s="2" t="s">
        <v>376</v>
      </c>
      <c r="I187" s="2" t="s">
        <v>168</v>
      </c>
    </row>
    <row r="188" spans="1:9" ht="16" x14ac:dyDescent="0.8">
      <c r="A188" s="2" t="s">
        <v>379</v>
      </c>
      <c r="B188" s="2" t="s">
        <v>169</v>
      </c>
      <c r="C188" s="2" t="s">
        <v>170</v>
      </c>
      <c r="D188" s="2" t="s">
        <v>170</v>
      </c>
      <c r="E188" s="3">
        <v>9000</v>
      </c>
      <c r="F188" s="3">
        <v>9000</v>
      </c>
      <c r="G188" s="2" t="s">
        <v>11</v>
      </c>
      <c r="H188" s="2" t="s">
        <v>376</v>
      </c>
      <c r="I188" s="2" t="s">
        <v>168</v>
      </c>
    </row>
    <row r="189" spans="1:9" ht="16" x14ac:dyDescent="0.8">
      <c r="A189" s="2" t="s">
        <v>379</v>
      </c>
      <c r="B189" s="2" t="s">
        <v>171</v>
      </c>
      <c r="C189" s="2" t="s">
        <v>172</v>
      </c>
      <c r="D189" s="2" t="s">
        <v>172</v>
      </c>
      <c r="E189" s="3">
        <v>12000</v>
      </c>
      <c r="F189" s="3">
        <v>12000</v>
      </c>
      <c r="G189" s="2" t="s">
        <v>11</v>
      </c>
      <c r="H189" s="2" t="s">
        <v>376</v>
      </c>
      <c r="I189" s="2" t="s">
        <v>168</v>
      </c>
    </row>
    <row r="190" spans="1:9" ht="16" x14ac:dyDescent="0.8">
      <c r="A190" s="2" t="s">
        <v>379</v>
      </c>
      <c r="B190" s="2" t="s">
        <v>177</v>
      </c>
      <c r="C190" s="2" t="s">
        <v>178</v>
      </c>
      <c r="D190" s="2" t="s">
        <v>178</v>
      </c>
      <c r="E190" s="3">
        <v>10000</v>
      </c>
      <c r="F190" s="3">
        <v>10000</v>
      </c>
      <c r="G190" s="2" t="s">
        <v>11</v>
      </c>
      <c r="H190" s="2" t="s">
        <v>376</v>
      </c>
      <c r="I190" s="2" t="s">
        <v>168</v>
      </c>
    </row>
    <row r="191" spans="1:9" ht="16" x14ac:dyDescent="0.8">
      <c r="A191" s="2" t="s">
        <v>380</v>
      </c>
      <c r="B191" s="2" t="s">
        <v>381</v>
      </c>
      <c r="C191" s="2" t="s">
        <v>382</v>
      </c>
      <c r="D191" s="2" t="s">
        <v>382</v>
      </c>
      <c r="E191" s="3">
        <v>69048</v>
      </c>
      <c r="F191" s="3">
        <v>69048</v>
      </c>
      <c r="G191" s="2" t="s">
        <v>11</v>
      </c>
      <c r="H191" s="2" t="s">
        <v>383</v>
      </c>
      <c r="I191" s="2" t="s">
        <v>360</v>
      </c>
    </row>
    <row r="192" spans="1:9" ht="16" x14ac:dyDescent="0.8">
      <c r="A192" s="2" t="s">
        <v>380</v>
      </c>
      <c r="B192" s="2" t="s">
        <v>357</v>
      </c>
      <c r="C192" s="2" t="s">
        <v>358</v>
      </c>
      <c r="D192" s="2" t="s">
        <v>358</v>
      </c>
      <c r="E192" s="3">
        <v>78408</v>
      </c>
      <c r="F192" s="3">
        <v>78408</v>
      </c>
      <c r="G192" s="2" t="s">
        <v>11</v>
      </c>
      <c r="H192" s="2" t="s">
        <v>383</v>
      </c>
      <c r="I192" s="2" t="s">
        <v>360</v>
      </c>
    </row>
    <row r="193" spans="1:9" ht="16" x14ac:dyDescent="0.8">
      <c r="A193" s="2" t="s">
        <v>380</v>
      </c>
      <c r="B193" s="2" t="s">
        <v>361</v>
      </c>
      <c r="C193" s="2" t="s">
        <v>362</v>
      </c>
      <c r="D193" s="2" t="s">
        <v>362</v>
      </c>
      <c r="E193" s="3">
        <v>29336</v>
      </c>
      <c r="F193" s="3">
        <v>29336</v>
      </c>
      <c r="G193" s="2" t="s">
        <v>11</v>
      </c>
      <c r="H193" s="2" t="s">
        <v>383</v>
      </c>
      <c r="I193" s="2" t="s">
        <v>360</v>
      </c>
    </row>
    <row r="194" spans="1:9" ht="16" x14ac:dyDescent="0.8">
      <c r="A194" s="2" t="s">
        <v>386</v>
      </c>
      <c r="B194" s="2" t="s">
        <v>387</v>
      </c>
      <c r="C194" s="2" t="s">
        <v>388</v>
      </c>
      <c r="D194" s="2" t="s">
        <v>388</v>
      </c>
      <c r="E194" s="3">
        <v>84960</v>
      </c>
      <c r="F194" s="3">
        <v>85824</v>
      </c>
      <c r="G194" s="2" t="s">
        <v>11</v>
      </c>
      <c r="H194" s="2" t="s">
        <v>389</v>
      </c>
      <c r="I194" s="2" t="s">
        <v>390</v>
      </c>
    </row>
    <row r="195" spans="1:9" ht="16" x14ac:dyDescent="0.8">
      <c r="A195" s="2" t="s">
        <v>391</v>
      </c>
      <c r="B195" s="2" t="s">
        <v>326</v>
      </c>
      <c r="C195" s="2" t="s">
        <v>327</v>
      </c>
      <c r="D195" s="2" t="s">
        <v>327</v>
      </c>
      <c r="E195" s="3">
        <v>85176</v>
      </c>
      <c r="F195" s="3">
        <v>85176</v>
      </c>
      <c r="G195" s="2" t="s">
        <v>11</v>
      </c>
      <c r="H195" s="2" t="s">
        <v>392</v>
      </c>
      <c r="I195" s="2" t="s">
        <v>390</v>
      </c>
    </row>
    <row r="196" spans="1:9" ht="16" x14ac:dyDescent="0.8">
      <c r="A196" s="2" t="s">
        <v>393</v>
      </c>
      <c r="B196" s="2" t="s">
        <v>394</v>
      </c>
      <c r="C196" s="2" t="s">
        <v>395</v>
      </c>
      <c r="D196" s="2" t="s">
        <v>395</v>
      </c>
      <c r="E196" s="3">
        <v>21384</v>
      </c>
      <c r="F196" s="3">
        <v>21384</v>
      </c>
      <c r="G196" s="2" t="s">
        <v>11</v>
      </c>
      <c r="H196" s="2" t="s">
        <v>396</v>
      </c>
      <c r="I196" s="2" t="s">
        <v>17</v>
      </c>
    </row>
    <row r="197" spans="1:9" ht="16" x14ac:dyDescent="0.8">
      <c r="A197" s="2" t="s">
        <v>397</v>
      </c>
      <c r="B197" s="2" t="s">
        <v>357</v>
      </c>
      <c r="C197" s="2" t="s">
        <v>358</v>
      </c>
      <c r="D197" s="2" t="s">
        <v>358</v>
      </c>
      <c r="E197" s="3">
        <v>129544</v>
      </c>
      <c r="F197" s="3">
        <v>129544</v>
      </c>
      <c r="G197" s="2" t="s">
        <v>11</v>
      </c>
      <c r="H197" s="2" t="s">
        <v>398</v>
      </c>
      <c r="I197" s="2" t="s">
        <v>360</v>
      </c>
    </row>
    <row r="198" spans="1:9" ht="16" x14ac:dyDescent="0.8">
      <c r="A198" s="2" t="s">
        <v>397</v>
      </c>
      <c r="B198" s="2" t="s">
        <v>361</v>
      </c>
      <c r="C198" s="2" t="s">
        <v>362</v>
      </c>
      <c r="D198" s="2" t="s">
        <v>362</v>
      </c>
      <c r="E198" s="3">
        <v>125496</v>
      </c>
      <c r="F198" s="3">
        <v>125496</v>
      </c>
      <c r="G198" s="2" t="s">
        <v>11</v>
      </c>
      <c r="H198" s="2" t="s">
        <v>398</v>
      </c>
      <c r="I198" s="2" t="s">
        <v>360</v>
      </c>
    </row>
    <row r="199" spans="1:9" ht="16" x14ac:dyDescent="0.8">
      <c r="A199" s="2" t="s">
        <v>397</v>
      </c>
      <c r="B199" s="2" t="s">
        <v>381</v>
      </c>
      <c r="C199" s="2" t="s">
        <v>382</v>
      </c>
      <c r="D199" s="2" t="s">
        <v>382</v>
      </c>
      <c r="E199" s="3">
        <v>69040</v>
      </c>
      <c r="F199" s="3">
        <v>69040</v>
      </c>
      <c r="G199" s="2" t="s">
        <v>11</v>
      </c>
      <c r="H199" s="2" t="s">
        <v>398</v>
      </c>
      <c r="I199" s="2" t="s">
        <v>360</v>
      </c>
    </row>
    <row r="200" spans="1:9" ht="16" x14ac:dyDescent="0.8">
      <c r="A200" s="2" t="s">
        <v>399</v>
      </c>
      <c r="B200" s="2" t="s">
        <v>400</v>
      </c>
      <c r="C200" s="2" t="s">
        <v>365</v>
      </c>
      <c r="D200" s="2" t="s">
        <v>365</v>
      </c>
      <c r="E200" s="3">
        <v>130854</v>
      </c>
      <c r="F200" s="3">
        <v>130854</v>
      </c>
      <c r="G200" s="2" t="s">
        <v>11</v>
      </c>
      <c r="H200" s="2" t="s">
        <v>398</v>
      </c>
      <c r="I200" s="2" t="s">
        <v>360</v>
      </c>
    </row>
    <row r="201" spans="1:9" ht="16" x14ac:dyDescent="0.8">
      <c r="A201" s="2" t="s">
        <v>399</v>
      </c>
      <c r="B201" s="2" t="s">
        <v>401</v>
      </c>
      <c r="C201" s="2" t="s">
        <v>402</v>
      </c>
      <c r="D201" s="2" t="s">
        <v>402</v>
      </c>
      <c r="E201" s="3">
        <v>127218</v>
      </c>
      <c r="F201" s="3">
        <v>127218</v>
      </c>
      <c r="G201" s="2" t="s">
        <v>11</v>
      </c>
      <c r="H201" s="2" t="s">
        <v>398</v>
      </c>
      <c r="I201" s="2" t="s">
        <v>360</v>
      </c>
    </row>
    <row r="202" spans="1:9" ht="16" x14ac:dyDescent="0.8">
      <c r="A202" s="2" t="s">
        <v>399</v>
      </c>
      <c r="B202" s="2" t="s">
        <v>357</v>
      </c>
      <c r="C202" s="2" t="s">
        <v>358</v>
      </c>
      <c r="D202" s="2" t="s">
        <v>358</v>
      </c>
      <c r="E202" s="3">
        <v>83784</v>
      </c>
      <c r="F202" s="3">
        <v>83784</v>
      </c>
      <c r="G202" s="2" t="s">
        <v>11</v>
      </c>
      <c r="H202" s="2" t="s">
        <v>398</v>
      </c>
      <c r="I202" s="2" t="s">
        <v>360</v>
      </c>
    </row>
    <row r="203" spans="1:9" ht="16" x14ac:dyDescent="0.8">
      <c r="A203" s="2" t="s">
        <v>399</v>
      </c>
      <c r="B203" s="2" t="s">
        <v>361</v>
      </c>
      <c r="C203" s="2" t="s">
        <v>362</v>
      </c>
      <c r="D203" s="2" t="s">
        <v>362</v>
      </c>
      <c r="E203" s="3">
        <v>80920</v>
      </c>
      <c r="F203" s="3">
        <v>80920</v>
      </c>
      <c r="G203" s="2" t="s">
        <v>11</v>
      </c>
      <c r="H203" s="2" t="s">
        <v>398</v>
      </c>
      <c r="I203" s="2" t="s">
        <v>360</v>
      </c>
    </row>
    <row r="204" spans="1:9" ht="16" x14ac:dyDescent="0.8">
      <c r="A204" s="2" t="s">
        <v>399</v>
      </c>
      <c r="B204" s="2" t="s">
        <v>381</v>
      </c>
      <c r="C204" s="2" t="s">
        <v>382</v>
      </c>
      <c r="D204" s="2" t="s">
        <v>382</v>
      </c>
      <c r="E204" s="3">
        <v>150904</v>
      </c>
      <c r="F204" s="3">
        <v>150904</v>
      </c>
      <c r="G204" s="2" t="s">
        <v>11</v>
      </c>
      <c r="H204" s="2" t="s">
        <v>398</v>
      </c>
      <c r="I204" s="2" t="s">
        <v>360</v>
      </c>
    </row>
    <row r="205" spans="1:9" ht="16" x14ac:dyDescent="0.8">
      <c r="A205" s="2" t="s">
        <v>403</v>
      </c>
      <c r="B205" s="2" t="s">
        <v>404</v>
      </c>
      <c r="C205" s="2" t="s">
        <v>405</v>
      </c>
      <c r="D205" s="2" t="s">
        <v>405</v>
      </c>
      <c r="E205" s="3">
        <v>10002</v>
      </c>
      <c r="F205" s="3">
        <v>10002</v>
      </c>
      <c r="G205" s="2" t="s">
        <v>11</v>
      </c>
      <c r="H205" s="2" t="s">
        <v>406</v>
      </c>
      <c r="I205" s="2" t="s">
        <v>407</v>
      </c>
    </row>
    <row r="206" spans="1:9" ht="16" x14ac:dyDescent="0.8">
      <c r="A206" s="2" t="s">
        <v>408</v>
      </c>
      <c r="B206" s="2" t="s">
        <v>404</v>
      </c>
      <c r="C206" s="2" t="s">
        <v>405</v>
      </c>
      <c r="D206" s="2" t="s">
        <v>405</v>
      </c>
      <c r="E206" s="3">
        <v>354</v>
      </c>
      <c r="F206" s="3">
        <v>354</v>
      </c>
      <c r="G206" s="2" t="s">
        <v>11</v>
      </c>
      <c r="H206" s="2" t="s">
        <v>406</v>
      </c>
      <c r="I206" s="2" t="s">
        <v>407</v>
      </c>
    </row>
    <row r="207" spans="1:9" ht="16" x14ac:dyDescent="0.8">
      <c r="A207" s="2" t="s">
        <v>409</v>
      </c>
      <c r="B207" s="2" t="s">
        <v>410</v>
      </c>
      <c r="C207" s="2" t="s">
        <v>411</v>
      </c>
      <c r="D207" s="2" t="s">
        <v>411</v>
      </c>
      <c r="E207" s="3">
        <v>8004</v>
      </c>
      <c r="F207" s="3">
        <v>8004</v>
      </c>
      <c r="G207" s="2" t="s">
        <v>11</v>
      </c>
      <c r="H207" s="2" t="s">
        <v>406</v>
      </c>
      <c r="I207" s="2" t="s">
        <v>412</v>
      </c>
    </row>
    <row r="208" spans="1:9" ht="16" x14ac:dyDescent="0.8">
      <c r="A208" s="2" t="s">
        <v>409</v>
      </c>
      <c r="B208" s="2" t="s">
        <v>413</v>
      </c>
      <c r="C208" s="2" t="s">
        <v>414</v>
      </c>
      <c r="D208" s="2" t="s">
        <v>414</v>
      </c>
      <c r="E208" s="3">
        <v>5004</v>
      </c>
      <c r="F208" s="3">
        <v>5004</v>
      </c>
      <c r="G208" s="2" t="s">
        <v>11</v>
      </c>
      <c r="H208" s="2" t="s">
        <v>406</v>
      </c>
      <c r="I208" s="2" t="s">
        <v>412</v>
      </c>
    </row>
    <row r="209" spans="1:9" ht="16" x14ac:dyDescent="0.8">
      <c r="A209" s="2" t="s">
        <v>415</v>
      </c>
      <c r="B209" s="2" t="s">
        <v>410</v>
      </c>
      <c r="C209" s="2" t="s">
        <v>411</v>
      </c>
      <c r="D209" s="2" t="s">
        <v>411</v>
      </c>
      <c r="E209" s="3">
        <v>354</v>
      </c>
      <c r="F209" s="3">
        <v>354</v>
      </c>
      <c r="G209" s="2" t="s">
        <v>11</v>
      </c>
      <c r="H209" s="2" t="s">
        <v>406</v>
      </c>
      <c r="I209" s="2" t="s">
        <v>412</v>
      </c>
    </row>
    <row r="210" spans="1:9" ht="16" x14ac:dyDescent="0.8">
      <c r="A210" s="2" t="s">
        <v>415</v>
      </c>
      <c r="B210" s="2" t="s">
        <v>413</v>
      </c>
      <c r="C210" s="2" t="s">
        <v>414</v>
      </c>
      <c r="D210" s="2" t="s">
        <v>414</v>
      </c>
      <c r="E210" s="3">
        <v>354</v>
      </c>
      <c r="F210" s="3">
        <v>354</v>
      </c>
      <c r="G210" s="2" t="s">
        <v>11</v>
      </c>
      <c r="H210" s="2" t="s">
        <v>406</v>
      </c>
      <c r="I210" s="2" t="s">
        <v>412</v>
      </c>
    </row>
    <row r="211" spans="1:9" ht="16" x14ac:dyDescent="0.8">
      <c r="A211" s="2" t="s">
        <v>416</v>
      </c>
      <c r="B211" s="2" t="s">
        <v>417</v>
      </c>
      <c r="C211" s="2" t="s">
        <v>245</v>
      </c>
      <c r="D211" s="2" t="s">
        <v>245</v>
      </c>
      <c r="E211" s="3">
        <v>17808</v>
      </c>
      <c r="F211" s="3">
        <v>17808</v>
      </c>
      <c r="G211" s="2" t="s">
        <v>11</v>
      </c>
      <c r="H211" s="2" t="s">
        <v>406</v>
      </c>
      <c r="I211" s="2" t="s">
        <v>201</v>
      </c>
    </row>
    <row r="212" spans="1:9" ht="16" x14ac:dyDescent="0.8">
      <c r="A212" s="2" t="s">
        <v>416</v>
      </c>
      <c r="B212" s="2" t="s">
        <v>418</v>
      </c>
      <c r="C212" s="2" t="s">
        <v>337</v>
      </c>
      <c r="D212" s="2" t="s">
        <v>337</v>
      </c>
      <c r="E212" s="3">
        <v>16956</v>
      </c>
      <c r="F212" s="3">
        <v>16956</v>
      </c>
      <c r="G212" s="2" t="s">
        <v>11</v>
      </c>
      <c r="H212" s="2" t="s">
        <v>406</v>
      </c>
      <c r="I212" s="2" t="s">
        <v>201</v>
      </c>
    </row>
    <row r="213" spans="1:9" ht="16" x14ac:dyDescent="0.8">
      <c r="A213" s="2" t="s">
        <v>416</v>
      </c>
      <c r="B213" s="2" t="s">
        <v>419</v>
      </c>
      <c r="C213" s="2" t="s">
        <v>241</v>
      </c>
      <c r="D213" s="2" t="s">
        <v>241</v>
      </c>
      <c r="E213" s="3">
        <v>7716</v>
      </c>
      <c r="F213" s="3">
        <v>7716</v>
      </c>
      <c r="G213" s="2" t="s">
        <v>11</v>
      </c>
      <c r="H213" s="2" t="s">
        <v>406</v>
      </c>
      <c r="I213" s="2" t="s">
        <v>201</v>
      </c>
    </row>
    <row r="214" spans="1:9" ht="16" x14ac:dyDescent="0.8">
      <c r="A214" s="2" t="s">
        <v>416</v>
      </c>
      <c r="B214" s="2" t="s">
        <v>420</v>
      </c>
      <c r="C214" s="2" t="s">
        <v>246</v>
      </c>
      <c r="D214" s="2" t="s">
        <v>246</v>
      </c>
      <c r="E214" s="3">
        <v>22596</v>
      </c>
      <c r="F214" s="3">
        <v>22596</v>
      </c>
      <c r="G214" s="2" t="s">
        <v>11</v>
      </c>
      <c r="H214" s="2" t="s">
        <v>406</v>
      </c>
      <c r="I214" s="2" t="s">
        <v>201</v>
      </c>
    </row>
    <row r="215" spans="1:9" ht="16" x14ac:dyDescent="0.8">
      <c r="A215" s="2" t="s">
        <v>416</v>
      </c>
      <c r="B215" s="2" t="s">
        <v>421</v>
      </c>
      <c r="C215" s="2" t="s">
        <v>243</v>
      </c>
      <c r="D215" s="2" t="s">
        <v>243</v>
      </c>
      <c r="E215" s="3">
        <v>16776</v>
      </c>
      <c r="F215" s="3">
        <v>16776</v>
      </c>
      <c r="G215" s="2" t="s">
        <v>11</v>
      </c>
      <c r="H215" s="2" t="s">
        <v>406</v>
      </c>
      <c r="I215" s="2" t="s">
        <v>201</v>
      </c>
    </row>
    <row r="216" spans="1:9" ht="16" x14ac:dyDescent="0.8">
      <c r="A216" s="2" t="s">
        <v>416</v>
      </c>
      <c r="B216" s="2" t="s">
        <v>422</v>
      </c>
      <c r="C216" s="2" t="s">
        <v>244</v>
      </c>
      <c r="D216" s="2" t="s">
        <v>244</v>
      </c>
      <c r="E216" s="3">
        <v>21648</v>
      </c>
      <c r="F216" s="3">
        <v>21648</v>
      </c>
      <c r="G216" s="2" t="s">
        <v>11</v>
      </c>
      <c r="H216" s="2" t="s">
        <v>406</v>
      </c>
      <c r="I216" s="2" t="s">
        <v>201</v>
      </c>
    </row>
    <row r="217" spans="1:9" ht="16" x14ac:dyDescent="0.8">
      <c r="A217" s="2" t="s">
        <v>423</v>
      </c>
      <c r="B217" s="2" t="s">
        <v>417</v>
      </c>
      <c r="C217" s="2" t="s">
        <v>245</v>
      </c>
      <c r="D217" s="2" t="s">
        <v>245</v>
      </c>
      <c r="E217" s="3">
        <v>30996</v>
      </c>
      <c r="F217" s="3">
        <v>30996</v>
      </c>
      <c r="G217" s="2" t="s">
        <v>11</v>
      </c>
      <c r="H217" s="2" t="s">
        <v>406</v>
      </c>
      <c r="I217" s="2" t="s">
        <v>201</v>
      </c>
    </row>
    <row r="218" spans="1:9" ht="16" x14ac:dyDescent="0.8">
      <c r="A218" s="2" t="s">
        <v>423</v>
      </c>
      <c r="B218" s="2" t="s">
        <v>418</v>
      </c>
      <c r="C218" s="2" t="s">
        <v>337</v>
      </c>
      <c r="D218" s="2" t="s">
        <v>337</v>
      </c>
      <c r="E218" s="3">
        <v>29256</v>
      </c>
      <c r="F218" s="3">
        <v>29256</v>
      </c>
      <c r="G218" s="2" t="s">
        <v>11</v>
      </c>
      <c r="H218" s="2" t="s">
        <v>406</v>
      </c>
      <c r="I218" s="2" t="s">
        <v>201</v>
      </c>
    </row>
    <row r="219" spans="1:9" ht="16" x14ac:dyDescent="0.8">
      <c r="A219" s="2" t="s">
        <v>423</v>
      </c>
      <c r="B219" s="2" t="s">
        <v>419</v>
      </c>
      <c r="C219" s="2" t="s">
        <v>241</v>
      </c>
      <c r="D219" s="2" t="s">
        <v>241</v>
      </c>
      <c r="E219" s="3">
        <v>23700</v>
      </c>
      <c r="F219" s="3">
        <v>23700</v>
      </c>
      <c r="G219" s="2" t="s">
        <v>11</v>
      </c>
      <c r="H219" s="2" t="s">
        <v>406</v>
      </c>
      <c r="I219" s="2" t="s">
        <v>201</v>
      </c>
    </row>
    <row r="220" spans="1:9" ht="16" x14ac:dyDescent="0.8">
      <c r="A220" s="2" t="s">
        <v>423</v>
      </c>
      <c r="B220" s="2" t="s">
        <v>420</v>
      </c>
      <c r="C220" s="2" t="s">
        <v>246</v>
      </c>
      <c r="D220" s="2" t="s">
        <v>246</v>
      </c>
      <c r="E220" s="3">
        <v>42672</v>
      </c>
      <c r="F220" s="3">
        <v>42672</v>
      </c>
      <c r="G220" s="2" t="s">
        <v>11</v>
      </c>
      <c r="H220" s="2" t="s">
        <v>406</v>
      </c>
      <c r="I220" s="2" t="s">
        <v>201</v>
      </c>
    </row>
    <row r="221" spans="1:9" ht="16" x14ac:dyDescent="0.8">
      <c r="A221" s="2" t="s">
        <v>423</v>
      </c>
      <c r="B221" s="2" t="s">
        <v>421</v>
      </c>
      <c r="C221" s="2" t="s">
        <v>243</v>
      </c>
      <c r="D221" s="2" t="s">
        <v>243</v>
      </c>
      <c r="E221" s="3">
        <v>39588</v>
      </c>
      <c r="F221" s="3">
        <v>39588</v>
      </c>
      <c r="G221" s="2" t="s">
        <v>11</v>
      </c>
      <c r="H221" s="2" t="s">
        <v>406</v>
      </c>
      <c r="I221" s="2" t="s">
        <v>201</v>
      </c>
    </row>
    <row r="222" spans="1:9" ht="16" x14ac:dyDescent="0.8">
      <c r="A222" s="2" t="s">
        <v>423</v>
      </c>
      <c r="B222" s="2" t="s">
        <v>422</v>
      </c>
      <c r="C222" s="2" t="s">
        <v>244</v>
      </c>
      <c r="D222" s="2" t="s">
        <v>244</v>
      </c>
      <c r="E222" s="3">
        <v>37380</v>
      </c>
      <c r="F222" s="3">
        <v>37380</v>
      </c>
      <c r="G222" s="2" t="s">
        <v>11</v>
      </c>
      <c r="H222" s="2" t="s">
        <v>406</v>
      </c>
      <c r="I222" s="2" t="s">
        <v>201</v>
      </c>
    </row>
    <row r="223" spans="1:9" ht="16" x14ac:dyDescent="0.8">
      <c r="A223" s="2" t="s">
        <v>424</v>
      </c>
      <c r="B223" s="2" t="s">
        <v>417</v>
      </c>
      <c r="C223" s="2" t="s">
        <v>245</v>
      </c>
      <c r="D223" s="2" t="s">
        <v>245</v>
      </c>
      <c r="E223" s="3">
        <v>31944</v>
      </c>
      <c r="F223" s="3">
        <v>31944</v>
      </c>
      <c r="G223" s="2" t="s">
        <v>11</v>
      </c>
      <c r="H223" s="2" t="s">
        <v>406</v>
      </c>
      <c r="I223" s="2" t="s">
        <v>201</v>
      </c>
    </row>
    <row r="224" spans="1:9" ht="16" x14ac:dyDescent="0.8">
      <c r="A224" s="2" t="s">
        <v>424</v>
      </c>
      <c r="B224" s="2" t="s">
        <v>418</v>
      </c>
      <c r="C224" s="2" t="s">
        <v>337</v>
      </c>
      <c r="D224" s="2" t="s">
        <v>337</v>
      </c>
      <c r="E224" s="3">
        <v>30408</v>
      </c>
      <c r="F224" s="3">
        <v>30408</v>
      </c>
      <c r="G224" s="2" t="s">
        <v>11</v>
      </c>
      <c r="H224" s="2" t="s">
        <v>406</v>
      </c>
      <c r="I224" s="2" t="s">
        <v>201</v>
      </c>
    </row>
    <row r="225" spans="1:9" ht="16" x14ac:dyDescent="0.8">
      <c r="A225" s="2" t="s">
        <v>424</v>
      </c>
      <c r="B225" s="2" t="s">
        <v>419</v>
      </c>
      <c r="C225" s="2" t="s">
        <v>241</v>
      </c>
      <c r="D225" s="2" t="s">
        <v>241</v>
      </c>
      <c r="E225" s="3">
        <v>13824</v>
      </c>
      <c r="F225" s="3">
        <v>13824</v>
      </c>
      <c r="G225" s="2" t="s">
        <v>11</v>
      </c>
      <c r="H225" s="2" t="s">
        <v>406</v>
      </c>
      <c r="I225" s="2" t="s">
        <v>201</v>
      </c>
    </row>
    <row r="226" spans="1:9" ht="16" x14ac:dyDescent="0.8">
      <c r="A226" s="2" t="s">
        <v>424</v>
      </c>
      <c r="B226" s="2" t="s">
        <v>420</v>
      </c>
      <c r="C226" s="2" t="s">
        <v>246</v>
      </c>
      <c r="D226" s="2" t="s">
        <v>246</v>
      </c>
      <c r="E226" s="3">
        <v>40512</v>
      </c>
      <c r="F226" s="3">
        <v>40512</v>
      </c>
      <c r="G226" s="2" t="s">
        <v>11</v>
      </c>
      <c r="H226" s="2" t="s">
        <v>406</v>
      </c>
      <c r="I226" s="2" t="s">
        <v>201</v>
      </c>
    </row>
    <row r="227" spans="1:9" ht="16" x14ac:dyDescent="0.8">
      <c r="A227" s="2" t="s">
        <v>424</v>
      </c>
      <c r="B227" s="2" t="s">
        <v>421</v>
      </c>
      <c r="C227" s="2" t="s">
        <v>243</v>
      </c>
      <c r="D227" s="2" t="s">
        <v>243</v>
      </c>
      <c r="E227" s="3">
        <v>30096</v>
      </c>
      <c r="F227" s="3">
        <v>30096</v>
      </c>
      <c r="G227" s="2" t="s">
        <v>11</v>
      </c>
      <c r="H227" s="2" t="s">
        <v>406</v>
      </c>
      <c r="I227" s="2" t="s">
        <v>201</v>
      </c>
    </row>
    <row r="228" spans="1:9" ht="16" x14ac:dyDescent="0.8">
      <c r="A228" s="2" t="s">
        <v>424</v>
      </c>
      <c r="B228" s="2" t="s">
        <v>422</v>
      </c>
      <c r="C228" s="2" t="s">
        <v>244</v>
      </c>
      <c r="D228" s="2" t="s">
        <v>244</v>
      </c>
      <c r="E228" s="3">
        <v>38832</v>
      </c>
      <c r="F228" s="3">
        <v>38832</v>
      </c>
      <c r="G228" s="2" t="s">
        <v>11</v>
      </c>
      <c r="H228" s="2" t="s">
        <v>406</v>
      </c>
      <c r="I228" s="2" t="s">
        <v>201</v>
      </c>
    </row>
    <row r="229" spans="1:9" ht="16" x14ac:dyDescent="0.8">
      <c r="A229" s="2" t="s">
        <v>424</v>
      </c>
      <c r="B229" s="2" t="s">
        <v>198</v>
      </c>
      <c r="C229" s="2" t="s">
        <v>199</v>
      </c>
      <c r="D229" s="2" t="s">
        <v>199</v>
      </c>
      <c r="E229" s="3">
        <v>4848</v>
      </c>
      <c r="F229" s="3">
        <v>4848</v>
      </c>
      <c r="G229" s="2" t="s">
        <v>11</v>
      </c>
      <c r="H229" s="2" t="s">
        <v>406</v>
      </c>
      <c r="I229" s="2" t="s">
        <v>201</v>
      </c>
    </row>
    <row r="230" spans="1:9" ht="16" x14ac:dyDescent="0.8">
      <c r="A230" s="2" t="s">
        <v>424</v>
      </c>
      <c r="B230" s="2" t="s">
        <v>202</v>
      </c>
      <c r="C230" s="2" t="s">
        <v>203</v>
      </c>
      <c r="D230" s="2" t="s">
        <v>203</v>
      </c>
      <c r="E230" s="3">
        <v>19800</v>
      </c>
      <c r="F230" s="3">
        <v>19800</v>
      </c>
      <c r="G230" s="2" t="s">
        <v>11</v>
      </c>
      <c r="H230" s="2" t="s">
        <v>406</v>
      </c>
      <c r="I230" s="2" t="s">
        <v>201</v>
      </c>
    </row>
    <row r="231" spans="1:9" ht="16" x14ac:dyDescent="0.8">
      <c r="A231" s="2" t="s">
        <v>425</v>
      </c>
      <c r="B231" s="2" t="s">
        <v>417</v>
      </c>
      <c r="C231" s="2" t="s">
        <v>245</v>
      </c>
      <c r="D231" s="2" t="s">
        <v>245</v>
      </c>
      <c r="E231" s="3">
        <v>21960</v>
      </c>
      <c r="F231" s="3">
        <v>21960</v>
      </c>
      <c r="G231" s="2" t="s">
        <v>11</v>
      </c>
      <c r="H231" s="2" t="s">
        <v>406</v>
      </c>
      <c r="I231" s="2" t="s">
        <v>201</v>
      </c>
    </row>
    <row r="232" spans="1:9" ht="16" x14ac:dyDescent="0.8">
      <c r="A232" s="2" t="s">
        <v>425</v>
      </c>
      <c r="B232" s="2" t="s">
        <v>418</v>
      </c>
      <c r="C232" s="2" t="s">
        <v>337</v>
      </c>
      <c r="D232" s="2" t="s">
        <v>337</v>
      </c>
      <c r="E232" s="3">
        <v>21192</v>
      </c>
      <c r="F232" s="3">
        <v>21192</v>
      </c>
      <c r="G232" s="2" t="s">
        <v>11</v>
      </c>
      <c r="H232" s="2" t="s">
        <v>406</v>
      </c>
      <c r="I232" s="2" t="s">
        <v>201</v>
      </c>
    </row>
    <row r="233" spans="1:9" ht="16" x14ac:dyDescent="0.8">
      <c r="A233" s="2" t="s">
        <v>425</v>
      </c>
      <c r="B233" s="2" t="s">
        <v>419</v>
      </c>
      <c r="C233" s="2" t="s">
        <v>241</v>
      </c>
      <c r="D233" s="2" t="s">
        <v>241</v>
      </c>
      <c r="E233" s="3">
        <v>17976</v>
      </c>
      <c r="F233" s="3">
        <v>17976</v>
      </c>
      <c r="G233" s="2" t="s">
        <v>11</v>
      </c>
      <c r="H233" s="2" t="s">
        <v>406</v>
      </c>
      <c r="I233" s="2" t="s">
        <v>201</v>
      </c>
    </row>
    <row r="234" spans="1:9" ht="16" x14ac:dyDescent="0.8">
      <c r="A234" s="2" t="s">
        <v>425</v>
      </c>
      <c r="B234" s="2" t="s">
        <v>420</v>
      </c>
      <c r="C234" s="2" t="s">
        <v>246</v>
      </c>
      <c r="D234" s="2" t="s">
        <v>246</v>
      </c>
      <c r="E234" s="3">
        <v>33096</v>
      </c>
      <c r="F234" s="3">
        <v>33096</v>
      </c>
      <c r="G234" s="2" t="s">
        <v>11</v>
      </c>
      <c r="H234" s="2" t="s">
        <v>406</v>
      </c>
      <c r="I234" s="2" t="s">
        <v>201</v>
      </c>
    </row>
    <row r="235" spans="1:9" ht="16" x14ac:dyDescent="0.8">
      <c r="A235" s="2" t="s">
        <v>425</v>
      </c>
      <c r="B235" s="2" t="s">
        <v>421</v>
      </c>
      <c r="C235" s="2" t="s">
        <v>243</v>
      </c>
      <c r="D235" s="2" t="s">
        <v>243</v>
      </c>
      <c r="E235" s="3">
        <v>32256</v>
      </c>
      <c r="F235" s="3">
        <v>32256</v>
      </c>
      <c r="G235" s="2" t="s">
        <v>11</v>
      </c>
      <c r="H235" s="2" t="s">
        <v>406</v>
      </c>
      <c r="I235" s="2" t="s">
        <v>201</v>
      </c>
    </row>
    <row r="236" spans="1:9" ht="16" x14ac:dyDescent="0.8">
      <c r="A236" s="2" t="s">
        <v>425</v>
      </c>
      <c r="B236" s="2" t="s">
        <v>422</v>
      </c>
      <c r="C236" s="2" t="s">
        <v>244</v>
      </c>
      <c r="D236" s="2" t="s">
        <v>244</v>
      </c>
      <c r="E236" s="3">
        <v>29712</v>
      </c>
      <c r="F236" s="3">
        <v>29712</v>
      </c>
      <c r="G236" s="2" t="s">
        <v>11</v>
      </c>
      <c r="H236" s="2" t="s">
        <v>406</v>
      </c>
      <c r="I236" s="2" t="s">
        <v>201</v>
      </c>
    </row>
    <row r="237" spans="1:9" ht="16" x14ac:dyDescent="0.8">
      <c r="A237" s="2" t="s">
        <v>425</v>
      </c>
      <c r="B237" s="2" t="s">
        <v>198</v>
      </c>
      <c r="C237" s="2" t="s">
        <v>199</v>
      </c>
      <c r="D237" s="2" t="s">
        <v>199</v>
      </c>
      <c r="E237" s="3">
        <v>22404</v>
      </c>
      <c r="F237" s="3">
        <v>22404</v>
      </c>
      <c r="G237" s="2" t="s">
        <v>11</v>
      </c>
      <c r="H237" s="2" t="s">
        <v>406</v>
      </c>
      <c r="I237" s="2" t="s">
        <v>201</v>
      </c>
    </row>
    <row r="238" spans="1:9" ht="16" x14ac:dyDescent="0.8">
      <c r="A238" s="2" t="s">
        <v>425</v>
      </c>
      <c r="B238" s="2" t="s">
        <v>202</v>
      </c>
      <c r="C238" s="2" t="s">
        <v>203</v>
      </c>
      <c r="D238" s="2" t="s">
        <v>203</v>
      </c>
      <c r="E238" s="3">
        <v>30642</v>
      </c>
      <c r="F238" s="3">
        <v>30642</v>
      </c>
      <c r="G238" s="2" t="s">
        <v>11</v>
      </c>
      <c r="H238" s="2" t="s">
        <v>406</v>
      </c>
      <c r="I238" s="2" t="s">
        <v>201</v>
      </c>
    </row>
    <row r="239" spans="1:9" ht="16" x14ac:dyDescent="0.8">
      <c r="A239" s="2" t="s">
        <v>426</v>
      </c>
      <c r="B239" s="2" t="s">
        <v>417</v>
      </c>
      <c r="C239" s="2" t="s">
        <v>245</v>
      </c>
      <c r="D239" s="2" t="s">
        <v>245</v>
      </c>
      <c r="E239" s="3">
        <v>24240</v>
      </c>
      <c r="F239" s="3">
        <v>24240</v>
      </c>
      <c r="G239" s="2" t="s">
        <v>11</v>
      </c>
      <c r="H239" s="2" t="s">
        <v>406</v>
      </c>
      <c r="I239" s="2" t="s">
        <v>201</v>
      </c>
    </row>
    <row r="240" spans="1:9" ht="16" x14ac:dyDescent="0.8">
      <c r="A240" s="2" t="s">
        <v>426</v>
      </c>
      <c r="B240" s="2" t="s">
        <v>418</v>
      </c>
      <c r="C240" s="2" t="s">
        <v>337</v>
      </c>
      <c r="D240" s="2" t="s">
        <v>337</v>
      </c>
      <c r="E240" s="3">
        <v>22464</v>
      </c>
      <c r="F240" s="3">
        <v>22464</v>
      </c>
      <c r="G240" s="2" t="s">
        <v>11</v>
      </c>
      <c r="H240" s="2" t="s">
        <v>406</v>
      </c>
      <c r="I240" s="2" t="s">
        <v>201</v>
      </c>
    </row>
    <row r="241" spans="1:9" ht="16" x14ac:dyDescent="0.8">
      <c r="A241" s="2" t="s">
        <v>426</v>
      </c>
      <c r="B241" s="2" t="s">
        <v>419</v>
      </c>
      <c r="C241" s="2" t="s">
        <v>241</v>
      </c>
      <c r="D241" s="2" t="s">
        <v>241</v>
      </c>
      <c r="E241" s="3">
        <v>17448</v>
      </c>
      <c r="F241" s="3">
        <v>17448</v>
      </c>
      <c r="G241" s="2" t="s">
        <v>11</v>
      </c>
      <c r="H241" s="2" t="s">
        <v>406</v>
      </c>
      <c r="I241" s="2" t="s">
        <v>201</v>
      </c>
    </row>
    <row r="242" spans="1:9" ht="16" x14ac:dyDescent="0.8">
      <c r="A242" s="2" t="s">
        <v>426</v>
      </c>
      <c r="B242" s="2" t="s">
        <v>420</v>
      </c>
      <c r="C242" s="2" t="s">
        <v>246</v>
      </c>
      <c r="D242" s="2" t="s">
        <v>246</v>
      </c>
      <c r="E242" s="3">
        <v>30720</v>
      </c>
      <c r="F242" s="3">
        <v>30720</v>
      </c>
      <c r="G242" s="2" t="s">
        <v>11</v>
      </c>
      <c r="H242" s="2" t="s">
        <v>406</v>
      </c>
      <c r="I242" s="2" t="s">
        <v>201</v>
      </c>
    </row>
    <row r="243" spans="1:9" ht="16" x14ac:dyDescent="0.8">
      <c r="A243" s="2" t="s">
        <v>426</v>
      </c>
      <c r="B243" s="2" t="s">
        <v>421</v>
      </c>
      <c r="C243" s="2" t="s">
        <v>243</v>
      </c>
      <c r="D243" s="2" t="s">
        <v>243</v>
      </c>
      <c r="E243" s="3">
        <v>27048</v>
      </c>
      <c r="F243" s="3">
        <v>27048</v>
      </c>
      <c r="G243" s="2" t="s">
        <v>11</v>
      </c>
      <c r="H243" s="2" t="s">
        <v>406</v>
      </c>
      <c r="I243" s="2" t="s">
        <v>201</v>
      </c>
    </row>
    <row r="244" spans="1:9" ht="16" x14ac:dyDescent="0.8">
      <c r="A244" s="2" t="s">
        <v>426</v>
      </c>
      <c r="B244" s="2" t="s">
        <v>422</v>
      </c>
      <c r="C244" s="2" t="s">
        <v>244</v>
      </c>
      <c r="D244" s="2" t="s">
        <v>244</v>
      </c>
      <c r="E244" s="3">
        <v>26232</v>
      </c>
      <c r="F244" s="3">
        <v>26232</v>
      </c>
      <c r="G244" s="2" t="s">
        <v>11</v>
      </c>
      <c r="H244" s="2" t="s">
        <v>406</v>
      </c>
      <c r="I244" s="2" t="s">
        <v>201</v>
      </c>
    </row>
    <row r="245" spans="1:9" ht="16" x14ac:dyDescent="0.8">
      <c r="A245" s="2" t="s">
        <v>426</v>
      </c>
      <c r="B245" s="2" t="s">
        <v>198</v>
      </c>
      <c r="C245" s="2" t="s">
        <v>199</v>
      </c>
      <c r="D245" s="2" t="s">
        <v>199</v>
      </c>
      <c r="E245" s="3">
        <v>27936</v>
      </c>
      <c r="F245" s="3">
        <v>27936</v>
      </c>
      <c r="G245" s="2" t="s">
        <v>11</v>
      </c>
      <c r="H245" s="2" t="s">
        <v>406</v>
      </c>
      <c r="I245" s="2" t="s">
        <v>201</v>
      </c>
    </row>
    <row r="246" spans="1:9" ht="16" x14ac:dyDescent="0.8">
      <c r="A246" s="2" t="s">
        <v>426</v>
      </c>
      <c r="B246" s="2" t="s">
        <v>202</v>
      </c>
      <c r="C246" s="2" t="s">
        <v>203</v>
      </c>
      <c r="D246" s="2" t="s">
        <v>203</v>
      </c>
      <c r="E246" s="3">
        <v>37392</v>
      </c>
      <c r="F246" s="3">
        <v>37392</v>
      </c>
      <c r="G246" s="2" t="s">
        <v>11</v>
      </c>
      <c r="H246" s="2" t="s">
        <v>406</v>
      </c>
      <c r="I246" s="2" t="s">
        <v>201</v>
      </c>
    </row>
    <row r="247" spans="1:9" ht="16" x14ac:dyDescent="0.8">
      <c r="A247" s="2" t="s">
        <v>427</v>
      </c>
      <c r="B247" s="2" t="s">
        <v>417</v>
      </c>
      <c r="C247" s="2" t="s">
        <v>245</v>
      </c>
      <c r="D247" s="2" t="s">
        <v>245</v>
      </c>
      <c r="E247" s="3">
        <v>7848</v>
      </c>
      <c r="F247" s="3">
        <v>7848</v>
      </c>
      <c r="G247" s="2" t="s">
        <v>11</v>
      </c>
      <c r="H247" s="2" t="s">
        <v>406</v>
      </c>
      <c r="I247" s="2" t="s">
        <v>201</v>
      </c>
    </row>
    <row r="248" spans="1:9" ht="16" x14ac:dyDescent="0.8">
      <c r="A248" s="2" t="s">
        <v>427</v>
      </c>
      <c r="B248" s="2" t="s">
        <v>418</v>
      </c>
      <c r="C248" s="2" t="s">
        <v>337</v>
      </c>
      <c r="D248" s="2" t="s">
        <v>337</v>
      </c>
      <c r="E248" s="3">
        <v>7272</v>
      </c>
      <c r="F248" s="3">
        <v>7272</v>
      </c>
      <c r="G248" s="2" t="s">
        <v>11</v>
      </c>
      <c r="H248" s="2" t="s">
        <v>406</v>
      </c>
      <c r="I248" s="2" t="s">
        <v>201</v>
      </c>
    </row>
    <row r="249" spans="1:9" ht="16" x14ac:dyDescent="0.8">
      <c r="A249" s="2" t="s">
        <v>427</v>
      </c>
      <c r="B249" s="2" t="s">
        <v>419</v>
      </c>
      <c r="C249" s="2" t="s">
        <v>241</v>
      </c>
      <c r="D249" s="2" t="s">
        <v>241</v>
      </c>
      <c r="E249" s="3">
        <v>5652</v>
      </c>
      <c r="F249" s="3">
        <v>5652</v>
      </c>
      <c r="G249" s="2" t="s">
        <v>11</v>
      </c>
      <c r="H249" s="2" t="s">
        <v>406</v>
      </c>
      <c r="I249" s="2" t="s">
        <v>201</v>
      </c>
    </row>
    <row r="250" spans="1:9" ht="16" x14ac:dyDescent="0.8">
      <c r="A250" s="2" t="s">
        <v>427</v>
      </c>
      <c r="B250" s="2" t="s">
        <v>420</v>
      </c>
      <c r="C250" s="2" t="s">
        <v>246</v>
      </c>
      <c r="D250" s="2" t="s">
        <v>246</v>
      </c>
      <c r="E250" s="3">
        <v>9936</v>
      </c>
      <c r="F250" s="3">
        <v>9936</v>
      </c>
      <c r="G250" s="2" t="s">
        <v>11</v>
      </c>
      <c r="H250" s="2" t="s">
        <v>406</v>
      </c>
      <c r="I250" s="2" t="s">
        <v>201</v>
      </c>
    </row>
    <row r="251" spans="1:9" ht="16" x14ac:dyDescent="0.8">
      <c r="A251" s="2" t="s">
        <v>427</v>
      </c>
      <c r="B251" s="2" t="s">
        <v>421</v>
      </c>
      <c r="C251" s="2" t="s">
        <v>243</v>
      </c>
      <c r="D251" s="2" t="s">
        <v>243</v>
      </c>
      <c r="E251" s="3">
        <v>8748</v>
      </c>
      <c r="F251" s="3">
        <v>8748</v>
      </c>
      <c r="G251" s="2" t="s">
        <v>11</v>
      </c>
      <c r="H251" s="2" t="s">
        <v>406</v>
      </c>
      <c r="I251" s="2" t="s">
        <v>201</v>
      </c>
    </row>
    <row r="252" spans="1:9" ht="16" x14ac:dyDescent="0.8">
      <c r="A252" s="2" t="s">
        <v>427</v>
      </c>
      <c r="B252" s="2" t="s">
        <v>422</v>
      </c>
      <c r="C252" s="2" t="s">
        <v>244</v>
      </c>
      <c r="D252" s="2" t="s">
        <v>244</v>
      </c>
      <c r="E252" s="3">
        <v>8484</v>
      </c>
      <c r="F252" s="3">
        <v>8484</v>
      </c>
      <c r="G252" s="2" t="s">
        <v>11</v>
      </c>
      <c r="H252" s="2" t="s">
        <v>406</v>
      </c>
      <c r="I252" s="2" t="s">
        <v>201</v>
      </c>
    </row>
    <row r="253" spans="1:9" ht="16" x14ac:dyDescent="0.8">
      <c r="A253" s="2" t="s">
        <v>427</v>
      </c>
      <c r="B253" s="2" t="s">
        <v>198</v>
      </c>
      <c r="C253" s="2" t="s">
        <v>199</v>
      </c>
      <c r="D253" s="2" t="s">
        <v>199</v>
      </c>
      <c r="E253" s="3">
        <v>26796</v>
      </c>
      <c r="F253" s="3">
        <v>26796</v>
      </c>
      <c r="G253" s="2" t="s">
        <v>11</v>
      </c>
      <c r="H253" s="2" t="s">
        <v>406</v>
      </c>
      <c r="I253" s="2" t="s">
        <v>201</v>
      </c>
    </row>
    <row r="254" spans="1:9" ht="16" x14ac:dyDescent="0.8">
      <c r="A254" s="2" t="s">
        <v>427</v>
      </c>
      <c r="B254" s="2" t="s">
        <v>202</v>
      </c>
      <c r="C254" s="2" t="s">
        <v>203</v>
      </c>
      <c r="D254" s="2" t="s">
        <v>203</v>
      </c>
      <c r="E254" s="3">
        <v>35700</v>
      </c>
      <c r="F254" s="3">
        <v>35700</v>
      </c>
      <c r="G254" s="2" t="s">
        <v>11</v>
      </c>
      <c r="H254" s="2" t="s">
        <v>406</v>
      </c>
      <c r="I254" s="2" t="s">
        <v>201</v>
      </c>
    </row>
    <row r="255" spans="1:9" ht="16" x14ac:dyDescent="0.8">
      <c r="A255" s="2" t="s">
        <v>428</v>
      </c>
      <c r="B255" s="2" t="s">
        <v>417</v>
      </c>
      <c r="C255" s="2" t="s">
        <v>245</v>
      </c>
      <c r="D255" s="2" t="s">
        <v>245</v>
      </c>
      <c r="E255" s="3">
        <v>17808</v>
      </c>
      <c r="F255" s="3">
        <v>17808</v>
      </c>
      <c r="G255" s="2" t="s">
        <v>11</v>
      </c>
      <c r="H255" s="2" t="s">
        <v>406</v>
      </c>
      <c r="I255" s="2" t="s">
        <v>429</v>
      </c>
    </row>
    <row r="256" spans="1:9" ht="16" x14ac:dyDescent="0.8">
      <c r="A256" s="2" t="s">
        <v>428</v>
      </c>
      <c r="B256" s="2" t="s">
        <v>418</v>
      </c>
      <c r="C256" s="2" t="s">
        <v>337</v>
      </c>
      <c r="D256" s="2" t="s">
        <v>337</v>
      </c>
      <c r="E256" s="3">
        <v>16956</v>
      </c>
      <c r="F256" s="3">
        <v>16956</v>
      </c>
      <c r="G256" s="2" t="s">
        <v>11</v>
      </c>
      <c r="H256" s="2" t="s">
        <v>406</v>
      </c>
      <c r="I256" s="2" t="s">
        <v>429</v>
      </c>
    </row>
    <row r="257" spans="1:9" ht="16" x14ac:dyDescent="0.8">
      <c r="A257" s="2" t="s">
        <v>428</v>
      </c>
      <c r="B257" s="2" t="s">
        <v>419</v>
      </c>
      <c r="C257" s="2" t="s">
        <v>241</v>
      </c>
      <c r="D257" s="2" t="s">
        <v>241</v>
      </c>
      <c r="E257" s="3">
        <v>7716</v>
      </c>
      <c r="F257" s="3">
        <v>7716</v>
      </c>
      <c r="G257" s="2" t="s">
        <v>11</v>
      </c>
      <c r="H257" s="2" t="s">
        <v>406</v>
      </c>
      <c r="I257" s="2" t="s">
        <v>429</v>
      </c>
    </row>
    <row r="258" spans="1:9" ht="16" x14ac:dyDescent="0.8">
      <c r="A258" s="2" t="s">
        <v>428</v>
      </c>
      <c r="B258" s="2" t="s">
        <v>420</v>
      </c>
      <c r="C258" s="2" t="s">
        <v>246</v>
      </c>
      <c r="D258" s="2" t="s">
        <v>246</v>
      </c>
      <c r="E258" s="3">
        <v>22596</v>
      </c>
      <c r="F258" s="3">
        <v>22596</v>
      </c>
      <c r="G258" s="2" t="s">
        <v>11</v>
      </c>
      <c r="H258" s="2" t="s">
        <v>406</v>
      </c>
      <c r="I258" s="2" t="s">
        <v>429</v>
      </c>
    </row>
    <row r="259" spans="1:9" ht="16" x14ac:dyDescent="0.8">
      <c r="A259" s="2" t="s">
        <v>428</v>
      </c>
      <c r="B259" s="2" t="s">
        <v>421</v>
      </c>
      <c r="C259" s="2" t="s">
        <v>243</v>
      </c>
      <c r="D259" s="2" t="s">
        <v>243</v>
      </c>
      <c r="E259" s="3">
        <v>16776</v>
      </c>
      <c r="F259" s="3">
        <v>16776</v>
      </c>
      <c r="G259" s="2" t="s">
        <v>11</v>
      </c>
      <c r="H259" s="2" t="s">
        <v>406</v>
      </c>
      <c r="I259" s="2" t="s">
        <v>429</v>
      </c>
    </row>
    <row r="260" spans="1:9" ht="16" x14ac:dyDescent="0.8">
      <c r="A260" s="2" t="s">
        <v>428</v>
      </c>
      <c r="B260" s="2" t="s">
        <v>422</v>
      </c>
      <c r="C260" s="2" t="s">
        <v>244</v>
      </c>
      <c r="D260" s="2" t="s">
        <v>244</v>
      </c>
      <c r="E260" s="3">
        <v>21648</v>
      </c>
      <c r="F260" s="3">
        <v>21648</v>
      </c>
      <c r="G260" s="2" t="s">
        <v>11</v>
      </c>
      <c r="H260" s="2" t="s">
        <v>406</v>
      </c>
      <c r="I260" s="2" t="s">
        <v>429</v>
      </c>
    </row>
    <row r="261" spans="1:9" ht="16" x14ac:dyDescent="0.8">
      <c r="A261" s="2" t="s">
        <v>430</v>
      </c>
      <c r="B261" s="2" t="s">
        <v>417</v>
      </c>
      <c r="C261" s="2" t="s">
        <v>245</v>
      </c>
      <c r="D261" s="2" t="s">
        <v>245</v>
      </c>
      <c r="E261" s="3">
        <v>14184</v>
      </c>
      <c r="F261" s="3">
        <v>14184</v>
      </c>
      <c r="G261" s="2" t="s">
        <v>11</v>
      </c>
      <c r="H261" s="2" t="s">
        <v>406</v>
      </c>
      <c r="I261" s="2" t="s">
        <v>429</v>
      </c>
    </row>
    <row r="262" spans="1:9" ht="16" x14ac:dyDescent="0.8">
      <c r="A262" s="2" t="s">
        <v>430</v>
      </c>
      <c r="B262" s="2" t="s">
        <v>418</v>
      </c>
      <c r="C262" s="2" t="s">
        <v>337</v>
      </c>
      <c r="D262" s="2" t="s">
        <v>337</v>
      </c>
      <c r="E262" s="3">
        <v>13692</v>
      </c>
      <c r="F262" s="3">
        <v>13692</v>
      </c>
      <c r="G262" s="2" t="s">
        <v>11</v>
      </c>
      <c r="H262" s="2" t="s">
        <v>406</v>
      </c>
      <c r="I262" s="2" t="s">
        <v>429</v>
      </c>
    </row>
    <row r="263" spans="1:9" ht="16" x14ac:dyDescent="0.8">
      <c r="A263" s="2" t="s">
        <v>430</v>
      </c>
      <c r="B263" s="2" t="s">
        <v>419</v>
      </c>
      <c r="C263" s="2" t="s">
        <v>241</v>
      </c>
      <c r="D263" s="2" t="s">
        <v>241</v>
      </c>
      <c r="E263" s="3">
        <v>11616</v>
      </c>
      <c r="F263" s="3">
        <v>11616</v>
      </c>
      <c r="G263" s="2" t="s">
        <v>11</v>
      </c>
      <c r="H263" s="2" t="s">
        <v>406</v>
      </c>
      <c r="I263" s="2" t="s">
        <v>429</v>
      </c>
    </row>
    <row r="264" spans="1:9" ht="16" x14ac:dyDescent="0.8">
      <c r="A264" s="2" t="s">
        <v>430</v>
      </c>
      <c r="B264" s="2" t="s">
        <v>420</v>
      </c>
      <c r="C264" s="2" t="s">
        <v>246</v>
      </c>
      <c r="D264" s="2" t="s">
        <v>246</v>
      </c>
      <c r="E264" s="3">
        <v>21384</v>
      </c>
      <c r="F264" s="3">
        <v>21384</v>
      </c>
      <c r="G264" s="2" t="s">
        <v>11</v>
      </c>
      <c r="H264" s="2" t="s">
        <v>406</v>
      </c>
      <c r="I264" s="2" t="s">
        <v>429</v>
      </c>
    </row>
    <row r="265" spans="1:9" ht="16" x14ac:dyDescent="0.8">
      <c r="A265" s="2" t="s">
        <v>430</v>
      </c>
      <c r="B265" s="2" t="s">
        <v>421</v>
      </c>
      <c r="C265" s="2" t="s">
        <v>243</v>
      </c>
      <c r="D265" s="2" t="s">
        <v>243</v>
      </c>
      <c r="E265" s="3">
        <v>20844</v>
      </c>
      <c r="F265" s="3">
        <v>20844</v>
      </c>
      <c r="G265" s="2" t="s">
        <v>11</v>
      </c>
      <c r="H265" s="2" t="s">
        <v>406</v>
      </c>
      <c r="I265" s="2" t="s">
        <v>429</v>
      </c>
    </row>
    <row r="266" spans="1:9" ht="16" x14ac:dyDescent="0.8">
      <c r="A266" s="2" t="s">
        <v>430</v>
      </c>
      <c r="B266" s="2" t="s">
        <v>422</v>
      </c>
      <c r="C266" s="2" t="s">
        <v>244</v>
      </c>
      <c r="D266" s="2" t="s">
        <v>244</v>
      </c>
      <c r="E266" s="3">
        <v>19200</v>
      </c>
      <c r="F266" s="3">
        <v>19200</v>
      </c>
      <c r="G266" s="2" t="s">
        <v>11</v>
      </c>
      <c r="H266" s="2" t="s">
        <v>406</v>
      </c>
      <c r="I266" s="2" t="s">
        <v>429</v>
      </c>
    </row>
    <row r="267" spans="1:9" ht="16" x14ac:dyDescent="0.8">
      <c r="A267" s="2" t="s">
        <v>431</v>
      </c>
      <c r="B267" s="2" t="s">
        <v>417</v>
      </c>
      <c r="C267" s="2" t="s">
        <v>245</v>
      </c>
      <c r="D267" s="2" t="s">
        <v>245</v>
      </c>
      <c r="E267" s="3">
        <v>16812</v>
      </c>
      <c r="F267" s="3">
        <v>16812</v>
      </c>
      <c r="G267" s="2" t="s">
        <v>11</v>
      </c>
      <c r="H267" s="2" t="s">
        <v>406</v>
      </c>
      <c r="I267" s="2" t="s">
        <v>429</v>
      </c>
    </row>
    <row r="268" spans="1:9" ht="16" x14ac:dyDescent="0.8">
      <c r="A268" s="2" t="s">
        <v>431</v>
      </c>
      <c r="B268" s="2" t="s">
        <v>418</v>
      </c>
      <c r="C268" s="2" t="s">
        <v>337</v>
      </c>
      <c r="D268" s="2" t="s">
        <v>337</v>
      </c>
      <c r="E268" s="3">
        <v>15564</v>
      </c>
      <c r="F268" s="3">
        <v>15564</v>
      </c>
      <c r="G268" s="2" t="s">
        <v>11</v>
      </c>
      <c r="H268" s="2" t="s">
        <v>406</v>
      </c>
      <c r="I268" s="2" t="s">
        <v>429</v>
      </c>
    </row>
    <row r="269" spans="1:9" ht="16" x14ac:dyDescent="0.8">
      <c r="A269" s="2" t="s">
        <v>431</v>
      </c>
      <c r="B269" s="2" t="s">
        <v>419</v>
      </c>
      <c r="C269" s="2" t="s">
        <v>241</v>
      </c>
      <c r="D269" s="2" t="s">
        <v>241</v>
      </c>
      <c r="E269" s="3">
        <v>12084</v>
      </c>
      <c r="F269" s="3">
        <v>12084</v>
      </c>
      <c r="G269" s="2" t="s">
        <v>11</v>
      </c>
      <c r="H269" s="2" t="s">
        <v>406</v>
      </c>
      <c r="I269" s="2" t="s">
        <v>429</v>
      </c>
    </row>
    <row r="270" spans="1:9" ht="16" x14ac:dyDescent="0.8">
      <c r="A270" s="2" t="s">
        <v>431</v>
      </c>
      <c r="B270" s="2" t="s">
        <v>420</v>
      </c>
      <c r="C270" s="2" t="s">
        <v>246</v>
      </c>
      <c r="D270" s="2" t="s">
        <v>246</v>
      </c>
      <c r="E270" s="3">
        <v>21288</v>
      </c>
      <c r="F270" s="3">
        <v>21288</v>
      </c>
      <c r="G270" s="2" t="s">
        <v>11</v>
      </c>
      <c r="H270" s="2" t="s">
        <v>406</v>
      </c>
      <c r="I270" s="2" t="s">
        <v>429</v>
      </c>
    </row>
    <row r="271" spans="1:9" ht="16" x14ac:dyDescent="0.8">
      <c r="A271" s="2" t="s">
        <v>431</v>
      </c>
      <c r="B271" s="2" t="s">
        <v>421</v>
      </c>
      <c r="C271" s="2" t="s">
        <v>243</v>
      </c>
      <c r="D271" s="2" t="s">
        <v>243</v>
      </c>
      <c r="E271" s="3">
        <v>18744</v>
      </c>
      <c r="F271" s="3">
        <v>18744</v>
      </c>
      <c r="G271" s="2" t="s">
        <v>11</v>
      </c>
      <c r="H271" s="2" t="s">
        <v>406</v>
      </c>
      <c r="I271" s="2" t="s">
        <v>429</v>
      </c>
    </row>
    <row r="272" spans="1:9" ht="16" x14ac:dyDescent="0.8">
      <c r="A272" s="2" t="s">
        <v>431</v>
      </c>
      <c r="B272" s="2" t="s">
        <v>422</v>
      </c>
      <c r="C272" s="2" t="s">
        <v>244</v>
      </c>
      <c r="D272" s="2" t="s">
        <v>244</v>
      </c>
      <c r="E272" s="3">
        <v>18180</v>
      </c>
      <c r="F272" s="3">
        <v>18180</v>
      </c>
      <c r="G272" s="2" t="s">
        <v>11</v>
      </c>
      <c r="H272" s="2" t="s">
        <v>406</v>
      </c>
      <c r="I272" s="2" t="s">
        <v>429</v>
      </c>
    </row>
    <row r="273" spans="1:9" ht="16" x14ac:dyDescent="0.8">
      <c r="A273" s="2" t="s">
        <v>432</v>
      </c>
      <c r="B273" s="2" t="s">
        <v>417</v>
      </c>
      <c r="C273" s="2" t="s">
        <v>245</v>
      </c>
      <c r="D273" s="2" t="s">
        <v>245</v>
      </c>
      <c r="E273" s="3">
        <v>17088</v>
      </c>
      <c r="F273" s="3">
        <v>17088</v>
      </c>
      <c r="G273" s="2" t="s">
        <v>11</v>
      </c>
      <c r="H273" s="2" t="s">
        <v>406</v>
      </c>
      <c r="I273" s="2" t="s">
        <v>429</v>
      </c>
    </row>
    <row r="274" spans="1:9" ht="16" x14ac:dyDescent="0.8">
      <c r="A274" s="2" t="s">
        <v>432</v>
      </c>
      <c r="B274" s="2" t="s">
        <v>418</v>
      </c>
      <c r="C274" s="2" t="s">
        <v>337</v>
      </c>
      <c r="D274" s="2" t="s">
        <v>337</v>
      </c>
      <c r="E274" s="3">
        <v>15648</v>
      </c>
      <c r="F274" s="3">
        <v>15648</v>
      </c>
      <c r="G274" s="2" t="s">
        <v>11</v>
      </c>
      <c r="H274" s="2" t="s">
        <v>406</v>
      </c>
      <c r="I274" s="2" t="s">
        <v>429</v>
      </c>
    </row>
    <row r="275" spans="1:9" ht="16" x14ac:dyDescent="0.8">
      <c r="A275" s="2" t="s">
        <v>432</v>
      </c>
      <c r="B275" s="2" t="s">
        <v>419</v>
      </c>
      <c r="C275" s="2" t="s">
        <v>241</v>
      </c>
      <c r="D275" s="2" t="s">
        <v>241</v>
      </c>
      <c r="E275" s="3">
        <v>12876</v>
      </c>
      <c r="F275" s="3">
        <v>12876</v>
      </c>
      <c r="G275" s="2" t="s">
        <v>11</v>
      </c>
      <c r="H275" s="2" t="s">
        <v>406</v>
      </c>
      <c r="I275" s="2" t="s">
        <v>429</v>
      </c>
    </row>
    <row r="276" spans="1:9" ht="16" x14ac:dyDescent="0.8">
      <c r="A276" s="2" t="s">
        <v>432</v>
      </c>
      <c r="B276" s="2" t="s">
        <v>420</v>
      </c>
      <c r="C276" s="2" t="s">
        <v>246</v>
      </c>
      <c r="D276" s="2" t="s">
        <v>246</v>
      </c>
      <c r="E276" s="3">
        <v>21048</v>
      </c>
      <c r="F276" s="3">
        <v>21048</v>
      </c>
      <c r="G276" s="2" t="s">
        <v>11</v>
      </c>
      <c r="H276" s="2" t="s">
        <v>406</v>
      </c>
      <c r="I276" s="2" t="s">
        <v>429</v>
      </c>
    </row>
    <row r="277" spans="1:9" ht="16" x14ac:dyDescent="0.8">
      <c r="A277" s="2" t="s">
        <v>432</v>
      </c>
      <c r="B277" s="2" t="s">
        <v>421</v>
      </c>
      <c r="C277" s="2" t="s">
        <v>243</v>
      </c>
      <c r="D277" s="2" t="s">
        <v>243</v>
      </c>
      <c r="E277" s="3">
        <v>18744</v>
      </c>
      <c r="F277" s="3">
        <v>18744</v>
      </c>
      <c r="G277" s="2" t="s">
        <v>11</v>
      </c>
      <c r="H277" s="2" t="s">
        <v>406</v>
      </c>
      <c r="I277" s="2" t="s">
        <v>429</v>
      </c>
    </row>
    <row r="278" spans="1:9" ht="16" x14ac:dyDescent="0.8">
      <c r="A278" s="2" t="s">
        <v>432</v>
      </c>
      <c r="B278" s="2" t="s">
        <v>422</v>
      </c>
      <c r="C278" s="2" t="s">
        <v>244</v>
      </c>
      <c r="D278" s="2" t="s">
        <v>244</v>
      </c>
      <c r="E278" s="3">
        <v>17424</v>
      </c>
      <c r="F278" s="3">
        <v>17424</v>
      </c>
      <c r="G278" s="2" t="s">
        <v>11</v>
      </c>
      <c r="H278" s="2" t="s">
        <v>406</v>
      </c>
      <c r="I278" s="2" t="s">
        <v>429</v>
      </c>
    </row>
    <row r="279" spans="1:9" ht="16" x14ac:dyDescent="0.8">
      <c r="A279" s="2" t="s">
        <v>434</v>
      </c>
      <c r="B279" s="2" t="s">
        <v>435</v>
      </c>
      <c r="C279" s="2" t="s">
        <v>436</v>
      </c>
      <c r="D279" s="2" t="s">
        <v>436</v>
      </c>
      <c r="E279" s="3">
        <v>350</v>
      </c>
      <c r="F279" s="3">
        <v>350</v>
      </c>
      <c r="G279" s="2" t="s">
        <v>11</v>
      </c>
      <c r="H279" s="2" t="s">
        <v>433</v>
      </c>
      <c r="I279" s="2" t="s">
        <v>437</v>
      </c>
    </row>
    <row r="280" spans="1:9" ht="16" x14ac:dyDescent="0.8">
      <c r="A280" s="2" t="s">
        <v>438</v>
      </c>
      <c r="B280" s="2" t="s">
        <v>439</v>
      </c>
      <c r="C280" s="2" t="s">
        <v>440</v>
      </c>
      <c r="D280" s="2" t="s">
        <v>440</v>
      </c>
      <c r="E280" s="3">
        <v>27000</v>
      </c>
      <c r="F280" s="3">
        <v>27000</v>
      </c>
      <c r="G280" s="2" t="s">
        <v>11</v>
      </c>
      <c r="H280" s="2" t="s">
        <v>433</v>
      </c>
      <c r="I280" s="2" t="s">
        <v>441</v>
      </c>
    </row>
    <row r="281" spans="1:9" ht="16" x14ac:dyDescent="0.8">
      <c r="A281" s="2" t="s">
        <v>438</v>
      </c>
      <c r="B281" s="2" t="s">
        <v>442</v>
      </c>
      <c r="C281" s="2" t="s">
        <v>443</v>
      </c>
      <c r="D281" s="2" t="s">
        <v>443</v>
      </c>
      <c r="E281" s="3">
        <v>20000</v>
      </c>
      <c r="F281" s="3">
        <v>20000</v>
      </c>
      <c r="G281" s="2" t="s">
        <v>11</v>
      </c>
      <c r="H281" s="2" t="s">
        <v>433</v>
      </c>
      <c r="I281" s="2" t="s">
        <v>441</v>
      </c>
    </row>
    <row r="282" spans="1:9" ht="16" x14ac:dyDescent="0.8">
      <c r="A282" s="2" t="s">
        <v>444</v>
      </c>
      <c r="B282" s="2" t="s">
        <v>435</v>
      </c>
      <c r="C282" s="2" t="s">
        <v>436</v>
      </c>
      <c r="D282" s="2" t="s">
        <v>436</v>
      </c>
      <c r="E282" s="3">
        <v>12000</v>
      </c>
      <c r="F282" s="3">
        <v>12000</v>
      </c>
      <c r="G282" s="2" t="s">
        <v>11</v>
      </c>
      <c r="H282" s="2" t="s">
        <v>433</v>
      </c>
      <c r="I282" s="2" t="s">
        <v>437</v>
      </c>
    </row>
    <row r="283" spans="1:9" ht="16" x14ac:dyDescent="0.8">
      <c r="A283" s="2" t="s">
        <v>445</v>
      </c>
      <c r="B283" s="2" t="s">
        <v>446</v>
      </c>
      <c r="C283" s="2" t="s">
        <v>447</v>
      </c>
      <c r="D283" s="2" t="s">
        <v>447</v>
      </c>
      <c r="E283" s="3">
        <v>350</v>
      </c>
      <c r="F283" s="3">
        <v>350</v>
      </c>
      <c r="G283" s="2" t="s">
        <v>11</v>
      </c>
      <c r="H283" s="2" t="s">
        <v>433</v>
      </c>
      <c r="I283" s="2" t="s">
        <v>311</v>
      </c>
    </row>
    <row r="284" spans="1:9" ht="16" x14ac:dyDescent="0.8">
      <c r="A284" s="2" t="s">
        <v>448</v>
      </c>
      <c r="B284" s="2" t="s">
        <v>446</v>
      </c>
      <c r="C284" s="2" t="s">
        <v>447</v>
      </c>
      <c r="D284" s="2" t="s">
        <v>447</v>
      </c>
      <c r="E284" s="3">
        <v>5004</v>
      </c>
      <c r="F284" s="3">
        <v>5004</v>
      </c>
      <c r="G284" s="2" t="s">
        <v>11</v>
      </c>
      <c r="H284" s="2" t="s">
        <v>433</v>
      </c>
      <c r="I284" s="2" t="s">
        <v>311</v>
      </c>
    </row>
    <row r="285" spans="1:9" ht="16" x14ac:dyDescent="0.8">
      <c r="A285" s="2" t="s">
        <v>449</v>
      </c>
      <c r="B285" s="2" t="s">
        <v>450</v>
      </c>
      <c r="C285" s="2" t="s">
        <v>451</v>
      </c>
      <c r="D285" s="2" t="s">
        <v>451</v>
      </c>
      <c r="E285" s="3">
        <v>1800</v>
      </c>
      <c r="F285" s="3">
        <v>1800</v>
      </c>
      <c r="G285" s="2" t="s">
        <v>11</v>
      </c>
      <c r="H285" s="2" t="s">
        <v>452</v>
      </c>
      <c r="I285" s="2" t="s">
        <v>23</v>
      </c>
    </row>
    <row r="286" spans="1:9" ht="16" x14ac:dyDescent="0.8">
      <c r="A286" s="2" t="s">
        <v>453</v>
      </c>
      <c r="B286" s="2" t="s">
        <v>450</v>
      </c>
      <c r="C286" s="2" t="s">
        <v>451</v>
      </c>
      <c r="D286" s="2" t="s">
        <v>451</v>
      </c>
      <c r="E286" s="3">
        <v>350</v>
      </c>
      <c r="F286" s="3">
        <v>350</v>
      </c>
      <c r="G286" s="2" t="s">
        <v>11</v>
      </c>
      <c r="H286" s="2" t="s">
        <v>452</v>
      </c>
      <c r="I286" s="2" t="s">
        <v>23</v>
      </c>
    </row>
    <row r="287" spans="1:9" ht="16" x14ac:dyDescent="0.8">
      <c r="A287" s="2" t="s">
        <v>454</v>
      </c>
      <c r="B287" s="2" t="s">
        <v>450</v>
      </c>
      <c r="C287" s="2" t="s">
        <v>451</v>
      </c>
      <c r="D287" s="2" t="s">
        <v>451</v>
      </c>
      <c r="E287" s="3">
        <v>8208</v>
      </c>
      <c r="F287" s="3">
        <v>8208</v>
      </c>
      <c r="G287" s="2" t="s">
        <v>11</v>
      </c>
      <c r="H287" s="2" t="s">
        <v>452</v>
      </c>
      <c r="I287" s="2" t="s">
        <v>23</v>
      </c>
    </row>
    <row r="288" spans="1:9" ht="16" x14ac:dyDescent="0.8">
      <c r="A288" s="2" t="s">
        <v>457</v>
      </c>
      <c r="B288" s="2" t="s">
        <v>439</v>
      </c>
      <c r="C288" s="2" t="s">
        <v>440</v>
      </c>
      <c r="D288" s="2" t="s">
        <v>440</v>
      </c>
      <c r="E288" s="3">
        <v>21000</v>
      </c>
      <c r="F288" s="3">
        <v>21000</v>
      </c>
      <c r="G288" s="2" t="s">
        <v>11</v>
      </c>
      <c r="H288" s="2" t="s">
        <v>458</v>
      </c>
      <c r="I288" s="2" t="s">
        <v>441</v>
      </c>
    </row>
    <row r="289" spans="1:9" ht="16" x14ac:dyDescent="0.8">
      <c r="A289" s="2" t="s">
        <v>457</v>
      </c>
      <c r="B289" s="2" t="s">
        <v>442</v>
      </c>
      <c r="C289" s="2" t="s">
        <v>443</v>
      </c>
      <c r="D289" s="2" t="s">
        <v>443</v>
      </c>
      <c r="E289" s="3">
        <v>10000</v>
      </c>
      <c r="F289" s="3">
        <v>10000</v>
      </c>
      <c r="G289" s="2" t="s">
        <v>11</v>
      </c>
      <c r="H289" s="2" t="s">
        <v>458</v>
      </c>
      <c r="I289" s="2" t="s">
        <v>441</v>
      </c>
    </row>
    <row r="290" spans="1:9" ht="16" x14ac:dyDescent="0.8">
      <c r="A290" s="2" t="s">
        <v>459</v>
      </c>
      <c r="B290" s="2" t="s">
        <v>460</v>
      </c>
      <c r="C290" s="2" t="s">
        <v>461</v>
      </c>
      <c r="D290" s="2" t="s">
        <v>461</v>
      </c>
      <c r="E290" s="3">
        <v>19092</v>
      </c>
      <c r="F290" s="3">
        <v>19092</v>
      </c>
      <c r="G290" s="2" t="s">
        <v>11</v>
      </c>
      <c r="H290" s="2" t="s">
        <v>462</v>
      </c>
      <c r="I290" s="2" t="s">
        <v>168</v>
      </c>
    </row>
    <row r="291" spans="1:9" ht="16" x14ac:dyDescent="0.8">
      <c r="A291" s="2" t="s">
        <v>459</v>
      </c>
      <c r="B291" s="2" t="s">
        <v>463</v>
      </c>
      <c r="C291" s="2" t="s">
        <v>464</v>
      </c>
      <c r="D291" s="2" t="s">
        <v>464</v>
      </c>
      <c r="E291" s="3">
        <v>27004</v>
      </c>
      <c r="F291" s="3">
        <v>27004</v>
      </c>
      <c r="G291" s="2" t="s">
        <v>11</v>
      </c>
      <c r="H291" s="2" t="s">
        <v>462</v>
      </c>
      <c r="I291" s="2" t="s">
        <v>168</v>
      </c>
    </row>
    <row r="292" spans="1:9" ht="16" x14ac:dyDescent="0.8">
      <c r="A292" s="2" t="s">
        <v>459</v>
      </c>
      <c r="B292" s="2" t="s">
        <v>465</v>
      </c>
      <c r="C292" s="2" t="s">
        <v>466</v>
      </c>
      <c r="D292" s="2" t="s">
        <v>466</v>
      </c>
      <c r="E292" s="3">
        <v>36648</v>
      </c>
      <c r="F292" s="3">
        <v>36648</v>
      </c>
      <c r="G292" s="2" t="s">
        <v>11</v>
      </c>
      <c r="H292" s="2" t="s">
        <v>462</v>
      </c>
      <c r="I292" s="2" t="s">
        <v>168</v>
      </c>
    </row>
    <row r="293" spans="1:9" ht="16" x14ac:dyDescent="0.8">
      <c r="A293" s="2" t="s">
        <v>459</v>
      </c>
      <c r="B293" s="2" t="s">
        <v>467</v>
      </c>
      <c r="C293" s="2" t="s">
        <v>468</v>
      </c>
      <c r="D293" s="2" t="s">
        <v>468</v>
      </c>
      <c r="E293" s="3">
        <v>21216</v>
      </c>
      <c r="F293" s="3">
        <v>21216</v>
      </c>
      <c r="G293" s="2" t="s">
        <v>11</v>
      </c>
      <c r="H293" s="2" t="s">
        <v>462</v>
      </c>
      <c r="I293" s="2" t="s">
        <v>168</v>
      </c>
    </row>
    <row r="294" spans="1:9" ht="16" x14ac:dyDescent="0.8">
      <c r="A294" s="2" t="s">
        <v>459</v>
      </c>
      <c r="B294" s="2" t="s">
        <v>469</v>
      </c>
      <c r="C294" s="2" t="s">
        <v>470</v>
      </c>
      <c r="D294" s="2" t="s">
        <v>470</v>
      </c>
      <c r="E294" s="3">
        <v>2732</v>
      </c>
      <c r="F294" s="3">
        <v>2732</v>
      </c>
      <c r="G294" s="2" t="s">
        <v>11</v>
      </c>
      <c r="H294" s="2" t="s">
        <v>462</v>
      </c>
      <c r="I294" s="2" t="s">
        <v>168</v>
      </c>
    </row>
    <row r="295" spans="1:9" ht="16" x14ac:dyDescent="0.8">
      <c r="A295" s="2" t="s">
        <v>471</v>
      </c>
      <c r="B295" s="2" t="s">
        <v>472</v>
      </c>
      <c r="C295" s="2" t="s">
        <v>473</v>
      </c>
      <c r="D295" s="2" t="s">
        <v>473</v>
      </c>
      <c r="E295" s="3">
        <v>2998944</v>
      </c>
      <c r="F295" s="3">
        <v>2998944</v>
      </c>
      <c r="G295" s="2" t="s">
        <v>11</v>
      </c>
      <c r="H295" s="2" t="s">
        <v>462</v>
      </c>
      <c r="I295" s="2" t="s">
        <v>474</v>
      </c>
    </row>
    <row r="296" spans="1:9" ht="16" x14ac:dyDescent="0.8">
      <c r="A296" s="2" t="s">
        <v>475</v>
      </c>
      <c r="B296" s="2" t="s">
        <v>472</v>
      </c>
      <c r="C296" s="2" t="s">
        <v>473</v>
      </c>
      <c r="D296" s="2" t="s">
        <v>473</v>
      </c>
      <c r="E296" s="3">
        <v>2001024</v>
      </c>
      <c r="F296" s="3">
        <v>2001024</v>
      </c>
      <c r="G296" s="2" t="s">
        <v>11</v>
      </c>
      <c r="H296" s="2" t="s">
        <v>476</v>
      </c>
      <c r="I296" s="2" t="s">
        <v>474</v>
      </c>
    </row>
    <row r="297" spans="1:9" ht="16" x14ac:dyDescent="0.8">
      <c r="A297" s="2" t="s">
        <v>477</v>
      </c>
      <c r="B297" s="2" t="s">
        <v>472</v>
      </c>
      <c r="C297" s="2" t="s">
        <v>473</v>
      </c>
      <c r="D297" s="2" t="s">
        <v>473</v>
      </c>
      <c r="E297" s="3">
        <v>2001024</v>
      </c>
      <c r="F297" s="3">
        <v>2001024</v>
      </c>
      <c r="G297" s="2" t="s">
        <v>11</v>
      </c>
      <c r="H297" s="2" t="s">
        <v>476</v>
      </c>
      <c r="I297" s="2" t="s">
        <v>474</v>
      </c>
    </row>
    <row r="298" spans="1:9" ht="16" x14ac:dyDescent="0.8">
      <c r="A298" s="2" t="s">
        <v>478</v>
      </c>
      <c r="B298" s="2" t="s">
        <v>209</v>
      </c>
      <c r="C298" s="2" t="s">
        <v>210</v>
      </c>
      <c r="D298" s="2" t="s">
        <v>210</v>
      </c>
      <c r="E298" s="3">
        <v>20</v>
      </c>
      <c r="F298" s="3">
        <v>20</v>
      </c>
      <c r="G298" s="2" t="s">
        <v>11</v>
      </c>
      <c r="H298" s="2" t="s">
        <v>476</v>
      </c>
      <c r="I298" s="2" t="s">
        <v>208</v>
      </c>
    </row>
    <row r="299" spans="1:9" ht="16" x14ac:dyDescent="0.8">
      <c r="A299" s="2" t="s">
        <v>478</v>
      </c>
      <c r="B299" s="2" t="s">
        <v>211</v>
      </c>
      <c r="C299" s="2" t="s">
        <v>212</v>
      </c>
      <c r="D299" s="2" t="s">
        <v>212</v>
      </c>
      <c r="E299" s="3">
        <v>20</v>
      </c>
      <c r="F299" s="3">
        <v>20</v>
      </c>
      <c r="G299" s="2" t="s">
        <v>11</v>
      </c>
      <c r="H299" s="2" t="s">
        <v>476</v>
      </c>
      <c r="I299" s="2" t="s">
        <v>208</v>
      </c>
    </row>
    <row r="300" spans="1:9" ht="16" x14ac:dyDescent="0.8">
      <c r="A300" s="2" t="s">
        <v>478</v>
      </c>
      <c r="B300" s="2" t="s">
        <v>213</v>
      </c>
      <c r="C300" s="2" t="s">
        <v>214</v>
      </c>
      <c r="D300" s="2" t="s">
        <v>214</v>
      </c>
      <c r="E300" s="3">
        <v>20</v>
      </c>
      <c r="F300" s="3">
        <v>20</v>
      </c>
      <c r="G300" s="2" t="s">
        <v>11</v>
      </c>
      <c r="H300" s="2" t="s">
        <v>476</v>
      </c>
      <c r="I300" s="2" t="s">
        <v>208</v>
      </c>
    </row>
    <row r="301" spans="1:9" ht="16" x14ac:dyDescent="0.8">
      <c r="A301" s="2" t="s">
        <v>478</v>
      </c>
      <c r="B301" s="2" t="s">
        <v>219</v>
      </c>
      <c r="C301" s="2" t="s">
        <v>220</v>
      </c>
      <c r="D301" s="2" t="s">
        <v>220</v>
      </c>
      <c r="E301" s="3">
        <v>20</v>
      </c>
      <c r="F301" s="3">
        <v>20</v>
      </c>
      <c r="G301" s="2" t="s">
        <v>11</v>
      </c>
      <c r="H301" s="2" t="s">
        <v>476</v>
      </c>
      <c r="I301" s="2" t="s">
        <v>208</v>
      </c>
    </row>
    <row r="302" spans="1:9" ht="16" x14ac:dyDescent="0.8">
      <c r="A302" s="2" t="s">
        <v>479</v>
      </c>
      <c r="B302" s="2" t="s">
        <v>326</v>
      </c>
      <c r="C302" s="2" t="s">
        <v>327</v>
      </c>
      <c r="D302" s="2" t="s">
        <v>327</v>
      </c>
      <c r="E302" s="3">
        <v>49896</v>
      </c>
      <c r="F302" s="3">
        <v>49896</v>
      </c>
      <c r="G302" s="2" t="s">
        <v>11</v>
      </c>
      <c r="H302" s="2" t="s">
        <v>480</v>
      </c>
      <c r="I302" s="2" t="s">
        <v>390</v>
      </c>
    </row>
    <row r="303" spans="1:9" ht="16" x14ac:dyDescent="0.8">
      <c r="A303" s="2" t="s">
        <v>479</v>
      </c>
      <c r="B303" s="2" t="s">
        <v>387</v>
      </c>
      <c r="C303" s="2" t="s">
        <v>388</v>
      </c>
      <c r="D303" s="2" t="s">
        <v>388</v>
      </c>
      <c r="E303" s="3">
        <v>28512</v>
      </c>
      <c r="F303" s="3">
        <v>27648</v>
      </c>
      <c r="G303" s="2" t="s">
        <v>11</v>
      </c>
      <c r="H303" s="2" t="s">
        <v>480</v>
      </c>
      <c r="I303" s="2" t="s">
        <v>390</v>
      </c>
    </row>
    <row r="304" spans="1:9" ht="16" x14ac:dyDescent="0.8">
      <c r="A304" s="2" t="s">
        <v>481</v>
      </c>
      <c r="B304" s="2" t="s">
        <v>482</v>
      </c>
      <c r="C304" s="2" t="s">
        <v>483</v>
      </c>
      <c r="D304" s="2" t="s">
        <v>483</v>
      </c>
      <c r="E304" s="3">
        <v>43200</v>
      </c>
      <c r="F304" s="3">
        <v>43200</v>
      </c>
      <c r="G304" s="2" t="s">
        <v>11</v>
      </c>
      <c r="H304" s="2" t="s">
        <v>480</v>
      </c>
      <c r="I304" s="2" t="s">
        <v>390</v>
      </c>
    </row>
    <row r="305" spans="1:9" ht="16" x14ac:dyDescent="0.8">
      <c r="A305" s="2" t="s">
        <v>484</v>
      </c>
      <c r="B305" s="2" t="s">
        <v>485</v>
      </c>
      <c r="C305" s="2" t="s">
        <v>486</v>
      </c>
      <c r="D305" s="2" t="s">
        <v>486</v>
      </c>
      <c r="E305" s="3">
        <v>500000</v>
      </c>
      <c r="F305" s="3">
        <v>500004</v>
      </c>
      <c r="G305" s="2" t="s">
        <v>11</v>
      </c>
      <c r="H305" s="2" t="s">
        <v>480</v>
      </c>
      <c r="I305" s="2" t="s">
        <v>487</v>
      </c>
    </row>
    <row r="306" spans="1:9" ht="16" x14ac:dyDescent="0.8">
      <c r="A306" s="2" t="s">
        <v>484</v>
      </c>
      <c r="B306" s="2" t="s">
        <v>488</v>
      </c>
      <c r="C306" s="2" t="s">
        <v>489</v>
      </c>
      <c r="D306" s="2" t="s">
        <v>489</v>
      </c>
      <c r="E306" s="3">
        <v>500000</v>
      </c>
      <c r="F306" s="3">
        <v>500064</v>
      </c>
      <c r="G306" s="2" t="s">
        <v>11</v>
      </c>
      <c r="H306" s="2" t="s">
        <v>480</v>
      </c>
      <c r="I306" s="2" t="s">
        <v>487</v>
      </c>
    </row>
    <row r="307" spans="1:9" ht="16" x14ac:dyDescent="0.8">
      <c r="A307" s="2" t="s">
        <v>484</v>
      </c>
      <c r="B307" s="2" t="s">
        <v>490</v>
      </c>
      <c r="C307" s="2" t="s">
        <v>491</v>
      </c>
      <c r="D307" s="2" t="s">
        <v>491</v>
      </c>
      <c r="E307" s="3">
        <v>500000</v>
      </c>
      <c r="F307" s="3">
        <v>501624</v>
      </c>
      <c r="G307" s="2" t="s">
        <v>11</v>
      </c>
      <c r="H307" s="2" t="s">
        <v>480</v>
      </c>
      <c r="I307" s="2" t="s">
        <v>487</v>
      </c>
    </row>
    <row r="308" spans="1:9" ht="16" x14ac:dyDescent="0.8">
      <c r="A308" s="2" t="s">
        <v>484</v>
      </c>
      <c r="B308" s="2" t="s">
        <v>492</v>
      </c>
      <c r="C308" s="2" t="s">
        <v>493</v>
      </c>
      <c r="D308" s="2" t="s">
        <v>493</v>
      </c>
      <c r="E308" s="3">
        <v>500000</v>
      </c>
      <c r="F308" s="3">
        <v>500004</v>
      </c>
      <c r="G308" s="2" t="s">
        <v>11</v>
      </c>
      <c r="H308" s="2" t="s">
        <v>480</v>
      </c>
      <c r="I308" s="2" t="s">
        <v>487</v>
      </c>
    </row>
    <row r="309" spans="1:9" ht="16" x14ac:dyDescent="0.8">
      <c r="A309" s="2" t="s">
        <v>496</v>
      </c>
      <c r="B309" s="2" t="s">
        <v>394</v>
      </c>
      <c r="C309" s="2" t="s">
        <v>395</v>
      </c>
      <c r="D309" s="2" t="s">
        <v>395</v>
      </c>
      <c r="E309" s="3">
        <v>7128</v>
      </c>
      <c r="F309" s="3">
        <v>7128</v>
      </c>
      <c r="G309" s="2" t="s">
        <v>11</v>
      </c>
      <c r="H309" s="2" t="s">
        <v>494</v>
      </c>
      <c r="I309" s="2" t="s">
        <v>17</v>
      </c>
    </row>
    <row r="310" spans="1:9" ht="16" x14ac:dyDescent="0.8">
      <c r="A310" s="2" t="s">
        <v>497</v>
      </c>
      <c r="B310" s="2" t="s">
        <v>498</v>
      </c>
      <c r="C310" s="2" t="s">
        <v>499</v>
      </c>
      <c r="D310" s="2" t="s">
        <v>499</v>
      </c>
      <c r="E310" s="3">
        <v>118206</v>
      </c>
      <c r="F310" s="3">
        <v>118206</v>
      </c>
      <c r="G310" s="2" t="s">
        <v>11</v>
      </c>
      <c r="H310" s="2" t="s">
        <v>494</v>
      </c>
      <c r="I310" s="2" t="s">
        <v>500</v>
      </c>
    </row>
    <row r="311" spans="1:9" ht="16" x14ac:dyDescent="0.8">
      <c r="A311" s="2" t="s">
        <v>502</v>
      </c>
      <c r="B311" s="2" t="s">
        <v>498</v>
      </c>
      <c r="C311" s="2" t="s">
        <v>499</v>
      </c>
      <c r="D311" s="2" t="s">
        <v>499</v>
      </c>
      <c r="E311" s="3">
        <v>111798</v>
      </c>
      <c r="F311" s="3">
        <v>111798</v>
      </c>
      <c r="G311" s="2" t="s">
        <v>11</v>
      </c>
      <c r="H311" s="2" t="s">
        <v>501</v>
      </c>
      <c r="I311" s="2" t="s">
        <v>500</v>
      </c>
    </row>
    <row r="312" spans="1:9" ht="16" x14ac:dyDescent="0.8">
      <c r="A312" s="2" t="s">
        <v>503</v>
      </c>
      <c r="B312" s="2" t="s">
        <v>291</v>
      </c>
      <c r="C312" s="2" t="s">
        <v>243</v>
      </c>
      <c r="D312" s="2" t="s">
        <v>243</v>
      </c>
      <c r="E312" s="3">
        <v>12984</v>
      </c>
      <c r="F312" s="3">
        <v>12984</v>
      </c>
      <c r="G312" s="2" t="s">
        <v>11</v>
      </c>
      <c r="H312" s="2" t="s">
        <v>504</v>
      </c>
      <c r="I312" s="2" t="s">
        <v>201</v>
      </c>
    </row>
    <row r="313" spans="1:9" ht="16" x14ac:dyDescent="0.8">
      <c r="A313" s="2" t="s">
        <v>503</v>
      </c>
      <c r="B313" s="2" t="s">
        <v>293</v>
      </c>
      <c r="C313" s="2" t="s">
        <v>244</v>
      </c>
      <c r="D313" s="2" t="s">
        <v>244</v>
      </c>
      <c r="E313" s="3">
        <v>11640</v>
      </c>
      <c r="F313" s="3">
        <v>11640</v>
      </c>
      <c r="G313" s="2" t="s">
        <v>11</v>
      </c>
      <c r="H313" s="2" t="s">
        <v>504</v>
      </c>
      <c r="I313" s="2" t="s">
        <v>201</v>
      </c>
    </row>
    <row r="314" spans="1:9" ht="16" x14ac:dyDescent="0.8">
      <c r="A314" s="2" t="s">
        <v>505</v>
      </c>
      <c r="B314" s="2" t="s">
        <v>291</v>
      </c>
      <c r="C314" s="2" t="s">
        <v>243</v>
      </c>
      <c r="D314" s="2" t="s">
        <v>243</v>
      </c>
      <c r="E314" s="3">
        <v>28134</v>
      </c>
      <c r="F314" s="3">
        <v>18000</v>
      </c>
      <c r="G314" s="2" t="s">
        <v>11</v>
      </c>
      <c r="H314" s="2" t="s">
        <v>504</v>
      </c>
      <c r="I314" s="2" t="s">
        <v>201</v>
      </c>
    </row>
    <row r="315" spans="1:9" ht="16" x14ac:dyDescent="0.8">
      <c r="A315" s="2" t="s">
        <v>505</v>
      </c>
      <c r="B315" s="2" t="s">
        <v>293</v>
      </c>
      <c r="C315" s="2" t="s">
        <v>244</v>
      </c>
      <c r="D315" s="2" t="s">
        <v>244</v>
      </c>
      <c r="E315" s="3">
        <v>24462</v>
      </c>
      <c r="F315" s="3">
        <v>3000</v>
      </c>
      <c r="G315" s="2" t="s">
        <v>11</v>
      </c>
      <c r="H315" s="2" t="s">
        <v>504</v>
      </c>
      <c r="I315" s="2" t="s">
        <v>201</v>
      </c>
    </row>
    <row r="316" spans="1:9" ht="16" x14ac:dyDescent="0.8">
      <c r="A316" s="2" t="s">
        <v>506</v>
      </c>
      <c r="B316" s="2" t="s">
        <v>507</v>
      </c>
      <c r="C316" s="2" t="s">
        <v>508</v>
      </c>
      <c r="D316" s="2" t="s">
        <v>508</v>
      </c>
      <c r="E316" s="3">
        <v>5040</v>
      </c>
      <c r="F316" s="3">
        <v>5040</v>
      </c>
      <c r="G316" s="2" t="s">
        <v>11</v>
      </c>
      <c r="H316" s="2" t="s">
        <v>504</v>
      </c>
      <c r="I316" s="2" t="s">
        <v>509</v>
      </c>
    </row>
    <row r="317" spans="1:9" ht="16" x14ac:dyDescent="0.8">
      <c r="A317" s="2" t="s">
        <v>510</v>
      </c>
      <c r="B317" s="2" t="s">
        <v>507</v>
      </c>
      <c r="C317" s="2" t="s">
        <v>508</v>
      </c>
      <c r="D317" s="2" t="s">
        <v>508</v>
      </c>
      <c r="E317" s="3">
        <v>5040</v>
      </c>
      <c r="F317" s="3">
        <v>5040</v>
      </c>
      <c r="G317" s="2" t="s">
        <v>11</v>
      </c>
      <c r="H317" s="2" t="s">
        <v>504</v>
      </c>
      <c r="I317" s="2" t="s">
        <v>509</v>
      </c>
    </row>
    <row r="318" spans="1:9" ht="16" x14ac:dyDescent="0.8">
      <c r="A318" s="2" t="s">
        <v>511</v>
      </c>
      <c r="B318" s="2" t="s">
        <v>507</v>
      </c>
      <c r="C318" s="2" t="s">
        <v>508</v>
      </c>
      <c r="D318" s="2" t="s">
        <v>508</v>
      </c>
      <c r="E318" s="3">
        <v>4095</v>
      </c>
      <c r="F318" s="3">
        <v>4095</v>
      </c>
      <c r="G318" s="2" t="s">
        <v>11</v>
      </c>
      <c r="H318" s="2" t="s">
        <v>504</v>
      </c>
      <c r="I318" s="2" t="s">
        <v>509</v>
      </c>
    </row>
    <row r="319" spans="1:9" ht="16" x14ac:dyDescent="0.8">
      <c r="A319" s="2" t="s">
        <v>512</v>
      </c>
      <c r="B319" s="2" t="s">
        <v>165</v>
      </c>
      <c r="C319" s="2" t="s">
        <v>166</v>
      </c>
      <c r="D319" s="2" t="s">
        <v>166</v>
      </c>
      <c r="E319" s="3">
        <v>10572</v>
      </c>
      <c r="F319" s="3">
        <v>10572</v>
      </c>
      <c r="G319" s="2" t="s">
        <v>11</v>
      </c>
      <c r="H319" s="2" t="s">
        <v>504</v>
      </c>
      <c r="I319" s="2" t="s">
        <v>168</v>
      </c>
    </row>
    <row r="320" spans="1:9" ht="16" x14ac:dyDescent="0.8">
      <c r="A320" s="2" t="s">
        <v>512</v>
      </c>
      <c r="B320" s="2" t="s">
        <v>180</v>
      </c>
      <c r="C320" s="2" t="s">
        <v>181</v>
      </c>
      <c r="D320" s="2" t="s">
        <v>181</v>
      </c>
      <c r="E320" s="3">
        <v>10512</v>
      </c>
      <c r="F320" s="3">
        <v>10512</v>
      </c>
      <c r="G320" s="2" t="s">
        <v>11</v>
      </c>
      <c r="H320" s="2" t="s">
        <v>504</v>
      </c>
      <c r="I320" s="2" t="s">
        <v>168</v>
      </c>
    </row>
    <row r="321" spans="1:9" ht="16" x14ac:dyDescent="0.8">
      <c r="A321" s="2" t="s">
        <v>512</v>
      </c>
      <c r="B321" s="2" t="s">
        <v>169</v>
      </c>
      <c r="C321" s="2" t="s">
        <v>170</v>
      </c>
      <c r="D321" s="2" t="s">
        <v>170</v>
      </c>
      <c r="E321" s="3">
        <v>13064</v>
      </c>
      <c r="F321" s="3">
        <v>13064</v>
      </c>
      <c r="G321" s="2" t="s">
        <v>11</v>
      </c>
      <c r="H321" s="2" t="s">
        <v>504</v>
      </c>
      <c r="I321" s="2" t="s">
        <v>168</v>
      </c>
    </row>
    <row r="322" spans="1:9" ht="16" x14ac:dyDescent="0.8">
      <c r="A322" s="2" t="s">
        <v>512</v>
      </c>
      <c r="B322" s="2" t="s">
        <v>171</v>
      </c>
      <c r="C322" s="2" t="s">
        <v>172</v>
      </c>
      <c r="D322" s="2" t="s">
        <v>172</v>
      </c>
      <c r="E322" s="3">
        <v>15100</v>
      </c>
      <c r="F322" s="3">
        <v>15100</v>
      </c>
      <c r="G322" s="2" t="s">
        <v>11</v>
      </c>
      <c r="H322" s="2" t="s">
        <v>504</v>
      </c>
      <c r="I322" s="2" t="s">
        <v>168</v>
      </c>
    </row>
    <row r="323" spans="1:9" ht="16" x14ac:dyDescent="0.8">
      <c r="A323" s="2" t="s">
        <v>512</v>
      </c>
      <c r="B323" s="2" t="s">
        <v>173</v>
      </c>
      <c r="C323" s="2" t="s">
        <v>174</v>
      </c>
      <c r="D323" s="2" t="s">
        <v>174</v>
      </c>
      <c r="E323" s="3">
        <v>11100</v>
      </c>
      <c r="F323" s="3">
        <v>11100</v>
      </c>
      <c r="G323" s="2" t="s">
        <v>11</v>
      </c>
      <c r="H323" s="2" t="s">
        <v>504</v>
      </c>
      <c r="I323" s="2" t="s">
        <v>168</v>
      </c>
    </row>
    <row r="324" spans="1:9" ht="16" x14ac:dyDescent="0.8">
      <c r="A324" s="2" t="s">
        <v>512</v>
      </c>
      <c r="B324" s="2" t="s">
        <v>175</v>
      </c>
      <c r="C324" s="2" t="s">
        <v>176</v>
      </c>
      <c r="D324" s="2" t="s">
        <v>176</v>
      </c>
      <c r="E324" s="3">
        <v>23850</v>
      </c>
      <c r="F324" s="3">
        <v>23850</v>
      </c>
      <c r="G324" s="2" t="s">
        <v>11</v>
      </c>
      <c r="H324" s="2" t="s">
        <v>504</v>
      </c>
      <c r="I324" s="2" t="s">
        <v>168</v>
      </c>
    </row>
    <row r="325" spans="1:9" ht="16" x14ac:dyDescent="0.8">
      <c r="A325" s="2" t="s">
        <v>512</v>
      </c>
      <c r="B325" s="2" t="s">
        <v>177</v>
      </c>
      <c r="C325" s="2" t="s">
        <v>178</v>
      </c>
      <c r="D325" s="2" t="s">
        <v>178</v>
      </c>
      <c r="E325" s="3">
        <v>10376</v>
      </c>
      <c r="F325" s="3">
        <v>10376</v>
      </c>
      <c r="G325" s="2" t="s">
        <v>11</v>
      </c>
      <c r="H325" s="2" t="s">
        <v>504</v>
      </c>
      <c r="I325" s="2" t="s">
        <v>168</v>
      </c>
    </row>
    <row r="326" spans="1:9" ht="16" x14ac:dyDescent="0.8">
      <c r="A326" s="2" t="s">
        <v>179</v>
      </c>
      <c r="B326" s="2" t="s">
        <v>177</v>
      </c>
      <c r="C326" s="2" t="s">
        <v>178</v>
      </c>
      <c r="D326" s="2" t="s">
        <v>178</v>
      </c>
      <c r="E326" s="3">
        <v>15008</v>
      </c>
      <c r="F326" s="3">
        <v>15008</v>
      </c>
      <c r="G326" s="2" t="s">
        <v>11</v>
      </c>
      <c r="H326" s="2" t="s">
        <v>167</v>
      </c>
      <c r="I326" s="2" t="s">
        <v>168</v>
      </c>
    </row>
    <row r="327" spans="1:9" ht="16" x14ac:dyDescent="0.8">
      <c r="A327" s="2" t="s">
        <v>516</v>
      </c>
      <c r="B327" s="2" t="s">
        <v>442</v>
      </c>
      <c r="C327" s="2" t="s">
        <v>443</v>
      </c>
      <c r="D327" s="2" t="s">
        <v>443</v>
      </c>
      <c r="E327" s="3">
        <v>10000</v>
      </c>
      <c r="F327" s="3">
        <v>10000</v>
      </c>
      <c r="G327" s="2" t="s">
        <v>11</v>
      </c>
      <c r="H327" s="2" t="s">
        <v>517</v>
      </c>
      <c r="I327" s="2" t="s">
        <v>441</v>
      </c>
    </row>
    <row r="328" spans="1:9" ht="16" x14ac:dyDescent="0.8">
      <c r="A328" s="2" t="s">
        <v>518</v>
      </c>
      <c r="B328" s="2" t="s">
        <v>519</v>
      </c>
      <c r="C328" s="2" t="s">
        <v>520</v>
      </c>
      <c r="D328" s="2" t="s">
        <v>520</v>
      </c>
      <c r="E328" s="3">
        <v>25080</v>
      </c>
      <c r="F328" s="3">
        <v>25080</v>
      </c>
      <c r="G328" s="2" t="s">
        <v>11</v>
      </c>
      <c r="H328" s="2" t="s">
        <v>521</v>
      </c>
      <c r="I328" s="2" t="s">
        <v>522</v>
      </c>
    </row>
    <row r="329" spans="1:9" ht="16" x14ac:dyDescent="0.8">
      <c r="A329" s="2" t="s">
        <v>518</v>
      </c>
      <c r="B329" s="2" t="s">
        <v>523</v>
      </c>
      <c r="C329" s="2" t="s">
        <v>524</v>
      </c>
      <c r="D329" s="2" t="s">
        <v>524</v>
      </c>
      <c r="E329" s="3">
        <v>25080</v>
      </c>
      <c r="F329" s="3">
        <v>25080</v>
      </c>
      <c r="G329" s="2" t="s">
        <v>11</v>
      </c>
      <c r="H329" s="2" t="s">
        <v>521</v>
      </c>
      <c r="I329" s="2" t="s">
        <v>522</v>
      </c>
    </row>
    <row r="330" spans="1:9" ht="16" x14ac:dyDescent="0.8">
      <c r="A330" s="2" t="s">
        <v>525</v>
      </c>
      <c r="B330" s="2" t="s">
        <v>526</v>
      </c>
      <c r="C330" s="2" t="s">
        <v>527</v>
      </c>
      <c r="D330" s="2" t="s">
        <v>527</v>
      </c>
      <c r="E330" s="3">
        <v>10800</v>
      </c>
      <c r="F330" s="3">
        <v>10800</v>
      </c>
      <c r="G330" s="2" t="s">
        <v>11</v>
      </c>
      <c r="H330" s="2" t="s">
        <v>521</v>
      </c>
      <c r="I330" s="2" t="s">
        <v>412</v>
      </c>
    </row>
    <row r="331" spans="1:9" ht="16" x14ac:dyDescent="0.8">
      <c r="A331" s="2" t="s">
        <v>528</v>
      </c>
      <c r="B331" s="2" t="s">
        <v>529</v>
      </c>
      <c r="C331" s="2" t="s">
        <v>530</v>
      </c>
      <c r="D331" s="2" t="s">
        <v>530</v>
      </c>
      <c r="E331" s="3">
        <v>7287552</v>
      </c>
      <c r="F331" s="3">
        <v>7287552</v>
      </c>
      <c r="G331" s="2" t="s">
        <v>11</v>
      </c>
      <c r="H331" s="2" t="s">
        <v>521</v>
      </c>
      <c r="I331" s="2" t="s">
        <v>23</v>
      </c>
    </row>
    <row r="332" spans="1:9" ht="16" x14ac:dyDescent="0.8">
      <c r="A332" s="2" t="s">
        <v>531</v>
      </c>
      <c r="B332" s="2" t="s">
        <v>532</v>
      </c>
      <c r="C332" s="2" t="s">
        <v>533</v>
      </c>
      <c r="D332" s="2" t="s">
        <v>533</v>
      </c>
      <c r="E332" s="3">
        <v>25024</v>
      </c>
      <c r="F332" s="3">
        <v>25024</v>
      </c>
      <c r="G332" s="2" t="s">
        <v>11</v>
      </c>
      <c r="H332" s="2" t="s">
        <v>521</v>
      </c>
      <c r="I332" s="2" t="s">
        <v>534</v>
      </c>
    </row>
    <row r="333" spans="1:9" ht="16" x14ac:dyDescent="0.8">
      <c r="A333" s="2" t="s">
        <v>531</v>
      </c>
      <c r="B333" s="2" t="s">
        <v>535</v>
      </c>
      <c r="C333" s="2" t="s">
        <v>536</v>
      </c>
      <c r="D333" s="2" t="s">
        <v>536</v>
      </c>
      <c r="E333" s="3">
        <v>25024</v>
      </c>
      <c r="F333" s="3">
        <v>25024</v>
      </c>
      <c r="G333" s="2" t="s">
        <v>11</v>
      </c>
      <c r="H333" s="2" t="s">
        <v>521</v>
      </c>
      <c r="I333" s="2" t="s">
        <v>534</v>
      </c>
    </row>
    <row r="334" spans="1:9" ht="16" x14ac:dyDescent="0.8">
      <c r="A334" s="2" t="s">
        <v>537</v>
      </c>
      <c r="B334" s="2" t="s">
        <v>538</v>
      </c>
      <c r="C334" s="2" t="s">
        <v>539</v>
      </c>
      <c r="D334" s="2" t="s">
        <v>539</v>
      </c>
      <c r="E334" s="3">
        <v>12960</v>
      </c>
      <c r="F334" s="3">
        <v>12960</v>
      </c>
      <c r="G334" s="2" t="s">
        <v>11</v>
      </c>
      <c r="H334" s="2" t="s">
        <v>521</v>
      </c>
      <c r="I334" s="2" t="s">
        <v>262</v>
      </c>
    </row>
    <row r="335" spans="1:9" ht="16" x14ac:dyDescent="0.8">
      <c r="A335" s="2" t="s">
        <v>540</v>
      </c>
      <c r="B335" s="2" t="s">
        <v>541</v>
      </c>
      <c r="C335" s="2" t="s">
        <v>542</v>
      </c>
      <c r="D335" s="2" t="s">
        <v>542</v>
      </c>
      <c r="E335" s="3">
        <v>4032</v>
      </c>
      <c r="F335" s="3">
        <v>4032</v>
      </c>
      <c r="G335" s="2" t="s">
        <v>11</v>
      </c>
      <c r="H335" s="2" t="s">
        <v>521</v>
      </c>
      <c r="I335" s="2" t="s">
        <v>262</v>
      </c>
    </row>
    <row r="336" spans="1:9" ht="16" x14ac:dyDescent="0.8">
      <c r="A336" s="2" t="s">
        <v>543</v>
      </c>
      <c r="B336" s="2" t="s">
        <v>544</v>
      </c>
      <c r="C336" s="2" t="s">
        <v>545</v>
      </c>
      <c r="D336" s="2" t="s">
        <v>545</v>
      </c>
      <c r="E336" s="3">
        <v>20016</v>
      </c>
      <c r="F336" s="3">
        <v>20016</v>
      </c>
      <c r="G336" s="2" t="s">
        <v>11</v>
      </c>
      <c r="H336" s="2" t="s">
        <v>521</v>
      </c>
      <c r="I336" s="2" t="s">
        <v>546</v>
      </c>
    </row>
    <row r="337" spans="1:9" ht="16" x14ac:dyDescent="0.8">
      <c r="A337" s="2" t="s">
        <v>547</v>
      </c>
      <c r="B337" s="2" t="s">
        <v>548</v>
      </c>
      <c r="C337" s="2" t="s">
        <v>549</v>
      </c>
      <c r="D337" s="2" t="s">
        <v>549</v>
      </c>
      <c r="E337" s="3">
        <v>83160</v>
      </c>
      <c r="F337" s="3">
        <v>83160</v>
      </c>
      <c r="G337" s="2" t="s">
        <v>11</v>
      </c>
      <c r="H337" s="2" t="s">
        <v>521</v>
      </c>
      <c r="I337" s="2" t="s">
        <v>550</v>
      </c>
    </row>
    <row r="338" spans="1:9" ht="16" x14ac:dyDescent="0.8">
      <c r="A338" s="2" t="s">
        <v>551</v>
      </c>
      <c r="B338" s="2" t="s">
        <v>548</v>
      </c>
      <c r="C338" s="2" t="s">
        <v>549</v>
      </c>
      <c r="D338" s="2" t="s">
        <v>549</v>
      </c>
      <c r="E338" s="3">
        <v>83160</v>
      </c>
      <c r="F338" s="3">
        <v>83160</v>
      </c>
      <c r="G338" s="2" t="s">
        <v>11</v>
      </c>
      <c r="H338" s="2" t="s">
        <v>521</v>
      </c>
      <c r="I338" s="2" t="s">
        <v>550</v>
      </c>
    </row>
    <row r="339" spans="1:9" ht="16" x14ac:dyDescent="0.8">
      <c r="A339" s="2" t="s">
        <v>552</v>
      </c>
      <c r="B339" s="2" t="s">
        <v>548</v>
      </c>
      <c r="C339" s="2" t="s">
        <v>549</v>
      </c>
      <c r="D339" s="2" t="s">
        <v>549</v>
      </c>
      <c r="E339" s="3">
        <v>83160</v>
      </c>
      <c r="F339" s="3">
        <v>83160</v>
      </c>
      <c r="G339" s="2" t="s">
        <v>11</v>
      </c>
      <c r="H339" s="2" t="s">
        <v>521</v>
      </c>
      <c r="I339" s="2" t="s">
        <v>550</v>
      </c>
    </row>
    <row r="340" spans="1:9" ht="16" x14ac:dyDescent="0.8">
      <c r="A340" s="2" t="s">
        <v>553</v>
      </c>
      <c r="B340" s="2" t="s">
        <v>548</v>
      </c>
      <c r="C340" s="2" t="s">
        <v>549</v>
      </c>
      <c r="D340" s="2" t="s">
        <v>549</v>
      </c>
      <c r="E340" s="3">
        <v>83160</v>
      </c>
      <c r="F340" s="3">
        <v>83160</v>
      </c>
      <c r="G340" s="2" t="s">
        <v>11</v>
      </c>
      <c r="H340" s="2" t="s">
        <v>521</v>
      </c>
      <c r="I340" s="2" t="s">
        <v>550</v>
      </c>
    </row>
    <row r="341" spans="1:9" ht="16" x14ac:dyDescent="0.8">
      <c r="A341" s="2" t="s">
        <v>554</v>
      </c>
      <c r="B341" s="2" t="s">
        <v>548</v>
      </c>
      <c r="C341" s="2" t="s">
        <v>549</v>
      </c>
      <c r="D341" s="2" t="s">
        <v>549</v>
      </c>
      <c r="E341" s="3">
        <v>83160</v>
      </c>
      <c r="F341" s="3">
        <v>83160</v>
      </c>
      <c r="G341" s="2" t="s">
        <v>11</v>
      </c>
      <c r="H341" s="2" t="s">
        <v>521</v>
      </c>
      <c r="I341" s="2" t="s">
        <v>550</v>
      </c>
    </row>
    <row r="342" spans="1:9" ht="16" x14ac:dyDescent="0.8">
      <c r="A342" s="2" t="s">
        <v>555</v>
      </c>
      <c r="B342" s="2" t="s">
        <v>548</v>
      </c>
      <c r="C342" s="2" t="s">
        <v>549</v>
      </c>
      <c r="D342" s="2" t="s">
        <v>549</v>
      </c>
      <c r="E342" s="3">
        <v>83160</v>
      </c>
      <c r="F342" s="3">
        <v>83160</v>
      </c>
      <c r="G342" s="2" t="s">
        <v>11</v>
      </c>
      <c r="H342" s="2" t="s">
        <v>521</v>
      </c>
      <c r="I342" s="2" t="s">
        <v>550</v>
      </c>
    </row>
    <row r="343" spans="1:9" ht="16" x14ac:dyDescent="0.8">
      <c r="A343" s="2" t="s">
        <v>556</v>
      </c>
      <c r="B343" s="2" t="s">
        <v>548</v>
      </c>
      <c r="C343" s="2" t="s">
        <v>549</v>
      </c>
      <c r="D343" s="2" t="s">
        <v>549</v>
      </c>
      <c r="E343" s="3">
        <v>1380</v>
      </c>
      <c r="F343" s="3">
        <v>1440</v>
      </c>
      <c r="G343" s="2" t="s">
        <v>11</v>
      </c>
      <c r="H343" s="2" t="s">
        <v>521</v>
      </c>
      <c r="I343" s="2" t="s">
        <v>550</v>
      </c>
    </row>
    <row r="344" spans="1:9" ht="16" x14ac:dyDescent="0.8">
      <c r="A344" s="2" t="s">
        <v>557</v>
      </c>
      <c r="B344" s="2" t="s">
        <v>558</v>
      </c>
      <c r="C344" s="2" t="s">
        <v>559</v>
      </c>
      <c r="D344" s="2" t="s">
        <v>559</v>
      </c>
      <c r="E344" s="3">
        <v>186</v>
      </c>
      <c r="F344" s="3">
        <v>186</v>
      </c>
      <c r="G344" s="2" t="s">
        <v>11</v>
      </c>
      <c r="H344" s="2" t="s">
        <v>521</v>
      </c>
      <c r="I344" s="2" t="s">
        <v>560</v>
      </c>
    </row>
    <row r="345" spans="1:9" ht="16" x14ac:dyDescent="0.8">
      <c r="A345" s="2" t="s">
        <v>557</v>
      </c>
      <c r="B345" s="2" t="s">
        <v>561</v>
      </c>
      <c r="C345" s="2" t="s">
        <v>562</v>
      </c>
      <c r="D345" s="2" t="s">
        <v>562</v>
      </c>
      <c r="E345" s="3">
        <v>272</v>
      </c>
      <c r="F345" s="3">
        <v>272</v>
      </c>
      <c r="G345" s="2" t="s">
        <v>11</v>
      </c>
      <c r="H345" s="2" t="s">
        <v>521</v>
      </c>
      <c r="I345" s="2" t="s">
        <v>560</v>
      </c>
    </row>
    <row r="346" spans="1:9" ht="16" x14ac:dyDescent="0.8">
      <c r="A346" s="2" t="s">
        <v>563</v>
      </c>
      <c r="B346" s="2" t="s">
        <v>564</v>
      </c>
      <c r="C346" s="2" t="s">
        <v>565</v>
      </c>
      <c r="D346" s="2" t="s">
        <v>565</v>
      </c>
      <c r="E346" s="3">
        <v>6209280</v>
      </c>
      <c r="F346" s="3">
        <v>6209280</v>
      </c>
      <c r="G346" s="2" t="s">
        <v>11</v>
      </c>
      <c r="H346" s="2" t="s">
        <v>521</v>
      </c>
      <c r="I346" s="2" t="s">
        <v>566</v>
      </c>
    </row>
    <row r="347" spans="1:9" ht="16" x14ac:dyDescent="0.8">
      <c r="A347" s="2" t="s">
        <v>567</v>
      </c>
      <c r="B347" s="2" t="s">
        <v>564</v>
      </c>
      <c r="C347" s="2" t="s">
        <v>565</v>
      </c>
      <c r="D347" s="2" t="s">
        <v>565</v>
      </c>
      <c r="E347" s="3">
        <v>6209280</v>
      </c>
      <c r="F347" s="3">
        <v>6209280</v>
      </c>
      <c r="G347" s="2" t="s">
        <v>11</v>
      </c>
      <c r="H347" s="2" t="s">
        <v>521</v>
      </c>
      <c r="I347" s="2" t="s">
        <v>566</v>
      </c>
    </row>
    <row r="348" spans="1:9" ht="16" x14ac:dyDescent="0.8">
      <c r="A348" s="2" t="s">
        <v>568</v>
      </c>
      <c r="B348" s="2" t="s">
        <v>564</v>
      </c>
      <c r="C348" s="2" t="s">
        <v>565</v>
      </c>
      <c r="D348" s="2" t="s">
        <v>565</v>
      </c>
      <c r="E348" s="3">
        <v>6209280</v>
      </c>
      <c r="F348" s="3">
        <v>6209280</v>
      </c>
      <c r="G348" s="2" t="s">
        <v>11</v>
      </c>
      <c r="H348" s="2" t="s">
        <v>521</v>
      </c>
      <c r="I348" s="2" t="s">
        <v>566</v>
      </c>
    </row>
    <row r="349" spans="1:9" ht="16" x14ac:dyDescent="0.8">
      <c r="A349" s="2" t="s">
        <v>569</v>
      </c>
      <c r="B349" s="2" t="s">
        <v>564</v>
      </c>
      <c r="C349" s="2" t="s">
        <v>565</v>
      </c>
      <c r="D349" s="2" t="s">
        <v>565</v>
      </c>
      <c r="E349" s="3">
        <v>6209280</v>
      </c>
      <c r="F349" s="3">
        <v>6209280</v>
      </c>
      <c r="G349" s="2" t="s">
        <v>11</v>
      </c>
      <c r="H349" s="2" t="s">
        <v>521</v>
      </c>
      <c r="I349" s="2" t="s">
        <v>566</v>
      </c>
    </row>
    <row r="350" spans="1:9" ht="16" x14ac:dyDescent="0.8">
      <c r="A350" s="2" t="s">
        <v>570</v>
      </c>
      <c r="B350" s="2" t="s">
        <v>564</v>
      </c>
      <c r="C350" s="2" t="s">
        <v>565</v>
      </c>
      <c r="D350" s="2" t="s">
        <v>565</v>
      </c>
      <c r="E350" s="3">
        <v>6209280</v>
      </c>
      <c r="F350" s="3">
        <v>6209280</v>
      </c>
      <c r="G350" s="2" t="s">
        <v>11</v>
      </c>
      <c r="H350" s="2" t="s">
        <v>521</v>
      </c>
      <c r="I350" s="2" t="s">
        <v>566</v>
      </c>
    </row>
    <row r="351" spans="1:9" ht="16" x14ac:dyDescent="0.8">
      <c r="A351" s="2" t="s">
        <v>571</v>
      </c>
      <c r="B351" s="2" t="s">
        <v>564</v>
      </c>
      <c r="C351" s="2" t="s">
        <v>565</v>
      </c>
      <c r="D351" s="2" t="s">
        <v>565</v>
      </c>
      <c r="E351" s="3">
        <v>6209280</v>
      </c>
      <c r="F351" s="3">
        <v>6209280</v>
      </c>
      <c r="G351" s="2" t="s">
        <v>11</v>
      </c>
      <c r="H351" s="2" t="s">
        <v>521</v>
      </c>
      <c r="I351" s="2" t="s">
        <v>566</v>
      </c>
    </row>
    <row r="352" spans="1:9" ht="16" x14ac:dyDescent="0.8">
      <c r="A352" s="2" t="s">
        <v>572</v>
      </c>
      <c r="B352" s="2" t="s">
        <v>564</v>
      </c>
      <c r="C352" s="2" t="s">
        <v>565</v>
      </c>
      <c r="D352" s="2" t="s">
        <v>565</v>
      </c>
      <c r="E352" s="3">
        <v>6209280</v>
      </c>
      <c r="F352" s="3">
        <v>6209280</v>
      </c>
      <c r="G352" s="2" t="s">
        <v>11</v>
      </c>
      <c r="H352" s="2" t="s">
        <v>521</v>
      </c>
      <c r="I352" s="2" t="s">
        <v>566</v>
      </c>
    </row>
    <row r="353" spans="1:9" ht="16" x14ac:dyDescent="0.8">
      <c r="A353" s="2" t="s">
        <v>573</v>
      </c>
      <c r="B353" s="2" t="s">
        <v>564</v>
      </c>
      <c r="C353" s="2" t="s">
        <v>565</v>
      </c>
      <c r="D353" s="2" t="s">
        <v>565</v>
      </c>
      <c r="E353" s="3">
        <v>6209280</v>
      </c>
      <c r="F353" s="3">
        <v>6209280</v>
      </c>
      <c r="G353" s="2" t="s">
        <v>11</v>
      </c>
      <c r="H353" s="2" t="s">
        <v>521</v>
      </c>
      <c r="I353" s="2" t="s">
        <v>566</v>
      </c>
    </row>
    <row r="354" spans="1:9" ht="16" x14ac:dyDescent="0.8">
      <c r="A354" s="2" t="s">
        <v>574</v>
      </c>
      <c r="B354" s="2" t="s">
        <v>564</v>
      </c>
      <c r="C354" s="2" t="s">
        <v>565</v>
      </c>
      <c r="D354" s="2" t="s">
        <v>565</v>
      </c>
      <c r="E354" s="3">
        <v>6209280</v>
      </c>
      <c r="F354" s="3">
        <v>6209280</v>
      </c>
      <c r="G354" s="2" t="s">
        <v>11</v>
      </c>
      <c r="H354" s="2" t="s">
        <v>521</v>
      </c>
      <c r="I354" s="2" t="s">
        <v>566</v>
      </c>
    </row>
    <row r="355" spans="1:9" ht="16" x14ac:dyDescent="0.8">
      <c r="A355" s="2" t="s">
        <v>575</v>
      </c>
      <c r="B355" s="2" t="s">
        <v>564</v>
      </c>
      <c r="C355" s="2" t="s">
        <v>565</v>
      </c>
      <c r="D355" s="2" t="s">
        <v>565</v>
      </c>
      <c r="E355" s="3">
        <v>1159680</v>
      </c>
      <c r="F355" s="3">
        <v>1159680</v>
      </c>
      <c r="G355" s="2" t="s">
        <v>11</v>
      </c>
      <c r="H355" s="2" t="s">
        <v>521</v>
      </c>
      <c r="I355" s="2" t="s">
        <v>566</v>
      </c>
    </row>
    <row r="356" spans="1:9" ht="16" x14ac:dyDescent="0.8">
      <c r="A356" s="2" t="s">
        <v>576</v>
      </c>
      <c r="B356" s="2" t="s">
        <v>276</v>
      </c>
      <c r="C356" s="2" t="s">
        <v>277</v>
      </c>
      <c r="D356" s="2" t="s">
        <v>277</v>
      </c>
      <c r="E356" s="3">
        <v>8640</v>
      </c>
      <c r="F356" s="3">
        <v>8640</v>
      </c>
      <c r="G356" s="2" t="s">
        <v>11</v>
      </c>
      <c r="H356" s="2" t="s">
        <v>577</v>
      </c>
      <c r="I356" s="2" t="s">
        <v>279</v>
      </c>
    </row>
    <row r="357" spans="1:9" ht="16" x14ac:dyDescent="0.8">
      <c r="A357" s="2" t="s">
        <v>576</v>
      </c>
      <c r="B357" s="2" t="s">
        <v>280</v>
      </c>
      <c r="C357" s="2" t="s">
        <v>281</v>
      </c>
      <c r="D357" s="2" t="s">
        <v>281</v>
      </c>
      <c r="E357" s="3">
        <v>5400</v>
      </c>
      <c r="F357" s="3">
        <v>5400</v>
      </c>
      <c r="G357" s="2" t="s">
        <v>11</v>
      </c>
      <c r="H357" s="2" t="s">
        <v>577</v>
      </c>
      <c r="I357" s="2" t="s">
        <v>279</v>
      </c>
    </row>
    <row r="358" spans="1:9" ht="16" x14ac:dyDescent="0.8">
      <c r="A358" s="2" t="s">
        <v>576</v>
      </c>
      <c r="B358" s="2" t="s">
        <v>284</v>
      </c>
      <c r="C358" s="2" t="s">
        <v>285</v>
      </c>
      <c r="D358" s="2" t="s">
        <v>285</v>
      </c>
      <c r="E358" s="3">
        <v>1596</v>
      </c>
      <c r="F358" s="3">
        <v>1596</v>
      </c>
      <c r="G358" s="2" t="s">
        <v>11</v>
      </c>
      <c r="H358" s="2" t="s">
        <v>577</v>
      </c>
      <c r="I358" s="2" t="s">
        <v>279</v>
      </c>
    </row>
    <row r="359" spans="1:9" ht="16" x14ac:dyDescent="0.8">
      <c r="A359" s="2" t="s">
        <v>576</v>
      </c>
      <c r="B359" s="2" t="s">
        <v>345</v>
      </c>
      <c r="C359" s="2" t="s">
        <v>281</v>
      </c>
      <c r="D359" s="2" t="s">
        <v>281</v>
      </c>
      <c r="E359" s="3">
        <v>1038</v>
      </c>
      <c r="F359" s="3">
        <v>1038</v>
      </c>
      <c r="G359" s="2" t="s">
        <v>11</v>
      </c>
      <c r="H359" s="2" t="s">
        <v>577</v>
      </c>
      <c r="I359" s="2" t="s">
        <v>279</v>
      </c>
    </row>
    <row r="360" spans="1:9" ht="16" x14ac:dyDescent="0.8">
      <c r="A360" s="2" t="s">
        <v>576</v>
      </c>
      <c r="B360" s="2" t="s">
        <v>578</v>
      </c>
      <c r="C360" s="2" t="s">
        <v>579</v>
      </c>
      <c r="D360" s="2" t="s">
        <v>579</v>
      </c>
      <c r="E360" s="3">
        <v>1536</v>
      </c>
      <c r="F360" s="3">
        <v>1536</v>
      </c>
      <c r="G360" s="2" t="s">
        <v>11</v>
      </c>
      <c r="H360" s="2" t="s">
        <v>577</v>
      </c>
      <c r="I360" s="2" t="s">
        <v>279</v>
      </c>
    </row>
    <row r="361" spans="1:9" ht="16" x14ac:dyDescent="0.8">
      <c r="A361" s="2" t="s">
        <v>576</v>
      </c>
      <c r="B361" s="2" t="s">
        <v>346</v>
      </c>
      <c r="C361" s="2" t="s">
        <v>347</v>
      </c>
      <c r="D361" s="2" t="s">
        <v>347</v>
      </c>
      <c r="E361" s="3">
        <v>6624</v>
      </c>
      <c r="F361" s="3">
        <v>6624</v>
      </c>
      <c r="G361" s="2" t="s">
        <v>11</v>
      </c>
      <c r="H361" s="2" t="s">
        <v>577</v>
      </c>
      <c r="I361" s="2" t="s">
        <v>279</v>
      </c>
    </row>
    <row r="362" spans="1:9" ht="16" x14ac:dyDescent="0.8">
      <c r="A362" s="2" t="s">
        <v>576</v>
      </c>
      <c r="B362" s="2" t="s">
        <v>350</v>
      </c>
      <c r="C362" s="2" t="s">
        <v>351</v>
      </c>
      <c r="D362" s="2" t="s">
        <v>351</v>
      </c>
      <c r="E362" s="3">
        <v>1260</v>
      </c>
      <c r="F362" s="3">
        <v>1260</v>
      </c>
      <c r="G362" s="2" t="s">
        <v>11</v>
      </c>
      <c r="H362" s="2" t="s">
        <v>577</v>
      </c>
      <c r="I362" s="2" t="s">
        <v>279</v>
      </c>
    </row>
    <row r="363" spans="1:9" ht="16" x14ac:dyDescent="0.8">
      <c r="A363" s="2" t="s">
        <v>576</v>
      </c>
      <c r="B363" s="2" t="s">
        <v>341</v>
      </c>
      <c r="C363" s="2" t="s">
        <v>342</v>
      </c>
      <c r="D363" s="2" t="s">
        <v>342</v>
      </c>
      <c r="E363" s="3">
        <v>3150</v>
      </c>
      <c r="F363" s="3">
        <v>3150</v>
      </c>
      <c r="G363" s="2" t="s">
        <v>11</v>
      </c>
      <c r="H363" s="2" t="s">
        <v>577</v>
      </c>
      <c r="I363" s="2" t="s">
        <v>279</v>
      </c>
    </row>
    <row r="364" spans="1:9" ht="16" x14ac:dyDescent="0.8">
      <c r="A364" s="2" t="s">
        <v>580</v>
      </c>
      <c r="B364" s="2" t="s">
        <v>581</v>
      </c>
      <c r="C364" s="2" t="s">
        <v>582</v>
      </c>
      <c r="D364" s="2" t="s">
        <v>582</v>
      </c>
      <c r="E364" s="3">
        <v>129872</v>
      </c>
      <c r="F364" s="3">
        <v>129872</v>
      </c>
      <c r="G364" s="2" t="s">
        <v>11</v>
      </c>
      <c r="H364" s="2" t="s">
        <v>577</v>
      </c>
      <c r="I364" s="2" t="s">
        <v>583</v>
      </c>
    </row>
    <row r="365" spans="1:9" ht="16" x14ac:dyDescent="0.8">
      <c r="A365" s="2" t="s">
        <v>580</v>
      </c>
      <c r="B365" s="2" t="s">
        <v>584</v>
      </c>
      <c r="C365" s="2" t="s">
        <v>585</v>
      </c>
      <c r="D365" s="2" t="s">
        <v>585</v>
      </c>
      <c r="E365" s="3">
        <v>108312</v>
      </c>
      <c r="F365" s="3">
        <v>108312</v>
      </c>
      <c r="G365" s="2" t="s">
        <v>11</v>
      </c>
      <c r="H365" s="2" t="s">
        <v>577</v>
      </c>
      <c r="I365" s="2" t="s">
        <v>583</v>
      </c>
    </row>
    <row r="366" spans="1:9" ht="16" x14ac:dyDescent="0.8">
      <c r="A366" s="2" t="s">
        <v>586</v>
      </c>
      <c r="B366" s="2" t="s">
        <v>587</v>
      </c>
      <c r="C366" s="2" t="s">
        <v>588</v>
      </c>
      <c r="D366" s="2" t="s">
        <v>588</v>
      </c>
      <c r="E366" s="3">
        <v>121248</v>
      </c>
      <c r="F366" s="3">
        <v>121248</v>
      </c>
      <c r="G366" s="2" t="s">
        <v>11</v>
      </c>
      <c r="H366" s="2" t="s">
        <v>577</v>
      </c>
      <c r="I366" s="2" t="s">
        <v>589</v>
      </c>
    </row>
    <row r="367" spans="1:9" ht="16" x14ac:dyDescent="0.8">
      <c r="A367" s="2" t="s">
        <v>586</v>
      </c>
      <c r="B367" s="2" t="s">
        <v>590</v>
      </c>
      <c r="C367" s="2" t="s">
        <v>591</v>
      </c>
      <c r="D367" s="2" t="s">
        <v>591</v>
      </c>
      <c r="E367" s="3">
        <v>128304</v>
      </c>
      <c r="F367" s="3">
        <v>128304</v>
      </c>
      <c r="G367" s="2" t="s">
        <v>11</v>
      </c>
      <c r="H367" s="2" t="s">
        <v>577</v>
      </c>
      <c r="I367" s="2" t="s">
        <v>589</v>
      </c>
    </row>
    <row r="368" spans="1:9" ht="16" x14ac:dyDescent="0.8">
      <c r="A368" s="2" t="s">
        <v>592</v>
      </c>
      <c r="B368" s="2" t="s">
        <v>593</v>
      </c>
      <c r="C368" s="2" t="s">
        <v>594</v>
      </c>
      <c r="D368" s="2" t="s">
        <v>594</v>
      </c>
      <c r="E368" s="3">
        <v>217878</v>
      </c>
      <c r="F368" s="3">
        <v>217878</v>
      </c>
      <c r="G368" s="2" t="s">
        <v>11</v>
      </c>
      <c r="H368" s="2" t="s">
        <v>577</v>
      </c>
      <c r="I368" s="2" t="s">
        <v>23</v>
      </c>
    </row>
    <row r="369" spans="1:9" ht="16" x14ac:dyDescent="0.8">
      <c r="A369" s="2" t="s">
        <v>595</v>
      </c>
      <c r="B369" s="2" t="s">
        <v>581</v>
      </c>
      <c r="C369" s="2" t="s">
        <v>582</v>
      </c>
      <c r="D369" s="2" t="s">
        <v>582</v>
      </c>
      <c r="E369" s="3">
        <v>120128</v>
      </c>
      <c r="F369" s="3">
        <v>120128</v>
      </c>
      <c r="G369" s="2" t="s">
        <v>11</v>
      </c>
      <c r="H369" s="2" t="s">
        <v>577</v>
      </c>
      <c r="I369" s="2" t="s">
        <v>583</v>
      </c>
    </row>
    <row r="370" spans="1:9" ht="16" x14ac:dyDescent="0.8">
      <c r="A370" s="2" t="s">
        <v>595</v>
      </c>
      <c r="B370" s="2" t="s">
        <v>584</v>
      </c>
      <c r="C370" s="2" t="s">
        <v>585</v>
      </c>
      <c r="D370" s="2" t="s">
        <v>585</v>
      </c>
      <c r="E370" s="3">
        <v>61688</v>
      </c>
      <c r="F370" s="3">
        <v>61688</v>
      </c>
      <c r="G370" s="2" t="s">
        <v>11</v>
      </c>
      <c r="H370" s="2" t="s">
        <v>577</v>
      </c>
      <c r="I370" s="2" t="s">
        <v>583</v>
      </c>
    </row>
    <row r="371" spans="1:9" ht="16" x14ac:dyDescent="0.8">
      <c r="A371" s="2" t="s">
        <v>596</v>
      </c>
      <c r="B371" s="2" t="s">
        <v>472</v>
      </c>
      <c r="C371" s="2" t="s">
        <v>473</v>
      </c>
      <c r="D371" s="2" t="s">
        <v>473</v>
      </c>
      <c r="E371" s="3">
        <v>64896</v>
      </c>
      <c r="F371" s="3">
        <v>64896</v>
      </c>
      <c r="G371" s="2" t="s">
        <v>11</v>
      </c>
      <c r="H371" s="2" t="s">
        <v>577</v>
      </c>
      <c r="I371" s="2" t="s">
        <v>474</v>
      </c>
    </row>
    <row r="372" spans="1:9" ht="16" x14ac:dyDescent="0.8">
      <c r="A372" s="2" t="s">
        <v>597</v>
      </c>
      <c r="B372" s="2" t="s">
        <v>287</v>
      </c>
      <c r="C372" s="2" t="s">
        <v>288</v>
      </c>
      <c r="D372" s="2" t="s">
        <v>288</v>
      </c>
      <c r="E372" s="3">
        <v>4025600</v>
      </c>
      <c r="F372" s="3">
        <v>4025600</v>
      </c>
      <c r="G372" s="2" t="s">
        <v>11</v>
      </c>
      <c r="H372" s="2" t="s">
        <v>577</v>
      </c>
      <c r="I372" s="2" t="s">
        <v>289</v>
      </c>
    </row>
    <row r="373" spans="1:9" ht="16" x14ac:dyDescent="0.8">
      <c r="A373" s="2" t="s">
        <v>598</v>
      </c>
      <c r="B373" s="2" t="s">
        <v>587</v>
      </c>
      <c r="C373" s="2" t="s">
        <v>588</v>
      </c>
      <c r="D373" s="2" t="s">
        <v>588</v>
      </c>
      <c r="E373" s="3">
        <v>88752</v>
      </c>
      <c r="F373" s="3">
        <v>88752</v>
      </c>
      <c r="G373" s="2" t="s">
        <v>11</v>
      </c>
      <c r="H373" s="2" t="s">
        <v>577</v>
      </c>
      <c r="I373" s="2" t="s">
        <v>589</v>
      </c>
    </row>
    <row r="374" spans="1:9" ht="16" x14ac:dyDescent="0.8">
      <c r="A374" s="2" t="s">
        <v>598</v>
      </c>
      <c r="B374" s="2" t="s">
        <v>590</v>
      </c>
      <c r="C374" s="2" t="s">
        <v>591</v>
      </c>
      <c r="D374" s="2" t="s">
        <v>591</v>
      </c>
      <c r="E374" s="3">
        <v>121698</v>
      </c>
      <c r="F374" s="3">
        <v>121698</v>
      </c>
      <c r="G374" s="2" t="s">
        <v>11</v>
      </c>
      <c r="H374" s="2" t="s">
        <v>577</v>
      </c>
      <c r="I374" s="2" t="s">
        <v>589</v>
      </c>
    </row>
    <row r="375" spans="1:9" ht="16" x14ac:dyDescent="0.8">
      <c r="A375" s="2" t="s">
        <v>599</v>
      </c>
      <c r="B375" s="2" t="s">
        <v>593</v>
      </c>
      <c r="C375" s="2" t="s">
        <v>594</v>
      </c>
      <c r="D375" s="2" t="s">
        <v>594</v>
      </c>
      <c r="E375" s="3">
        <v>202128</v>
      </c>
      <c r="F375" s="3">
        <v>202128</v>
      </c>
      <c r="G375" s="2" t="s">
        <v>11</v>
      </c>
      <c r="H375" s="2" t="s">
        <v>577</v>
      </c>
      <c r="I375" s="2" t="s">
        <v>23</v>
      </c>
    </row>
    <row r="376" spans="1:9" ht="16" x14ac:dyDescent="0.8">
      <c r="A376" s="2" t="s">
        <v>600</v>
      </c>
      <c r="B376" s="2" t="s">
        <v>601</v>
      </c>
      <c r="C376" s="2" t="s">
        <v>602</v>
      </c>
      <c r="D376" s="2" t="s">
        <v>602</v>
      </c>
      <c r="E376" s="3">
        <v>30272</v>
      </c>
      <c r="F376" s="3">
        <v>30272</v>
      </c>
      <c r="G376" s="2" t="s">
        <v>11</v>
      </c>
      <c r="H376" s="2" t="s">
        <v>577</v>
      </c>
      <c r="I376" s="2" t="s">
        <v>23</v>
      </c>
    </row>
    <row r="377" spans="1:9" ht="16" x14ac:dyDescent="0.8">
      <c r="A377" s="2" t="s">
        <v>600</v>
      </c>
      <c r="B377" s="2" t="s">
        <v>603</v>
      </c>
      <c r="C377" s="2" t="s">
        <v>29</v>
      </c>
      <c r="D377" s="2" t="s">
        <v>29</v>
      </c>
      <c r="E377" s="3">
        <v>30336</v>
      </c>
      <c r="F377" s="3">
        <v>30336</v>
      </c>
      <c r="G377" s="2" t="s">
        <v>11</v>
      </c>
      <c r="H377" s="2" t="s">
        <v>577</v>
      </c>
      <c r="I377" s="2" t="s">
        <v>23</v>
      </c>
    </row>
    <row r="378" spans="1:9" ht="16" x14ac:dyDescent="0.8">
      <c r="A378" s="2" t="s">
        <v>600</v>
      </c>
      <c r="B378" s="2" t="s">
        <v>604</v>
      </c>
      <c r="C378" s="2" t="s">
        <v>31</v>
      </c>
      <c r="D378" s="2" t="s">
        <v>31</v>
      </c>
      <c r="E378" s="3">
        <v>30080</v>
      </c>
      <c r="F378" s="3">
        <v>30080</v>
      </c>
      <c r="G378" s="2" t="s">
        <v>11</v>
      </c>
      <c r="H378" s="2" t="s">
        <v>577</v>
      </c>
      <c r="I378" s="2" t="s">
        <v>23</v>
      </c>
    </row>
    <row r="379" spans="1:9" ht="16" x14ac:dyDescent="0.8">
      <c r="A379" s="2" t="s">
        <v>600</v>
      </c>
      <c r="B379" s="2" t="s">
        <v>605</v>
      </c>
      <c r="C379" s="2" t="s">
        <v>33</v>
      </c>
      <c r="D379" s="2" t="s">
        <v>33</v>
      </c>
      <c r="E379" s="3">
        <v>30336</v>
      </c>
      <c r="F379" s="3">
        <v>30336</v>
      </c>
      <c r="G379" s="2" t="s">
        <v>11</v>
      </c>
      <c r="H379" s="2" t="s">
        <v>577</v>
      </c>
      <c r="I379" s="2" t="s">
        <v>23</v>
      </c>
    </row>
    <row r="380" spans="1:9" ht="16" x14ac:dyDescent="0.8">
      <c r="A380" s="2" t="s">
        <v>600</v>
      </c>
      <c r="B380" s="2" t="s">
        <v>606</v>
      </c>
      <c r="C380" s="2" t="s">
        <v>607</v>
      </c>
      <c r="D380" s="2" t="s">
        <v>607</v>
      </c>
      <c r="E380" s="3">
        <v>5152</v>
      </c>
      <c r="F380" s="3">
        <v>5152</v>
      </c>
      <c r="G380" s="2" t="s">
        <v>11</v>
      </c>
      <c r="H380" s="2" t="s">
        <v>577</v>
      </c>
      <c r="I380" s="2" t="s">
        <v>23</v>
      </c>
    </row>
    <row r="381" spans="1:9" ht="16" x14ac:dyDescent="0.8">
      <c r="A381" s="2" t="s">
        <v>608</v>
      </c>
      <c r="B381" s="2" t="s">
        <v>609</v>
      </c>
      <c r="C381" s="2" t="s">
        <v>610</v>
      </c>
      <c r="D381" s="2" t="s">
        <v>610</v>
      </c>
      <c r="E381" s="3">
        <v>84440</v>
      </c>
      <c r="F381" s="3">
        <v>84440</v>
      </c>
      <c r="G381" s="2" t="s">
        <v>11</v>
      </c>
      <c r="H381" s="2" t="s">
        <v>577</v>
      </c>
      <c r="I381" s="2" t="s">
        <v>407</v>
      </c>
    </row>
    <row r="382" spans="1:9" ht="16" x14ac:dyDescent="0.8">
      <c r="A382" s="2" t="s">
        <v>608</v>
      </c>
      <c r="B382" s="2" t="s">
        <v>611</v>
      </c>
      <c r="C382" s="2" t="s">
        <v>612</v>
      </c>
      <c r="D382" s="2" t="s">
        <v>612</v>
      </c>
      <c r="E382" s="3">
        <v>35536</v>
      </c>
      <c r="F382" s="3">
        <v>35536</v>
      </c>
      <c r="G382" s="2" t="s">
        <v>11</v>
      </c>
      <c r="H382" s="2" t="s">
        <v>577</v>
      </c>
      <c r="I382" s="2" t="s">
        <v>407</v>
      </c>
    </row>
    <row r="383" spans="1:9" ht="16" x14ac:dyDescent="0.8">
      <c r="A383" s="2" t="s">
        <v>608</v>
      </c>
      <c r="B383" s="2" t="s">
        <v>613</v>
      </c>
      <c r="C383" s="2" t="s">
        <v>614</v>
      </c>
      <c r="D383" s="2" t="s">
        <v>614</v>
      </c>
      <c r="E383" s="3">
        <v>42224</v>
      </c>
      <c r="F383" s="3">
        <v>42224</v>
      </c>
      <c r="G383" s="2" t="s">
        <v>11</v>
      </c>
      <c r="H383" s="2" t="s">
        <v>577</v>
      </c>
      <c r="I383" s="2" t="s">
        <v>407</v>
      </c>
    </row>
    <row r="384" spans="1:9" ht="16" x14ac:dyDescent="0.8">
      <c r="A384" s="2" t="s">
        <v>608</v>
      </c>
      <c r="B384" s="2" t="s">
        <v>615</v>
      </c>
      <c r="C384" s="2" t="s">
        <v>616</v>
      </c>
      <c r="D384" s="2" t="s">
        <v>616</v>
      </c>
      <c r="E384" s="3">
        <v>46816</v>
      </c>
      <c r="F384" s="3">
        <v>46816</v>
      </c>
      <c r="G384" s="2" t="s">
        <v>11</v>
      </c>
      <c r="H384" s="2" t="s">
        <v>577</v>
      </c>
      <c r="I384" s="2" t="s">
        <v>407</v>
      </c>
    </row>
    <row r="385" spans="1:9" ht="16" x14ac:dyDescent="0.8">
      <c r="A385" s="2" t="s">
        <v>617</v>
      </c>
      <c r="B385" s="2" t="s">
        <v>618</v>
      </c>
      <c r="C385" s="2" t="s">
        <v>619</v>
      </c>
      <c r="D385" s="2" t="s">
        <v>619</v>
      </c>
      <c r="E385" s="3">
        <v>85000</v>
      </c>
      <c r="F385" s="3">
        <v>85000</v>
      </c>
      <c r="G385" s="2" t="s">
        <v>11</v>
      </c>
      <c r="H385" s="2" t="s">
        <v>577</v>
      </c>
      <c r="I385" s="2" t="s">
        <v>262</v>
      </c>
    </row>
    <row r="386" spans="1:9" ht="16" x14ac:dyDescent="0.8">
      <c r="A386" s="2" t="s">
        <v>620</v>
      </c>
      <c r="B386" s="2" t="s">
        <v>621</v>
      </c>
      <c r="C386" s="2" t="s">
        <v>622</v>
      </c>
      <c r="D386" s="2" t="s">
        <v>622</v>
      </c>
      <c r="E386" s="3">
        <v>47500992</v>
      </c>
      <c r="F386" s="3">
        <v>47500992</v>
      </c>
      <c r="G386" s="2" t="s">
        <v>11</v>
      </c>
      <c r="H386" s="2" t="s">
        <v>577</v>
      </c>
      <c r="I386" s="2" t="s">
        <v>23</v>
      </c>
    </row>
    <row r="387" spans="1:9" ht="16" x14ac:dyDescent="0.8">
      <c r="A387" s="2" t="s">
        <v>623</v>
      </c>
      <c r="B387" s="2" t="s">
        <v>624</v>
      </c>
      <c r="C387" s="2" t="s">
        <v>625</v>
      </c>
      <c r="D387" s="2" t="s">
        <v>625</v>
      </c>
      <c r="E387" s="3">
        <v>6090624</v>
      </c>
      <c r="F387" s="3">
        <v>6090624</v>
      </c>
      <c r="G387" s="2" t="s">
        <v>11</v>
      </c>
      <c r="H387" s="2" t="s">
        <v>515</v>
      </c>
      <c r="I387" s="2" t="s">
        <v>23</v>
      </c>
    </row>
    <row r="388" spans="1:9" ht="16" x14ac:dyDescent="0.8">
      <c r="A388" s="2" t="s">
        <v>626</v>
      </c>
      <c r="B388" s="2" t="s">
        <v>624</v>
      </c>
      <c r="C388" s="2" t="s">
        <v>625</v>
      </c>
      <c r="D388" s="2" t="s">
        <v>625</v>
      </c>
      <c r="E388" s="3">
        <v>6090624</v>
      </c>
      <c r="F388" s="3">
        <v>6090624</v>
      </c>
      <c r="G388" s="2" t="s">
        <v>11</v>
      </c>
      <c r="H388" s="2" t="s">
        <v>627</v>
      </c>
      <c r="I388" s="2" t="s">
        <v>23</v>
      </c>
    </row>
    <row r="389" spans="1:9" ht="16" x14ac:dyDescent="0.8">
      <c r="A389" s="2" t="s">
        <v>638</v>
      </c>
      <c r="B389" s="2" t="s">
        <v>639</v>
      </c>
      <c r="C389" s="2" t="s">
        <v>206</v>
      </c>
      <c r="D389" s="2" t="s">
        <v>206</v>
      </c>
      <c r="E389" s="3">
        <v>3308</v>
      </c>
      <c r="F389" s="3">
        <v>0</v>
      </c>
      <c r="G389" s="2" t="s">
        <v>11</v>
      </c>
      <c r="H389" s="2" t="s">
        <v>640</v>
      </c>
      <c r="I389" s="2" t="s">
        <v>641</v>
      </c>
    </row>
    <row r="390" spans="1:9" ht="16" x14ac:dyDescent="0.8">
      <c r="A390" s="2" t="s">
        <v>638</v>
      </c>
      <c r="B390" s="2" t="s">
        <v>642</v>
      </c>
      <c r="C390" s="2" t="s">
        <v>643</v>
      </c>
      <c r="D390" s="2" t="s">
        <v>643</v>
      </c>
      <c r="E390" s="3">
        <v>11800</v>
      </c>
      <c r="F390" s="3">
        <v>0</v>
      </c>
      <c r="G390" s="2" t="s">
        <v>11</v>
      </c>
      <c r="H390" s="2" t="s">
        <v>640</v>
      </c>
      <c r="I390" s="2" t="s">
        <v>641</v>
      </c>
    </row>
    <row r="391" spans="1:9" ht="16" x14ac:dyDescent="0.8">
      <c r="A391" s="2" t="s">
        <v>638</v>
      </c>
      <c r="B391" s="2" t="s">
        <v>644</v>
      </c>
      <c r="C391" s="2" t="s">
        <v>645</v>
      </c>
      <c r="D391" s="2" t="s">
        <v>645</v>
      </c>
      <c r="E391" s="3">
        <v>4200</v>
      </c>
      <c r="F391" s="3">
        <v>0</v>
      </c>
      <c r="G391" s="2" t="s">
        <v>11</v>
      </c>
      <c r="H391" s="2" t="s">
        <v>640</v>
      </c>
      <c r="I391" s="2" t="s">
        <v>641</v>
      </c>
    </row>
    <row r="392" spans="1:9" ht="16" x14ac:dyDescent="0.8">
      <c r="A392" s="2" t="s">
        <v>638</v>
      </c>
      <c r="B392" s="2" t="s">
        <v>646</v>
      </c>
      <c r="C392" s="2" t="s">
        <v>647</v>
      </c>
      <c r="D392" s="2" t="s">
        <v>647</v>
      </c>
      <c r="E392" s="3">
        <v>10200</v>
      </c>
      <c r="F392" s="3">
        <v>0</v>
      </c>
      <c r="G392" s="2" t="s">
        <v>11</v>
      </c>
      <c r="H392" s="2" t="s">
        <v>640</v>
      </c>
      <c r="I392" s="2" t="s">
        <v>641</v>
      </c>
    </row>
    <row r="393" spans="1:9" ht="16" x14ac:dyDescent="0.8">
      <c r="A393" s="2" t="s">
        <v>638</v>
      </c>
      <c r="B393" s="2" t="s">
        <v>648</v>
      </c>
      <c r="C393" s="2" t="s">
        <v>649</v>
      </c>
      <c r="D393" s="2" t="s">
        <v>649</v>
      </c>
      <c r="E393" s="3">
        <v>5400</v>
      </c>
      <c r="F393" s="3">
        <v>0</v>
      </c>
      <c r="G393" s="2" t="s">
        <v>11</v>
      </c>
      <c r="H393" s="2" t="s">
        <v>640</v>
      </c>
      <c r="I393" s="2" t="s">
        <v>641</v>
      </c>
    </row>
    <row r="394" spans="1:9" ht="16" x14ac:dyDescent="0.8">
      <c r="A394" s="2" t="s">
        <v>638</v>
      </c>
      <c r="B394" s="2" t="s">
        <v>650</v>
      </c>
      <c r="C394" s="2" t="s">
        <v>651</v>
      </c>
      <c r="D394" s="2" t="s">
        <v>651</v>
      </c>
      <c r="E394" s="3">
        <v>7100</v>
      </c>
      <c r="F394" s="3">
        <v>0</v>
      </c>
      <c r="G394" s="2" t="s">
        <v>11</v>
      </c>
      <c r="H394" s="2" t="s">
        <v>640</v>
      </c>
      <c r="I394" s="2" t="s">
        <v>641</v>
      </c>
    </row>
    <row r="395" spans="1:9" ht="16" x14ac:dyDescent="0.8">
      <c r="A395" s="2" t="s">
        <v>652</v>
      </c>
      <c r="B395" s="2" t="s">
        <v>442</v>
      </c>
      <c r="C395" s="2" t="s">
        <v>443</v>
      </c>
      <c r="D395" s="2" t="s">
        <v>443</v>
      </c>
      <c r="E395" s="3">
        <v>10000</v>
      </c>
      <c r="F395" s="3">
        <v>9559</v>
      </c>
      <c r="G395" s="2" t="s">
        <v>11</v>
      </c>
      <c r="H395" s="2" t="s">
        <v>640</v>
      </c>
      <c r="I395" s="2" t="s">
        <v>441</v>
      </c>
    </row>
    <row r="396" spans="1:9" ht="16" x14ac:dyDescent="0.8">
      <c r="A396" s="2" t="s">
        <v>652</v>
      </c>
      <c r="B396" s="2" t="s">
        <v>439</v>
      </c>
      <c r="C396" s="2" t="s">
        <v>440</v>
      </c>
      <c r="D396" s="2" t="s">
        <v>440</v>
      </c>
      <c r="E396" s="3">
        <v>21000</v>
      </c>
      <c r="F396" s="3">
        <v>21000</v>
      </c>
      <c r="G396" s="2" t="s">
        <v>11</v>
      </c>
      <c r="H396" s="2" t="s">
        <v>640</v>
      </c>
      <c r="I396" s="2" t="s">
        <v>441</v>
      </c>
    </row>
    <row r="397" spans="1:9" ht="16" x14ac:dyDescent="0.8">
      <c r="A397" s="2" t="s">
        <v>653</v>
      </c>
      <c r="B397" s="2" t="s">
        <v>639</v>
      </c>
      <c r="C397" s="2" t="s">
        <v>206</v>
      </c>
      <c r="D397" s="2" t="s">
        <v>206</v>
      </c>
      <c r="E397" s="3">
        <v>3308</v>
      </c>
      <c r="F397" s="3">
        <v>3308</v>
      </c>
      <c r="G397" s="2" t="s">
        <v>11</v>
      </c>
      <c r="H397" s="2" t="s">
        <v>640</v>
      </c>
      <c r="I397" s="2" t="s">
        <v>641</v>
      </c>
    </row>
    <row r="398" spans="1:9" ht="16" x14ac:dyDescent="0.8">
      <c r="A398" s="2" t="s">
        <v>653</v>
      </c>
      <c r="B398" s="2" t="s">
        <v>642</v>
      </c>
      <c r="C398" s="2" t="s">
        <v>643</v>
      </c>
      <c r="D398" s="2" t="s">
        <v>643</v>
      </c>
      <c r="E398" s="3">
        <v>11800</v>
      </c>
      <c r="F398" s="3">
        <v>11800</v>
      </c>
      <c r="G398" s="2" t="s">
        <v>11</v>
      </c>
      <c r="H398" s="2" t="s">
        <v>640</v>
      </c>
      <c r="I398" s="2" t="s">
        <v>641</v>
      </c>
    </row>
    <row r="399" spans="1:9" ht="16" x14ac:dyDescent="0.8">
      <c r="A399" s="2" t="s">
        <v>653</v>
      </c>
      <c r="B399" s="2" t="s">
        <v>644</v>
      </c>
      <c r="C399" s="2" t="s">
        <v>645</v>
      </c>
      <c r="D399" s="2" t="s">
        <v>645</v>
      </c>
      <c r="E399" s="3">
        <v>4200</v>
      </c>
      <c r="F399" s="3">
        <v>4200</v>
      </c>
      <c r="G399" s="2" t="s">
        <v>11</v>
      </c>
      <c r="H399" s="2" t="s">
        <v>640</v>
      </c>
      <c r="I399" s="2" t="s">
        <v>641</v>
      </c>
    </row>
    <row r="400" spans="1:9" ht="16" x14ac:dyDescent="0.8">
      <c r="A400" s="2" t="s">
        <v>653</v>
      </c>
      <c r="B400" s="2" t="s">
        <v>646</v>
      </c>
      <c r="C400" s="2" t="s">
        <v>647</v>
      </c>
      <c r="D400" s="2" t="s">
        <v>647</v>
      </c>
      <c r="E400" s="3">
        <v>10200</v>
      </c>
      <c r="F400" s="3">
        <v>10200</v>
      </c>
      <c r="G400" s="2" t="s">
        <v>11</v>
      </c>
      <c r="H400" s="2" t="s">
        <v>640</v>
      </c>
      <c r="I400" s="2" t="s">
        <v>641</v>
      </c>
    </row>
    <row r="401" spans="1:9" ht="16" x14ac:dyDescent="0.8">
      <c r="A401" s="2" t="s">
        <v>653</v>
      </c>
      <c r="B401" s="2" t="s">
        <v>648</v>
      </c>
      <c r="C401" s="2" t="s">
        <v>649</v>
      </c>
      <c r="D401" s="2" t="s">
        <v>649</v>
      </c>
      <c r="E401" s="3">
        <v>5400</v>
      </c>
      <c r="F401" s="3">
        <v>5400</v>
      </c>
      <c r="G401" s="2" t="s">
        <v>11</v>
      </c>
      <c r="H401" s="2" t="s">
        <v>640</v>
      </c>
      <c r="I401" s="2" t="s">
        <v>641</v>
      </c>
    </row>
    <row r="402" spans="1:9" ht="16" x14ac:dyDescent="0.8">
      <c r="A402" s="2" t="s">
        <v>653</v>
      </c>
      <c r="B402" s="2" t="s">
        <v>650</v>
      </c>
      <c r="C402" s="2" t="s">
        <v>651</v>
      </c>
      <c r="D402" s="2" t="s">
        <v>651</v>
      </c>
      <c r="E402" s="3">
        <v>7100</v>
      </c>
      <c r="F402" s="3">
        <v>7100</v>
      </c>
      <c r="G402" s="2" t="s">
        <v>11</v>
      </c>
      <c r="H402" s="2" t="s">
        <v>640</v>
      </c>
      <c r="I402" s="2" t="s">
        <v>641</v>
      </c>
    </row>
    <row r="403" spans="1:9" ht="16" x14ac:dyDescent="0.8">
      <c r="A403" s="2" t="s">
        <v>654</v>
      </c>
      <c r="B403" s="2" t="s">
        <v>639</v>
      </c>
      <c r="C403" s="2" t="s">
        <v>206</v>
      </c>
      <c r="D403" s="2" t="s">
        <v>206</v>
      </c>
      <c r="E403" s="3">
        <v>2712</v>
      </c>
      <c r="F403" s="3">
        <v>2712</v>
      </c>
      <c r="G403" s="2" t="s">
        <v>11</v>
      </c>
      <c r="H403" s="2" t="s">
        <v>640</v>
      </c>
      <c r="I403" s="2" t="s">
        <v>641</v>
      </c>
    </row>
    <row r="404" spans="1:9" ht="16" x14ac:dyDescent="0.8">
      <c r="A404" s="2" t="s">
        <v>654</v>
      </c>
      <c r="B404" s="2" t="s">
        <v>642</v>
      </c>
      <c r="C404" s="2" t="s">
        <v>643</v>
      </c>
      <c r="D404" s="2" t="s">
        <v>643</v>
      </c>
      <c r="E404" s="3">
        <v>8516</v>
      </c>
      <c r="F404" s="3">
        <v>8516</v>
      </c>
      <c r="G404" s="2" t="s">
        <v>11</v>
      </c>
      <c r="H404" s="2" t="s">
        <v>640</v>
      </c>
      <c r="I404" s="2" t="s">
        <v>641</v>
      </c>
    </row>
    <row r="405" spans="1:9" ht="16" x14ac:dyDescent="0.8">
      <c r="A405" s="2" t="s">
        <v>654</v>
      </c>
      <c r="B405" s="2" t="s">
        <v>644</v>
      </c>
      <c r="C405" s="2" t="s">
        <v>645</v>
      </c>
      <c r="D405" s="2" t="s">
        <v>645</v>
      </c>
      <c r="E405" s="3">
        <v>3324</v>
      </c>
      <c r="F405" s="3">
        <v>3324</v>
      </c>
      <c r="G405" s="2" t="s">
        <v>11</v>
      </c>
      <c r="H405" s="2" t="s">
        <v>640</v>
      </c>
      <c r="I405" s="2" t="s">
        <v>641</v>
      </c>
    </row>
    <row r="406" spans="1:9" ht="16" x14ac:dyDescent="0.8">
      <c r="A406" s="2" t="s">
        <v>654</v>
      </c>
      <c r="B406" s="2" t="s">
        <v>646</v>
      </c>
      <c r="C406" s="2" t="s">
        <v>647</v>
      </c>
      <c r="D406" s="2" t="s">
        <v>647</v>
      </c>
      <c r="E406" s="3">
        <v>8608</v>
      </c>
      <c r="F406" s="3">
        <v>8608</v>
      </c>
      <c r="G406" s="2" t="s">
        <v>11</v>
      </c>
      <c r="H406" s="2" t="s">
        <v>640</v>
      </c>
      <c r="I406" s="2" t="s">
        <v>641</v>
      </c>
    </row>
    <row r="407" spans="1:9" ht="16" x14ac:dyDescent="0.8">
      <c r="A407" s="2" t="s">
        <v>654</v>
      </c>
      <c r="B407" s="2" t="s">
        <v>648</v>
      </c>
      <c r="C407" s="2" t="s">
        <v>649</v>
      </c>
      <c r="D407" s="2" t="s">
        <v>649</v>
      </c>
      <c r="E407" s="3">
        <v>4380</v>
      </c>
      <c r="F407" s="3">
        <v>4380</v>
      </c>
      <c r="G407" s="2" t="s">
        <v>11</v>
      </c>
      <c r="H407" s="2" t="s">
        <v>640</v>
      </c>
      <c r="I407" s="2" t="s">
        <v>641</v>
      </c>
    </row>
    <row r="408" spans="1:9" ht="16" x14ac:dyDescent="0.8">
      <c r="A408" s="2" t="s">
        <v>654</v>
      </c>
      <c r="B408" s="2" t="s">
        <v>650</v>
      </c>
      <c r="C408" s="2" t="s">
        <v>651</v>
      </c>
      <c r="D408" s="2" t="s">
        <v>651</v>
      </c>
      <c r="E408" s="3">
        <v>5692</v>
      </c>
      <c r="F408" s="3">
        <v>5692</v>
      </c>
      <c r="G408" s="2" t="s">
        <v>11</v>
      </c>
      <c r="H408" s="2" t="s">
        <v>640</v>
      </c>
      <c r="I408" s="2" t="s">
        <v>641</v>
      </c>
    </row>
    <row r="409" spans="1:9" ht="16" x14ac:dyDescent="0.8">
      <c r="A409" s="2" t="s">
        <v>655</v>
      </c>
      <c r="B409" s="2" t="s">
        <v>321</v>
      </c>
      <c r="C409" s="2" t="s">
        <v>322</v>
      </c>
      <c r="D409" s="2" t="s">
        <v>322</v>
      </c>
      <c r="E409" s="3">
        <v>9090</v>
      </c>
      <c r="F409" s="3">
        <v>9090</v>
      </c>
      <c r="G409" s="2" t="s">
        <v>11</v>
      </c>
      <c r="H409" s="2" t="s">
        <v>640</v>
      </c>
      <c r="I409" s="2" t="s">
        <v>390</v>
      </c>
    </row>
    <row r="410" spans="1:9" ht="16" x14ac:dyDescent="0.8">
      <c r="A410" s="2" t="s">
        <v>656</v>
      </c>
      <c r="B410" s="2" t="s">
        <v>326</v>
      </c>
      <c r="C410" s="2" t="s">
        <v>327</v>
      </c>
      <c r="D410" s="2" t="s">
        <v>327</v>
      </c>
      <c r="E410" s="3">
        <v>52416</v>
      </c>
      <c r="F410" s="3">
        <v>52416</v>
      </c>
      <c r="G410" s="2" t="s">
        <v>11</v>
      </c>
      <c r="H410" s="2" t="s">
        <v>640</v>
      </c>
      <c r="I410" s="2" t="s">
        <v>390</v>
      </c>
    </row>
    <row r="411" spans="1:9" ht="16" x14ac:dyDescent="0.8">
      <c r="A411" s="2" t="s">
        <v>657</v>
      </c>
      <c r="B411" s="2" t="s">
        <v>658</v>
      </c>
      <c r="C411" s="2" t="s">
        <v>659</v>
      </c>
      <c r="D411" s="2" t="s">
        <v>659</v>
      </c>
      <c r="E411" s="3">
        <v>95418</v>
      </c>
      <c r="F411" s="3">
        <v>95418</v>
      </c>
      <c r="G411" s="2" t="s">
        <v>11</v>
      </c>
      <c r="H411" s="2" t="s">
        <v>660</v>
      </c>
      <c r="I411" s="2" t="s">
        <v>661</v>
      </c>
    </row>
    <row r="412" spans="1:9" ht="16" x14ac:dyDescent="0.8">
      <c r="A412" s="2" t="s">
        <v>657</v>
      </c>
      <c r="B412" s="2" t="s">
        <v>658</v>
      </c>
      <c r="C412" s="2" t="s">
        <v>659</v>
      </c>
      <c r="D412" s="2" t="s">
        <v>659</v>
      </c>
      <c r="E412" s="3">
        <v>40986</v>
      </c>
      <c r="F412" s="3">
        <v>40986</v>
      </c>
      <c r="G412" s="2" t="s">
        <v>11</v>
      </c>
      <c r="H412" s="2" t="s">
        <v>660</v>
      </c>
      <c r="I412" s="2" t="s">
        <v>661</v>
      </c>
    </row>
    <row r="413" spans="1:9" ht="16" x14ac:dyDescent="0.8">
      <c r="A413" s="2" t="s">
        <v>657</v>
      </c>
      <c r="B413" s="2" t="s">
        <v>658</v>
      </c>
      <c r="C413" s="2" t="s">
        <v>659</v>
      </c>
      <c r="D413" s="2" t="s">
        <v>659</v>
      </c>
      <c r="E413" s="3">
        <v>63612</v>
      </c>
      <c r="F413" s="3">
        <v>63612</v>
      </c>
      <c r="G413" s="2" t="s">
        <v>11</v>
      </c>
      <c r="H413" s="2" t="s">
        <v>660</v>
      </c>
      <c r="I413" s="2" t="s">
        <v>661</v>
      </c>
    </row>
    <row r="414" spans="1:9" ht="16" x14ac:dyDescent="0.8">
      <c r="A414" s="2" t="s">
        <v>662</v>
      </c>
      <c r="B414" s="2" t="s">
        <v>636</v>
      </c>
      <c r="C414" s="2" t="s">
        <v>637</v>
      </c>
      <c r="D414" s="2" t="s">
        <v>637</v>
      </c>
      <c r="E414" s="3">
        <v>9762</v>
      </c>
      <c r="F414" s="3">
        <v>9762</v>
      </c>
      <c r="G414" s="2" t="s">
        <v>11</v>
      </c>
      <c r="H414" s="2" t="s">
        <v>660</v>
      </c>
      <c r="I414" s="2" t="s">
        <v>663</v>
      </c>
    </row>
    <row r="415" spans="1:9" ht="16" x14ac:dyDescent="0.8">
      <c r="A415" s="2" t="s">
        <v>664</v>
      </c>
      <c r="B415" s="2" t="s">
        <v>665</v>
      </c>
      <c r="C415" s="2" t="s">
        <v>666</v>
      </c>
      <c r="D415" s="2" t="s">
        <v>666</v>
      </c>
      <c r="E415" s="3">
        <v>30</v>
      </c>
      <c r="F415" s="3">
        <v>30</v>
      </c>
      <c r="G415" s="2" t="s">
        <v>11</v>
      </c>
      <c r="H415" s="2" t="s">
        <v>667</v>
      </c>
      <c r="I415" s="2" t="s">
        <v>63</v>
      </c>
    </row>
    <row r="416" spans="1:9" ht="16" x14ac:dyDescent="0.8">
      <c r="A416" s="2" t="s">
        <v>668</v>
      </c>
      <c r="B416" s="2" t="s">
        <v>280</v>
      </c>
      <c r="C416" s="2" t="s">
        <v>281</v>
      </c>
      <c r="D416" s="2" t="s">
        <v>281</v>
      </c>
      <c r="E416" s="3">
        <v>39960</v>
      </c>
      <c r="F416" s="3">
        <v>39960</v>
      </c>
      <c r="G416" s="2" t="s">
        <v>11</v>
      </c>
      <c r="H416" s="2" t="s">
        <v>667</v>
      </c>
      <c r="I416" s="2" t="s">
        <v>279</v>
      </c>
    </row>
    <row r="417" spans="1:9" ht="16" x14ac:dyDescent="0.8">
      <c r="A417" s="2" t="s">
        <v>668</v>
      </c>
      <c r="B417" s="2" t="s">
        <v>346</v>
      </c>
      <c r="C417" s="2" t="s">
        <v>347</v>
      </c>
      <c r="D417" s="2" t="s">
        <v>347</v>
      </c>
      <c r="E417" s="3">
        <v>3312</v>
      </c>
      <c r="F417" s="3">
        <v>3312</v>
      </c>
      <c r="G417" s="2" t="s">
        <v>11</v>
      </c>
      <c r="H417" s="2" t="s">
        <v>667</v>
      </c>
      <c r="I417" s="2" t="s">
        <v>279</v>
      </c>
    </row>
    <row r="418" spans="1:9" ht="16" x14ac:dyDescent="0.8">
      <c r="A418" s="2" t="s">
        <v>668</v>
      </c>
      <c r="B418" s="2" t="s">
        <v>341</v>
      </c>
      <c r="C418" s="2" t="s">
        <v>342</v>
      </c>
      <c r="D418" s="2" t="s">
        <v>342</v>
      </c>
      <c r="E418" s="3">
        <v>2520</v>
      </c>
      <c r="F418" s="3">
        <v>2520</v>
      </c>
      <c r="G418" s="2" t="s">
        <v>11</v>
      </c>
      <c r="H418" s="2" t="s">
        <v>667</v>
      </c>
      <c r="I418" s="2" t="s">
        <v>279</v>
      </c>
    </row>
    <row r="419" spans="1:9" ht="16" x14ac:dyDescent="0.8">
      <c r="A419" s="2" t="s">
        <v>668</v>
      </c>
      <c r="B419" s="2" t="s">
        <v>282</v>
      </c>
      <c r="C419" s="2" t="s">
        <v>283</v>
      </c>
      <c r="D419" s="2" t="s">
        <v>283</v>
      </c>
      <c r="E419" s="3">
        <v>800</v>
      </c>
      <c r="F419" s="3">
        <v>800</v>
      </c>
      <c r="G419" s="2" t="s">
        <v>11</v>
      </c>
      <c r="H419" s="2" t="s">
        <v>667</v>
      </c>
      <c r="I419" s="2" t="s">
        <v>279</v>
      </c>
    </row>
    <row r="420" spans="1:9" ht="16" x14ac:dyDescent="0.8">
      <c r="A420" s="2" t="s">
        <v>668</v>
      </c>
      <c r="B420" s="2" t="s">
        <v>578</v>
      </c>
      <c r="C420" s="2" t="s">
        <v>579</v>
      </c>
      <c r="D420" s="2" t="s">
        <v>579</v>
      </c>
      <c r="E420" s="3">
        <v>1152</v>
      </c>
      <c r="F420" s="3">
        <v>1152</v>
      </c>
      <c r="G420" s="2" t="s">
        <v>11</v>
      </c>
      <c r="H420" s="2" t="s">
        <v>667</v>
      </c>
      <c r="I420" s="2" t="s">
        <v>279</v>
      </c>
    </row>
    <row r="421" spans="1:9" ht="16" x14ac:dyDescent="0.8">
      <c r="A421" s="2" t="s">
        <v>669</v>
      </c>
      <c r="B421" s="2" t="s">
        <v>321</v>
      </c>
      <c r="C421" s="2" t="s">
        <v>322</v>
      </c>
      <c r="D421" s="2" t="s">
        <v>322</v>
      </c>
      <c r="E421" s="3">
        <v>1</v>
      </c>
      <c r="F421" s="3">
        <v>0</v>
      </c>
      <c r="G421" s="2" t="s">
        <v>11</v>
      </c>
      <c r="H421" s="2" t="s">
        <v>670</v>
      </c>
      <c r="I421" s="2" t="s">
        <v>390</v>
      </c>
    </row>
    <row r="422" spans="1:9" ht="16" x14ac:dyDescent="0.8">
      <c r="A422" s="2" t="s">
        <v>669</v>
      </c>
      <c r="B422" s="2" t="s">
        <v>324</v>
      </c>
      <c r="C422" s="2" t="s">
        <v>325</v>
      </c>
      <c r="D422" s="2" t="s">
        <v>325</v>
      </c>
      <c r="E422" s="3">
        <v>1</v>
      </c>
      <c r="F422" s="3">
        <v>0</v>
      </c>
      <c r="G422" s="2" t="s">
        <v>11</v>
      </c>
      <c r="H422" s="2" t="s">
        <v>670</v>
      </c>
      <c r="I422" s="2" t="s">
        <v>390</v>
      </c>
    </row>
    <row r="423" spans="1:9" ht="16" x14ac:dyDescent="0.8">
      <c r="A423" s="2" t="s">
        <v>669</v>
      </c>
      <c r="B423" s="2" t="s">
        <v>671</v>
      </c>
      <c r="C423" s="2" t="s">
        <v>672</v>
      </c>
      <c r="D423" s="2" t="s">
        <v>672</v>
      </c>
      <c r="E423" s="3">
        <v>1</v>
      </c>
      <c r="F423" s="3">
        <v>0</v>
      </c>
      <c r="G423" s="2" t="s">
        <v>11</v>
      </c>
      <c r="H423" s="2" t="s">
        <v>670</v>
      </c>
      <c r="I423" s="2" t="s">
        <v>390</v>
      </c>
    </row>
    <row r="424" spans="1:9" ht="16" x14ac:dyDescent="0.8">
      <c r="A424" s="2" t="s">
        <v>669</v>
      </c>
      <c r="B424" s="2" t="s">
        <v>673</v>
      </c>
      <c r="C424" s="2" t="s">
        <v>674</v>
      </c>
      <c r="D424" s="2" t="s">
        <v>674</v>
      </c>
      <c r="E424" s="3">
        <v>1</v>
      </c>
      <c r="F424" s="3">
        <v>0</v>
      </c>
      <c r="G424" s="2" t="s">
        <v>11</v>
      </c>
      <c r="H424" s="2" t="s">
        <v>670</v>
      </c>
      <c r="I424" s="2" t="s">
        <v>390</v>
      </c>
    </row>
    <row r="425" spans="1:9" ht="16" x14ac:dyDescent="0.8">
      <c r="A425" s="2" t="s">
        <v>675</v>
      </c>
      <c r="B425" s="2" t="s">
        <v>442</v>
      </c>
      <c r="C425" s="2" t="s">
        <v>443</v>
      </c>
      <c r="D425" s="2" t="s">
        <v>443</v>
      </c>
      <c r="E425" s="3">
        <v>10000</v>
      </c>
      <c r="F425" s="3">
        <v>10000</v>
      </c>
      <c r="G425" s="2" t="s">
        <v>11</v>
      </c>
      <c r="H425" s="2" t="s">
        <v>670</v>
      </c>
      <c r="I425" s="2" t="s">
        <v>441</v>
      </c>
    </row>
    <row r="426" spans="1:9" ht="16" x14ac:dyDescent="0.8">
      <c r="A426" s="2" t="s">
        <v>675</v>
      </c>
      <c r="B426" s="2" t="s">
        <v>439</v>
      </c>
      <c r="C426" s="2" t="s">
        <v>440</v>
      </c>
      <c r="D426" s="2" t="s">
        <v>440</v>
      </c>
      <c r="E426" s="3">
        <v>21000</v>
      </c>
      <c r="F426" s="3">
        <v>21000</v>
      </c>
      <c r="G426" s="2" t="s">
        <v>11</v>
      </c>
      <c r="H426" s="2" t="s">
        <v>670</v>
      </c>
      <c r="I426" s="2" t="s">
        <v>441</v>
      </c>
    </row>
    <row r="427" spans="1:9" ht="16" x14ac:dyDescent="0.8">
      <c r="A427" s="2" t="s">
        <v>676</v>
      </c>
      <c r="B427" s="2" t="s">
        <v>677</v>
      </c>
      <c r="C427" s="2" t="s">
        <v>678</v>
      </c>
      <c r="D427" s="2" t="s">
        <v>678</v>
      </c>
      <c r="E427" s="3">
        <v>56000</v>
      </c>
      <c r="F427" s="3">
        <v>56090</v>
      </c>
      <c r="G427" s="2" t="s">
        <v>11</v>
      </c>
      <c r="H427" s="2" t="s">
        <v>670</v>
      </c>
      <c r="I427" s="2" t="s">
        <v>238</v>
      </c>
    </row>
    <row r="428" spans="1:9" ht="16" x14ac:dyDescent="0.8">
      <c r="A428" s="2" t="s">
        <v>676</v>
      </c>
      <c r="B428" s="2" t="s">
        <v>679</v>
      </c>
      <c r="C428" s="2" t="s">
        <v>680</v>
      </c>
      <c r="D428" s="2" t="s">
        <v>680</v>
      </c>
      <c r="E428" s="3">
        <v>23000</v>
      </c>
      <c r="F428" s="3">
        <v>23015</v>
      </c>
      <c r="G428" s="2" t="s">
        <v>11</v>
      </c>
      <c r="H428" s="2" t="s">
        <v>670</v>
      </c>
      <c r="I428" s="2" t="s">
        <v>238</v>
      </c>
    </row>
    <row r="429" spans="1:9" ht="16" x14ac:dyDescent="0.8">
      <c r="A429" s="2" t="s">
        <v>681</v>
      </c>
      <c r="B429" s="2" t="s">
        <v>682</v>
      </c>
      <c r="C429" s="2" t="s">
        <v>683</v>
      </c>
      <c r="D429" s="2" t="s">
        <v>683</v>
      </c>
      <c r="E429" s="3">
        <v>1</v>
      </c>
      <c r="F429" s="3">
        <v>0</v>
      </c>
      <c r="G429" s="2" t="s">
        <v>11</v>
      </c>
      <c r="H429" s="2" t="s">
        <v>670</v>
      </c>
      <c r="I429" s="2" t="s">
        <v>238</v>
      </c>
    </row>
    <row r="430" spans="1:9" ht="16" x14ac:dyDescent="0.8">
      <c r="A430" s="2" t="s">
        <v>681</v>
      </c>
      <c r="B430" s="2" t="s">
        <v>684</v>
      </c>
      <c r="C430" s="2" t="s">
        <v>685</v>
      </c>
      <c r="D430" s="2" t="s">
        <v>685</v>
      </c>
      <c r="E430" s="3">
        <v>1</v>
      </c>
      <c r="F430" s="3">
        <v>0</v>
      </c>
      <c r="G430" s="2" t="s">
        <v>11</v>
      </c>
      <c r="H430" s="2" t="s">
        <v>670</v>
      </c>
      <c r="I430" s="2" t="s">
        <v>238</v>
      </c>
    </row>
    <row r="431" spans="1:9" ht="16" x14ac:dyDescent="0.8">
      <c r="A431" s="2" t="s">
        <v>686</v>
      </c>
      <c r="B431" s="2" t="s">
        <v>687</v>
      </c>
      <c r="C431" s="2" t="s">
        <v>688</v>
      </c>
      <c r="D431" s="2" t="s">
        <v>688</v>
      </c>
      <c r="E431" s="3">
        <v>8004</v>
      </c>
      <c r="F431" s="3">
        <v>8004</v>
      </c>
      <c r="G431" s="2" t="s">
        <v>11</v>
      </c>
      <c r="H431" s="2" t="s">
        <v>689</v>
      </c>
      <c r="I431" s="2" t="s">
        <v>690</v>
      </c>
    </row>
    <row r="432" spans="1:9" ht="16" x14ac:dyDescent="0.8">
      <c r="A432" s="2" t="s">
        <v>691</v>
      </c>
      <c r="B432" s="2" t="s">
        <v>692</v>
      </c>
      <c r="C432" s="2" t="s">
        <v>693</v>
      </c>
      <c r="D432" s="2" t="s">
        <v>693</v>
      </c>
      <c r="E432" s="3">
        <v>20004</v>
      </c>
      <c r="F432" s="3">
        <v>20004</v>
      </c>
      <c r="G432" s="2" t="s">
        <v>11</v>
      </c>
      <c r="H432" s="2" t="s">
        <v>694</v>
      </c>
      <c r="I432" s="2" t="s">
        <v>695</v>
      </c>
    </row>
    <row r="433" spans="1:9" ht="16" x14ac:dyDescent="0.8">
      <c r="A433" s="2" t="s">
        <v>696</v>
      </c>
      <c r="B433" s="2" t="s">
        <v>697</v>
      </c>
      <c r="C433" s="2" t="s">
        <v>698</v>
      </c>
      <c r="D433" s="2" t="s">
        <v>698</v>
      </c>
      <c r="E433" s="3">
        <v>5702400</v>
      </c>
      <c r="F433" s="3">
        <v>5702400</v>
      </c>
      <c r="G433" s="2" t="s">
        <v>11</v>
      </c>
      <c r="H433" s="2" t="s">
        <v>694</v>
      </c>
      <c r="I433" s="2" t="s">
        <v>699</v>
      </c>
    </row>
    <row r="434" spans="1:9" ht="16" x14ac:dyDescent="0.8">
      <c r="A434" s="2" t="s">
        <v>700</v>
      </c>
      <c r="B434" s="2" t="s">
        <v>697</v>
      </c>
      <c r="C434" s="2" t="s">
        <v>698</v>
      </c>
      <c r="D434" s="2" t="s">
        <v>698</v>
      </c>
      <c r="E434" s="3">
        <v>5702400</v>
      </c>
      <c r="F434" s="3">
        <v>5702400</v>
      </c>
      <c r="G434" s="2" t="s">
        <v>11</v>
      </c>
      <c r="H434" s="2" t="s">
        <v>694</v>
      </c>
      <c r="I434" s="2" t="s">
        <v>699</v>
      </c>
    </row>
    <row r="435" spans="1:9" ht="16" x14ac:dyDescent="0.8">
      <c r="A435" s="2" t="s">
        <v>701</v>
      </c>
      <c r="B435" s="2" t="s">
        <v>697</v>
      </c>
      <c r="C435" s="2" t="s">
        <v>698</v>
      </c>
      <c r="D435" s="2" t="s">
        <v>698</v>
      </c>
      <c r="E435" s="3">
        <v>5702400</v>
      </c>
      <c r="F435" s="3">
        <v>5702400</v>
      </c>
      <c r="G435" s="2" t="s">
        <v>11</v>
      </c>
      <c r="H435" s="2" t="s">
        <v>694</v>
      </c>
      <c r="I435" s="2" t="s">
        <v>699</v>
      </c>
    </row>
    <row r="436" spans="1:9" ht="16" x14ac:dyDescent="0.8">
      <c r="A436" s="2" t="s">
        <v>702</v>
      </c>
      <c r="B436" s="2" t="s">
        <v>703</v>
      </c>
      <c r="C436" s="2" t="s">
        <v>704</v>
      </c>
      <c r="D436" s="2" t="s">
        <v>704</v>
      </c>
      <c r="E436" s="3">
        <v>5702400</v>
      </c>
      <c r="F436" s="3">
        <v>5702400</v>
      </c>
      <c r="G436" s="2" t="s">
        <v>11</v>
      </c>
      <c r="H436" s="2" t="s">
        <v>694</v>
      </c>
      <c r="I436" s="2" t="s">
        <v>699</v>
      </c>
    </row>
    <row r="437" spans="1:9" ht="16" x14ac:dyDescent="0.8">
      <c r="A437" s="2" t="s">
        <v>705</v>
      </c>
      <c r="B437" s="2" t="s">
        <v>706</v>
      </c>
      <c r="C437" s="2" t="s">
        <v>707</v>
      </c>
      <c r="D437" s="2" t="s">
        <v>707</v>
      </c>
      <c r="E437" s="3">
        <v>115500</v>
      </c>
      <c r="F437" s="3">
        <v>115500</v>
      </c>
      <c r="G437" s="2" t="s">
        <v>11</v>
      </c>
      <c r="H437" s="2" t="s">
        <v>694</v>
      </c>
      <c r="I437" s="2" t="s">
        <v>699</v>
      </c>
    </row>
    <row r="438" spans="1:9" ht="16" x14ac:dyDescent="0.8">
      <c r="A438" s="2" t="s">
        <v>708</v>
      </c>
      <c r="B438" s="2" t="s">
        <v>703</v>
      </c>
      <c r="C438" s="2" t="s">
        <v>704</v>
      </c>
      <c r="D438" s="2" t="s">
        <v>704</v>
      </c>
      <c r="E438" s="3">
        <v>1955520</v>
      </c>
      <c r="F438" s="3">
        <v>1955520</v>
      </c>
      <c r="G438" s="2" t="s">
        <v>11</v>
      </c>
      <c r="H438" s="2" t="s">
        <v>694</v>
      </c>
      <c r="I438" s="2" t="s">
        <v>699</v>
      </c>
    </row>
    <row r="439" spans="1:9" ht="16" x14ac:dyDescent="0.8">
      <c r="A439" s="2" t="s">
        <v>709</v>
      </c>
      <c r="B439" s="2" t="s">
        <v>697</v>
      </c>
      <c r="C439" s="2" t="s">
        <v>698</v>
      </c>
      <c r="D439" s="2" t="s">
        <v>698</v>
      </c>
      <c r="E439" s="3">
        <v>5702400</v>
      </c>
      <c r="F439" s="3">
        <v>5702400</v>
      </c>
      <c r="G439" s="2" t="s">
        <v>11</v>
      </c>
      <c r="H439" s="2" t="s">
        <v>694</v>
      </c>
      <c r="I439" s="2" t="s">
        <v>699</v>
      </c>
    </row>
    <row r="440" spans="1:9" ht="16" x14ac:dyDescent="0.8">
      <c r="A440" s="2" t="s">
        <v>710</v>
      </c>
      <c r="B440" s="2" t="s">
        <v>697</v>
      </c>
      <c r="C440" s="2" t="s">
        <v>698</v>
      </c>
      <c r="D440" s="2" t="s">
        <v>698</v>
      </c>
      <c r="E440" s="3">
        <v>5702400</v>
      </c>
      <c r="F440" s="3">
        <v>5702400</v>
      </c>
      <c r="G440" s="2" t="s">
        <v>11</v>
      </c>
      <c r="H440" s="2" t="s">
        <v>694</v>
      </c>
      <c r="I440" s="2" t="s">
        <v>699</v>
      </c>
    </row>
    <row r="441" spans="1:9" ht="16" x14ac:dyDescent="0.8">
      <c r="A441" s="2" t="s">
        <v>711</v>
      </c>
      <c r="B441" s="2" t="s">
        <v>697</v>
      </c>
      <c r="C441" s="2" t="s">
        <v>698</v>
      </c>
      <c r="D441" s="2" t="s">
        <v>698</v>
      </c>
      <c r="E441" s="3">
        <v>5702400</v>
      </c>
      <c r="F441" s="3">
        <v>5702400</v>
      </c>
      <c r="G441" s="2" t="s">
        <v>11</v>
      </c>
      <c r="H441" s="2" t="s">
        <v>694</v>
      </c>
      <c r="I441" s="2" t="s">
        <v>699</v>
      </c>
    </row>
    <row r="442" spans="1:9" ht="16" x14ac:dyDescent="0.8">
      <c r="A442" s="2" t="s">
        <v>712</v>
      </c>
      <c r="B442" s="2" t="s">
        <v>697</v>
      </c>
      <c r="C442" s="2" t="s">
        <v>698</v>
      </c>
      <c r="D442" s="2" t="s">
        <v>698</v>
      </c>
      <c r="E442" s="3">
        <v>4659840</v>
      </c>
      <c r="F442" s="3">
        <v>4659840</v>
      </c>
      <c r="G442" s="2" t="s">
        <v>11</v>
      </c>
      <c r="H442" s="2" t="s">
        <v>694</v>
      </c>
      <c r="I442" s="2" t="s">
        <v>699</v>
      </c>
    </row>
    <row r="443" spans="1:9" ht="16" x14ac:dyDescent="0.8">
      <c r="A443" s="2" t="s">
        <v>713</v>
      </c>
      <c r="B443" s="2" t="s">
        <v>706</v>
      </c>
      <c r="C443" s="2" t="s">
        <v>707</v>
      </c>
      <c r="D443" s="2" t="s">
        <v>707</v>
      </c>
      <c r="E443" s="3">
        <v>115500</v>
      </c>
      <c r="F443" s="3">
        <v>115500</v>
      </c>
      <c r="G443" s="2" t="s">
        <v>11</v>
      </c>
      <c r="H443" s="2" t="s">
        <v>694</v>
      </c>
      <c r="I443" s="2" t="s">
        <v>699</v>
      </c>
    </row>
    <row r="444" spans="1:9" ht="16" x14ac:dyDescent="0.8">
      <c r="A444" s="2" t="s">
        <v>714</v>
      </c>
      <c r="B444" s="2" t="s">
        <v>706</v>
      </c>
      <c r="C444" s="2" t="s">
        <v>707</v>
      </c>
      <c r="D444" s="2" t="s">
        <v>707</v>
      </c>
      <c r="E444" s="3">
        <v>115500</v>
      </c>
      <c r="F444" s="3">
        <v>115500</v>
      </c>
      <c r="G444" s="2" t="s">
        <v>11</v>
      </c>
      <c r="H444" s="2" t="s">
        <v>694</v>
      </c>
      <c r="I444" s="2" t="s">
        <v>699</v>
      </c>
    </row>
    <row r="445" spans="1:9" ht="16" x14ac:dyDescent="0.8">
      <c r="A445" s="2" t="s">
        <v>715</v>
      </c>
      <c r="B445" s="2" t="s">
        <v>706</v>
      </c>
      <c r="C445" s="2" t="s">
        <v>707</v>
      </c>
      <c r="D445" s="2" t="s">
        <v>707</v>
      </c>
      <c r="E445" s="3">
        <v>38900</v>
      </c>
      <c r="F445" s="3">
        <v>38550</v>
      </c>
      <c r="G445" s="2" t="s">
        <v>196</v>
      </c>
      <c r="H445" s="2" t="s">
        <v>694</v>
      </c>
      <c r="I445" s="2" t="s">
        <v>699</v>
      </c>
    </row>
    <row r="446" spans="1:9" ht="16" x14ac:dyDescent="0.8">
      <c r="A446" s="2" t="s">
        <v>716</v>
      </c>
      <c r="B446" s="2" t="s">
        <v>717</v>
      </c>
      <c r="C446" s="2" t="s">
        <v>718</v>
      </c>
      <c r="D446" s="2" t="s">
        <v>718</v>
      </c>
      <c r="E446" s="3">
        <v>80050</v>
      </c>
      <c r="F446" s="3">
        <v>80500</v>
      </c>
      <c r="G446" s="2" t="s">
        <v>11</v>
      </c>
      <c r="H446" s="2" t="s">
        <v>694</v>
      </c>
      <c r="I446" s="2" t="s">
        <v>699</v>
      </c>
    </row>
    <row r="447" spans="1:9" ht="16" x14ac:dyDescent="0.8">
      <c r="A447" s="2" t="s">
        <v>719</v>
      </c>
      <c r="B447" s="2" t="s">
        <v>720</v>
      </c>
      <c r="C447" s="2" t="s">
        <v>721</v>
      </c>
      <c r="D447" s="2" t="s">
        <v>721</v>
      </c>
      <c r="E447" s="3">
        <v>3002832</v>
      </c>
      <c r="F447" s="3">
        <v>3003120</v>
      </c>
      <c r="G447" s="2" t="s">
        <v>11</v>
      </c>
      <c r="H447" s="2" t="s">
        <v>694</v>
      </c>
      <c r="I447" s="2" t="s">
        <v>474</v>
      </c>
    </row>
    <row r="448" spans="1:9" ht="16" x14ac:dyDescent="0.8">
      <c r="A448" s="2" t="s">
        <v>722</v>
      </c>
      <c r="B448" s="2" t="s">
        <v>723</v>
      </c>
      <c r="C448" s="2" t="s">
        <v>724</v>
      </c>
      <c r="D448" s="2" t="s">
        <v>724</v>
      </c>
      <c r="E448" s="3">
        <v>5008</v>
      </c>
      <c r="F448" s="3">
        <v>5008</v>
      </c>
      <c r="G448" s="2" t="s">
        <v>11</v>
      </c>
      <c r="H448" s="2" t="s">
        <v>725</v>
      </c>
      <c r="I448" s="2" t="s">
        <v>726</v>
      </c>
    </row>
    <row r="449" spans="1:9" ht="16" x14ac:dyDescent="0.8">
      <c r="A449" s="2" t="s">
        <v>727</v>
      </c>
      <c r="B449" s="2" t="s">
        <v>472</v>
      </c>
      <c r="C449" s="2" t="s">
        <v>473</v>
      </c>
      <c r="D449" s="2" t="s">
        <v>473</v>
      </c>
      <c r="E449" s="3">
        <v>500256</v>
      </c>
      <c r="F449" s="3">
        <v>500256</v>
      </c>
      <c r="G449" s="2" t="s">
        <v>11</v>
      </c>
      <c r="H449" s="2" t="s">
        <v>725</v>
      </c>
      <c r="I449" s="2" t="s">
        <v>474</v>
      </c>
    </row>
    <row r="450" spans="1:9" ht="16" x14ac:dyDescent="0.8">
      <c r="A450" s="2" t="s">
        <v>728</v>
      </c>
      <c r="B450" s="2" t="s">
        <v>417</v>
      </c>
      <c r="C450" s="2" t="s">
        <v>245</v>
      </c>
      <c r="D450" s="2" t="s">
        <v>245</v>
      </c>
      <c r="E450" s="3">
        <v>45678</v>
      </c>
      <c r="F450" s="3">
        <v>45678</v>
      </c>
      <c r="G450" s="2" t="s">
        <v>11</v>
      </c>
      <c r="H450" s="2" t="s">
        <v>725</v>
      </c>
      <c r="I450" s="2" t="s">
        <v>201</v>
      </c>
    </row>
    <row r="451" spans="1:9" ht="16" x14ac:dyDescent="0.8">
      <c r="A451" s="2" t="s">
        <v>728</v>
      </c>
      <c r="B451" s="2" t="s">
        <v>418</v>
      </c>
      <c r="C451" s="2" t="s">
        <v>337</v>
      </c>
      <c r="D451" s="2" t="s">
        <v>337</v>
      </c>
      <c r="E451" s="3">
        <v>35442</v>
      </c>
      <c r="F451" s="3">
        <v>35442</v>
      </c>
      <c r="G451" s="2" t="s">
        <v>11</v>
      </c>
      <c r="H451" s="2" t="s">
        <v>725</v>
      </c>
      <c r="I451" s="2" t="s">
        <v>201</v>
      </c>
    </row>
    <row r="452" spans="1:9" ht="16" x14ac:dyDescent="0.8">
      <c r="A452" s="2" t="s">
        <v>728</v>
      </c>
      <c r="B452" s="2" t="s">
        <v>419</v>
      </c>
      <c r="C452" s="2" t="s">
        <v>241</v>
      </c>
      <c r="D452" s="2" t="s">
        <v>241</v>
      </c>
      <c r="E452" s="3">
        <v>19920</v>
      </c>
      <c r="F452" s="3">
        <v>19920</v>
      </c>
      <c r="G452" s="2" t="s">
        <v>11</v>
      </c>
      <c r="H452" s="2" t="s">
        <v>725</v>
      </c>
      <c r="I452" s="2" t="s">
        <v>201</v>
      </c>
    </row>
    <row r="453" spans="1:9" ht="16" x14ac:dyDescent="0.8">
      <c r="A453" s="2" t="s">
        <v>728</v>
      </c>
      <c r="B453" s="2" t="s">
        <v>420</v>
      </c>
      <c r="C453" s="2" t="s">
        <v>246</v>
      </c>
      <c r="D453" s="2" t="s">
        <v>246</v>
      </c>
      <c r="E453" s="3">
        <v>33942</v>
      </c>
      <c r="F453" s="3">
        <v>33942</v>
      </c>
      <c r="G453" s="2" t="s">
        <v>11</v>
      </c>
      <c r="H453" s="2" t="s">
        <v>725</v>
      </c>
      <c r="I453" s="2" t="s">
        <v>201</v>
      </c>
    </row>
    <row r="454" spans="1:9" ht="16" x14ac:dyDescent="0.8">
      <c r="A454" s="2" t="s">
        <v>728</v>
      </c>
      <c r="B454" s="2" t="s">
        <v>421</v>
      </c>
      <c r="C454" s="2" t="s">
        <v>243</v>
      </c>
      <c r="D454" s="2" t="s">
        <v>243</v>
      </c>
      <c r="E454" s="3">
        <v>86250</v>
      </c>
      <c r="F454" s="3">
        <v>86250</v>
      </c>
      <c r="G454" s="2" t="s">
        <v>11</v>
      </c>
      <c r="H454" s="2" t="s">
        <v>725</v>
      </c>
      <c r="I454" s="2" t="s">
        <v>201</v>
      </c>
    </row>
    <row r="455" spans="1:9" ht="16" x14ac:dyDescent="0.8">
      <c r="A455" s="2" t="s">
        <v>728</v>
      </c>
      <c r="B455" s="2" t="s">
        <v>422</v>
      </c>
      <c r="C455" s="2" t="s">
        <v>244</v>
      </c>
      <c r="D455" s="2" t="s">
        <v>244</v>
      </c>
      <c r="E455" s="3">
        <v>67902</v>
      </c>
      <c r="F455" s="3">
        <v>67902</v>
      </c>
      <c r="G455" s="2" t="s">
        <v>11</v>
      </c>
      <c r="H455" s="2" t="s">
        <v>725</v>
      </c>
      <c r="I455" s="2" t="s">
        <v>201</v>
      </c>
    </row>
    <row r="456" spans="1:9" ht="16" x14ac:dyDescent="0.8">
      <c r="A456" s="2" t="s">
        <v>728</v>
      </c>
      <c r="B456" s="2" t="s">
        <v>198</v>
      </c>
      <c r="C456" s="2" t="s">
        <v>199</v>
      </c>
      <c r="D456" s="2" t="s">
        <v>199</v>
      </c>
      <c r="E456" s="3">
        <v>23484</v>
      </c>
      <c r="F456" s="3">
        <v>23484</v>
      </c>
      <c r="G456" s="2" t="s">
        <v>11</v>
      </c>
      <c r="H456" s="2" t="s">
        <v>725</v>
      </c>
      <c r="I456" s="2" t="s">
        <v>201</v>
      </c>
    </row>
    <row r="457" spans="1:9" ht="16" x14ac:dyDescent="0.8">
      <c r="A457" s="2" t="s">
        <v>728</v>
      </c>
      <c r="B457" s="2" t="s">
        <v>202</v>
      </c>
      <c r="C457" s="2" t="s">
        <v>203</v>
      </c>
      <c r="D457" s="2" t="s">
        <v>203</v>
      </c>
      <c r="E457" s="3">
        <v>31824</v>
      </c>
      <c r="F457" s="3">
        <v>31824</v>
      </c>
      <c r="G457" s="2" t="s">
        <v>11</v>
      </c>
      <c r="H457" s="2" t="s">
        <v>725</v>
      </c>
      <c r="I457" s="2" t="s">
        <v>201</v>
      </c>
    </row>
    <row r="458" spans="1:9" ht="16" x14ac:dyDescent="0.8">
      <c r="A458" s="2" t="s">
        <v>729</v>
      </c>
      <c r="B458" s="2" t="s">
        <v>730</v>
      </c>
      <c r="C458" s="2" t="s">
        <v>731</v>
      </c>
      <c r="D458" s="2" t="s">
        <v>731</v>
      </c>
      <c r="E458" s="3">
        <v>5000</v>
      </c>
      <c r="F458" s="3">
        <v>5000</v>
      </c>
      <c r="G458" s="2" t="s">
        <v>11</v>
      </c>
      <c r="H458" s="2" t="s">
        <v>732</v>
      </c>
      <c r="I458" s="2" t="s">
        <v>733</v>
      </c>
    </row>
    <row r="459" spans="1:9" ht="16" x14ac:dyDescent="0.8">
      <c r="A459" s="2" t="s">
        <v>729</v>
      </c>
      <c r="B459" s="2" t="s">
        <v>734</v>
      </c>
      <c r="C459" s="2" t="s">
        <v>735</v>
      </c>
      <c r="D459" s="2" t="s">
        <v>735</v>
      </c>
      <c r="E459" s="3">
        <v>500</v>
      </c>
      <c r="F459" s="3">
        <v>500</v>
      </c>
      <c r="G459" s="2" t="s">
        <v>11</v>
      </c>
      <c r="H459" s="2" t="s">
        <v>732</v>
      </c>
      <c r="I459" s="2" t="s">
        <v>733</v>
      </c>
    </row>
    <row r="460" spans="1:9" ht="16" x14ac:dyDescent="0.8">
      <c r="A460" s="2" t="s">
        <v>736</v>
      </c>
      <c r="B460" s="2" t="s">
        <v>737</v>
      </c>
      <c r="C460" s="2" t="s">
        <v>738</v>
      </c>
      <c r="D460" s="2" t="s">
        <v>738</v>
      </c>
      <c r="E460" s="3">
        <v>4008</v>
      </c>
      <c r="F460" s="3">
        <v>4008</v>
      </c>
      <c r="G460" s="2" t="s">
        <v>11</v>
      </c>
      <c r="H460" s="2" t="s">
        <v>725</v>
      </c>
      <c r="I460" s="2" t="s">
        <v>739</v>
      </c>
    </row>
    <row r="461" spans="1:9" ht="16" x14ac:dyDescent="0.8">
      <c r="A461" s="2" t="s">
        <v>740</v>
      </c>
      <c r="B461" s="2" t="s">
        <v>741</v>
      </c>
      <c r="C461" s="2" t="s">
        <v>742</v>
      </c>
      <c r="D461" s="2" t="s">
        <v>742</v>
      </c>
      <c r="E461" s="3">
        <v>9156</v>
      </c>
      <c r="F461" s="3">
        <v>9156</v>
      </c>
      <c r="G461" s="2" t="s">
        <v>11</v>
      </c>
      <c r="H461" s="2" t="s">
        <v>732</v>
      </c>
      <c r="I461" s="2" t="s">
        <v>743</v>
      </c>
    </row>
    <row r="462" spans="1:9" ht="16" x14ac:dyDescent="0.8">
      <c r="A462" s="2" t="s">
        <v>744</v>
      </c>
      <c r="B462" s="2" t="s">
        <v>745</v>
      </c>
      <c r="C462" s="2" t="s">
        <v>746</v>
      </c>
      <c r="D462" s="2" t="s">
        <v>746</v>
      </c>
      <c r="E462" s="3">
        <v>9168</v>
      </c>
      <c r="F462" s="3">
        <v>9168</v>
      </c>
      <c r="G462" s="2" t="s">
        <v>11</v>
      </c>
      <c r="H462" s="2" t="s">
        <v>732</v>
      </c>
      <c r="I462" s="2" t="s">
        <v>747</v>
      </c>
    </row>
    <row r="463" spans="1:9" ht="16" x14ac:dyDescent="0.8">
      <c r="A463" s="2" t="s">
        <v>748</v>
      </c>
      <c r="B463" s="2" t="s">
        <v>749</v>
      </c>
      <c r="C463" s="2" t="s">
        <v>750</v>
      </c>
      <c r="D463" s="2" t="s">
        <v>750</v>
      </c>
      <c r="E463" s="3">
        <v>802512</v>
      </c>
      <c r="F463" s="3">
        <v>802512</v>
      </c>
      <c r="G463" s="2" t="s">
        <v>11</v>
      </c>
      <c r="H463" s="2" t="s">
        <v>732</v>
      </c>
      <c r="I463" s="2" t="s">
        <v>474</v>
      </c>
    </row>
    <row r="464" spans="1:9" ht="16" x14ac:dyDescent="0.8">
      <c r="A464" s="2" t="s">
        <v>751</v>
      </c>
      <c r="B464" s="2" t="s">
        <v>752</v>
      </c>
      <c r="C464" s="2" t="s">
        <v>753</v>
      </c>
      <c r="D464" s="2" t="s">
        <v>753</v>
      </c>
      <c r="E464" s="3">
        <v>699840</v>
      </c>
      <c r="F464" s="3">
        <v>699840</v>
      </c>
      <c r="G464" s="2" t="s">
        <v>11</v>
      </c>
      <c r="H464" s="2" t="s">
        <v>732</v>
      </c>
      <c r="I464" s="2" t="s">
        <v>474</v>
      </c>
    </row>
    <row r="465" spans="1:9" ht="16" x14ac:dyDescent="0.8">
      <c r="A465" s="2" t="s">
        <v>754</v>
      </c>
      <c r="B465" s="2" t="s">
        <v>442</v>
      </c>
      <c r="C465" s="2" t="s">
        <v>443</v>
      </c>
      <c r="D465" s="2" t="s">
        <v>443</v>
      </c>
      <c r="E465" s="3">
        <v>10002</v>
      </c>
      <c r="F465" s="3">
        <v>0</v>
      </c>
      <c r="G465" s="2" t="s">
        <v>11</v>
      </c>
      <c r="H465" s="2" t="s">
        <v>732</v>
      </c>
      <c r="I465" s="2" t="s">
        <v>441</v>
      </c>
    </row>
    <row r="466" spans="1:9" ht="16" x14ac:dyDescent="0.8">
      <c r="A466" s="2" t="s">
        <v>754</v>
      </c>
      <c r="B466" s="2" t="s">
        <v>439</v>
      </c>
      <c r="C466" s="2" t="s">
        <v>440</v>
      </c>
      <c r="D466" s="2" t="s">
        <v>440</v>
      </c>
      <c r="E466" s="3">
        <v>21000</v>
      </c>
      <c r="F466" s="3">
        <v>0</v>
      </c>
      <c r="G466" s="2" t="s">
        <v>11</v>
      </c>
      <c r="H466" s="2" t="s">
        <v>732</v>
      </c>
      <c r="I466" s="2" t="s">
        <v>441</v>
      </c>
    </row>
    <row r="467" spans="1:9" ht="16" x14ac:dyDescent="0.8">
      <c r="A467" s="2" t="s">
        <v>755</v>
      </c>
      <c r="B467" s="2" t="s">
        <v>756</v>
      </c>
      <c r="C467" s="2" t="s">
        <v>757</v>
      </c>
      <c r="D467" s="2" t="s">
        <v>757</v>
      </c>
      <c r="E467" s="3">
        <v>4867200</v>
      </c>
      <c r="F467" s="3">
        <v>4867200</v>
      </c>
      <c r="G467" s="2" t="s">
        <v>11</v>
      </c>
      <c r="H467" s="2" t="s">
        <v>732</v>
      </c>
      <c r="I467" s="2" t="s">
        <v>758</v>
      </c>
    </row>
    <row r="468" spans="1:9" ht="16" x14ac:dyDescent="0.8">
      <c r="A468" s="2" t="s">
        <v>759</v>
      </c>
      <c r="B468" s="2" t="s">
        <v>760</v>
      </c>
      <c r="C468" s="2" t="s">
        <v>761</v>
      </c>
      <c r="D468" s="2" t="s">
        <v>761</v>
      </c>
      <c r="E468" s="3">
        <v>92400</v>
      </c>
      <c r="F468" s="3">
        <v>92400</v>
      </c>
      <c r="G468" s="2" t="s">
        <v>11</v>
      </c>
      <c r="H468" s="2" t="s">
        <v>732</v>
      </c>
      <c r="I468" s="2" t="s">
        <v>762</v>
      </c>
    </row>
    <row r="469" spans="1:9" ht="16" x14ac:dyDescent="0.8">
      <c r="A469" s="2" t="s">
        <v>763</v>
      </c>
      <c r="B469" s="2" t="s">
        <v>764</v>
      </c>
      <c r="C469" s="2" t="s">
        <v>765</v>
      </c>
      <c r="D469" s="2" t="s">
        <v>765</v>
      </c>
      <c r="E469" s="3">
        <v>2872</v>
      </c>
      <c r="F469" s="3">
        <v>2872</v>
      </c>
      <c r="G469" s="2" t="s">
        <v>11</v>
      </c>
      <c r="H469" s="2" t="s">
        <v>732</v>
      </c>
      <c r="I469" s="2" t="s">
        <v>256</v>
      </c>
    </row>
    <row r="470" spans="1:9" ht="16" x14ac:dyDescent="0.8">
      <c r="A470" s="2" t="s">
        <v>766</v>
      </c>
      <c r="B470" s="2" t="s">
        <v>767</v>
      </c>
      <c r="C470" s="2" t="s">
        <v>768</v>
      </c>
      <c r="D470" s="2" t="s">
        <v>768</v>
      </c>
      <c r="E470" s="3">
        <v>30625</v>
      </c>
      <c r="F470" s="3">
        <v>30645</v>
      </c>
      <c r="G470" s="2" t="s">
        <v>11</v>
      </c>
      <c r="H470" s="2" t="s">
        <v>732</v>
      </c>
      <c r="I470" s="2" t="s">
        <v>238</v>
      </c>
    </row>
    <row r="471" spans="1:9" ht="16" x14ac:dyDescent="0.8">
      <c r="A471" s="2" t="s">
        <v>766</v>
      </c>
      <c r="B471" s="2" t="s">
        <v>769</v>
      </c>
      <c r="C471" s="2" t="s">
        <v>770</v>
      </c>
      <c r="D471" s="2" t="s">
        <v>770</v>
      </c>
      <c r="E471" s="3">
        <v>9500</v>
      </c>
      <c r="F471" s="3">
        <v>9540</v>
      </c>
      <c r="G471" s="2" t="s">
        <v>11</v>
      </c>
      <c r="H471" s="2" t="s">
        <v>732</v>
      </c>
      <c r="I471" s="2" t="s">
        <v>238</v>
      </c>
    </row>
    <row r="472" spans="1:9" ht="16" x14ac:dyDescent="0.8">
      <c r="A472" s="2" t="s">
        <v>766</v>
      </c>
      <c r="B472" s="2" t="s">
        <v>677</v>
      </c>
      <c r="C472" s="2" t="s">
        <v>678</v>
      </c>
      <c r="D472" s="2" t="s">
        <v>678</v>
      </c>
      <c r="E472" s="3">
        <v>29000</v>
      </c>
      <c r="F472" s="3">
        <v>29035</v>
      </c>
      <c r="G472" s="2" t="s">
        <v>11</v>
      </c>
      <c r="H472" s="2" t="s">
        <v>732</v>
      </c>
      <c r="I472" s="2" t="s">
        <v>238</v>
      </c>
    </row>
    <row r="473" spans="1:9" ht="16" x14ac:dyDescent="0.8">
      <c r="A473" s="2" t="s">
        <v>766</v>
      </c>
      <c r="B473" s="2" t="s">
        <v>679</v>
      </c>
      <c r="C473" s="2" t="s">
        <v>680</v>
      </c>
      <c r="D473" s="2" t="s">
        <v>680</v>
      </c>
      <c r="E473" s="3">
        <v>12680</v>
      </c>
      <c r="F473" s="3">
        <v>12680</v>
      </c>
      <c r="G473" s="2" t="s">
        <v>11</v>
      </c>
      <c r="H473" s="2" t="s">
        <v>732</v>
      </c>
      <c r="I473" s="2" t="s">
        <v>238</v>
      </c>
    </row>
    <row r="474" spans="1:9" ht="16" x14ac:dyDescent="0.8">
      <c r="A474" s="2" t="s">
        <v>771</v>
      </c>
      <c r="B474" s="2" t="s">
        <v>682</v>
      </c>
      <c r="C474" s="2" t="s">
        <v>683</v>
      </c>
      <c r="D474" s="2" t="s">
        <v>683</v>
      </c>
      <c r="E474" s="3">
        <v>1</v>
      </c>
      <c r="F474" s="3">
        <v>0</v>
      </c>
      <c r="G474" s="2" t="s">
        <v>11</v>
      </c>
      <c r="H474" s="2" t="s">
        <v>732</v>
      </c>
      <c r="I474" s="2" t="s">
        <v>238</v>
      </c>
    </row>
    <row r="475" spans="1:9" ht="16" x14ac:dyDescent="0.8">
      <c r="A475" s="2" t="s">
        <v>771</v>
      </c>
      <c r="B475" s="2" t="s">
        <v>684</v>
      </c>
      <c r="C475" s="2" t="s">
        <v>685</v>
      </c>
      <c r="D475" s="2" t="s">
        <v>685</v>
      </c>
      <c r="E475" s="3">
        <v>1</v>
      </c>
      <c r="F475" s="3">
        <v>0</v>
      </c>
      <c r="G475" s="2" t="s">
        <v>11</v>
      </c>
      <c r="H475" s="2" t="s">
        <v>732</v>
      </c>
      <c r="I475" s="2" t="s">
        <v>238</v>
      </c>
    </row>
    <row r="476" spans="1:9" ht="16" x14ac:dyDescent="0.8">
      <c r="A476" s="2" t="s">
        <v>766</v>
      </c>
      <c r="B476" s="2" t="s">
        <v>684</v>
      </c>
      <c r="C476" s="2" t="s">
        <v>685</v>
      </c>
      <c r="D476" s="2" t="s">
        <v>685</v>
      </c>
      <c r="E476" s="3">
        <v>18810</v>
      </c>
      <c r="F476" s="3">
        <v>18900</v>
      </c>
      <c r="G476" s="2" t="s">
        <v>11</v>
      </c>
      <c r="H476" s="2" t="s">
        <v>732</v>
      </c>
      <c r="I476" s="2" t="s">
        <v>238</v>
      </c>
    </row>
    <row r="477" spans="1:9" ht="16" x14ac:dyDescent="0.8">
      <c r="A477" s="2" t="s">
        <v>676</v>
      </c>
      <c r="B477" s="2" t="s">
        <v>767</v>
      </c>
      <c r="C477" s="2" t="s">
        <v>768</v>
      </c>
      <c r="D477" s="2" t="s">
        <v>768</v>
      </c>
      <c r="E477" s="3">
        <v>20000</v>
      </c>
      <c r="F477" s="3">
        <v>19995</v>
      </c>
      <c r="G477" s="2" t="s">
        <v>11</v>
      </c>
      <c r="H477" s="2" t="s">
        <v>670</v>
      </c>
      <c r="I477" s="2" t="s">
        <v>238</v>
      </c>
    </row>
    <row r="478" spans="1:9" ht="16" x14ac:dyDescent="0.8">
      <c r="A478" s="2" t="s">
        <v>676</v>
      </c>
      <c r="B478" s="2" t="s">
        <v>684</v>
      </c>
      <c r="C478" s="2" t="s">
        <v>685</v>
      </c>
      <c r="D478" s="2" t="s">
        <v>685</v>
      </c>
      <c r="E478" s="3">
        <v>19000</v>
      </c>
      <c r="F478" s="3">
        <v>19000</v>
      </c>
      <c r="G478" s="2" t="s">
        <v>11</v>
      </c>
      <c r="H478" s="2" t="s">
        <v>670</v>
      </c>
      <c r="I478" s="2" t="s">
        <v>238</v>
      </c>
    </row>
    <row r="479" spans="1:9" ht="16" x14ac:dyDescent="0.8">
      <c r="A479" s="2" t="s">
        <v>772</v>
      </c>
      <c r="B479" s="2" t="s">
        <v>773</v>
      </c>
      <c r="C479" s="2" t="s">
        <v>774</v>
      </c>
      <c r="D479" s="2" t="s">
        <v>774</v>
      </c>
      <c r="E479" s="3">
        <v>30000</v>
      </c>
      <c r="F479" s="3">
        <v>30000</v>
      </c>
      <c r="G479" s="2" t="s">
        <v>11</v>
      </c>
      <c r="H479" s="2" t="s">
        <v>732</v>
      </c>
      <c r="I479" s="2" t="s">
        <v>238</v>
      </c>
    </row>
    <row r="480" spans="1:9" ht="16" x14ac:dyDescent="0.8">
      <c r="A480" s="2" t="s">
        <v>772</v>
      </c>
      <c r="B480" s="2" t="s">
        <v>684</v>
      </c>
      <c r="C480" s="2" t="s">
        <v>685</v>
      </c>
      <c r="D480" s="2" t="s">
        <v>685</v>
      </c>
      <c r="E480" s="3">
        <v>36000</v>
      </c>
      <c r="F480" s="3">
        <v>36000</v>
      </c>
      <c r="G480" s="2" t="s">
        <v>11</v>
      </c>
      <c r="H480" s="2" t="s">
        <v>732</v>
      </c>
      <c r="I480" s="2" t="s">
        <v>238</v>
      </c>
    </row>
    <row r="481" spans="1:9" ht="16" x14ac:dyDescent="0.8">
      <c r="A481" s="2" t="s">
        <v>775</v>
      </c>
      <c r="B481" s="2" t="s">
        <v>752</v>
      </c>
      <c r="C481" s="2" t="s">
        <v>753</v>
      </c>
      <c r="D481" s="2" t="s">
        <v>753</v>
      </c>
      <c r="E481" s="3">
        <v>2002032</v>
      </c>
      <c r="F481" s="3">
        <v>2002032</v>
      </c>
      <c r="G481" s="2" t="s">
        <v>11</v>
      </c>
      <c r="H481" s="2" t="s">
        <v>776</v>
      </c>
      <c r="I481" s="2" t="s">
        <v>474</v>
      </c>
    </row>
    <row r="482" spans="1:9" ht="16" x14ac:dyDescent="0.8">
      <c r="A482" s="2" t="s">
        <v>777</v>
      </c>
      <c r="B482" s="2" t="s">
        <v>326</v>
      </c>
      <c r="C482" s="2" t="s">
        <v>327</v>
      </c>
      <c r="D482" s="2" t="s">
        <v>327</v>
      </c>
      <c r="E482" s="3">
        <v>27128</v>
      </c>
      <c r="F482" s="3">
        <v>27128</v>
      </c>
      <c r="G482" s="2" t="s">
        <v>11</v>
      </c>
      <c r="H482" s="2" t="s">
        <v>776</v>
      </c>
      <c r="I482" s="2" t="s">
        <v>390</v>
      </c>
    </row>
    <row r="483" spans="1:9" ht="16" x14ac:dyDescent="0.8">
      <c r="A483" s="2" t="s">
        <v>778</v>
      </c>
      <c r="B483" s="2" t="s">
        <v>321</v>
      </c>
      <c r="C483" s="2" t="s">
        <v>322</v>
      </c>
      <c r="D483" s="2" t="s">
        <v>322</v>
      </c>
      <c r="E483" s="3">
        <v>25056</v>
      </c>
      <c r="F483" s="3">
        <v>25056</v>
      </c>
      <c r="G483" s="2" t="s">
        <v>11</v>
      </c>
      <c r="H483" s="2" t="s">
        <v>776</v>
      </c>
      <c r="I483" s="2" t="s">
        <v>390</v>
      </c>
    </row>
    <row r="484" spans="1:9" ht="16" x14ac:dyDescent="0.8">
      <c r="A484" s="2" t="s">
        <v>782</v>
      </c>
      <c r="B484" s="2" t="s">
        <v>513</v>
      </c>
      <c r="C484" s="2" t="s">
        <v>514</v>
      </c>
      <c r="D484" s="2" t="s">
        <v>514</v>
      </c>
      <c r="E484" s="3">
        <v>38502</v>
      </c>
      <c r="F484" s="3">
        <v>33786</v>
      </c>
      <c r="G484" s="2" t="s">
        <v>11</v>
      </c>
      <c r="H484" s="2" t="s">
        <v>781</v>
      </c>
      <c r="I484" s="2" t="s">
        <v>783</v>
      </c>
    </row>
    <row r="485" spans="1:9" ht="16" x14ac:dyDescent="0.8">
      <c r="A485" s="2" t="s">
        <v>784</v>
      </c>
      <c r="B485" s="2" t="s">
        <v>752</v>
      </c>
      <c r="C485" s="2" t="s">
        <v>753</v>
      </c>
      <c r="D485" s="2" t="s">
        <v>753</v>
      </c>
      <c r="E485" s="3">
        <v>720000</v>
      </c>
      <c r="F485" s="3">
        <v>720000</v>
      </c>
      <c r="G485" s="2" t="s">
        <v>11</v>
      </c>
      <c r="H485" s="2" t="s">
        <v>785</v>
      </c>
      <c r="I485" s="2" t="s">
        <v>474</v>
      </c>
    </row>
    <row r="486" spans="1:9" ht="16" x14ac:dyDescent="0.8">
      <c r="A486" s="2" t="s">
        <v>787</v>
      </c>
      <c r="B486" s="2" t="s">
        <v>788</v>
      </c>
      <c r="C486" s="2" t="s">
        <v>789</v>
      </c>
      <c r="D486" s="2" t="s">
        <v>789</v>
      </c>
      <c r="E486" s="3">
        <v>4000176</v>
      </c>
      <c r="F486" s="3">
        <v>4000176</v>
      </c>
      <c r="G486" s="2" t="s">
        <v>11</v>
      </c>
      <c r="H486" s="2" t="s">
        <v>790</v>
      </c>
      <c r="I486" s="2" t="s">
        <v>474</v>
      </c>
    </row>
    <row r="487" spans="1:9" ht="16" x14ac:dyDescent="0.8">
      <c r="A487" s="2" t="s">
        <v>791</v>
      </c>
      <c r="B487" s="2" t="s">
        <v>792</v>
      </c>
      <c r="C487" s="2" t="s">
        <v>793</v>
      </c>
      <c r="D487" s="2" t="s">
        <v>793</v>
      </c>
      <c r="E487" s="3">
        <v>720128</v>
      </c>
      <c r="F487" s="3">
        <v>720128</v>
      </c>
      <c r="G487" s="2" t="s">
        <v>11</v>
      </c>
      <c r="H487" s="2" t="s">
        <v>790</v>
      </c>
      <c r="I487" s="2" t="s">
        <v>794</v>
      </c>
    </row>
    <row r="488" spans="1:9" ht="16" x14ac:dyDescent="0.8">
      <c r="A488" s="2" t="s">
        <v>795</v>
      </c>
      <c r="B488" s="2" t="s">
        <v>796</v>
      </c>
      <c r="C488" s="2" t="s">
        <v>797</v>
      </c>
      <c r="D488" s="2" t="s">
        <v>797</v>
      </c>
      <c r="E488" s="3">
        <v>3345408</v>
      </c>
      <c r="F488" s="3">
        <v>3345408</v>
      </c>
      <c r="G488" s="2" t="s">
        <v>11</v>
      </c>
      <c r="H488" s="2" t="s">
        <v>798</v>
      </c>
      <c r="I488" s="2" t="s">
        <v>699</v>
      </c>
    </row>
    <row r="489" spans="1:9" ht="16" x14ac:dyDescent="0.8">
      <c r="A489" s="2" t="s">
        <v>799</v>
      </c>
      <c r="B489" s="2" t="s">
        <v>796</v>
      </c>
      <c r="C489" s="2" t="s">
        <v>797</v>
      </c>
      <c r="D489" s="2" t="s">
        <v>797</v>
      </c>
      <c r="E489" s="3">
        <v>3345408</v>
      </c>
      <c r="F489" s="3">
        <v>3345408</v>
      </c>
      <c r="G489" s="2" t="s">
        <v>11</v>
      </c>
      <c r="H489" s="2" t="s">
        <v>798</v>
      </c>
      <c r="I489" s="2" t="s">
        <v>699</v>
      </c>
    </row>
    <row r="490" spans="1:9" ht="16" x14ac:dyDescent="0.8">
      <c r="A490" s="2" t="s">
        <v>800</v>
      </c>
      <c r="B490" s="2" t="s">
        <v>796</v>
      </c>
      <c r="C490" s="2" t="s">
        <v>797</v>
      </c>
      <c r="D490" s="2" t="s">
        <v>797</v>
      </c>
      <c r="E490" s="3">
        <v>3345408</v>
      </c>
      <c r="F490" s="3">
        <v>3345408</v>
      </c>
      <c r="G490" s="2" t="s">
        <v>11</v>
      </c>
      <c r="H490" s="2" t="s">
        <v>798</v>
      </c>
      <c r="I490" s="2" t="s">
        <v>699</v>
      </c>
    </row>
    <row r="491" spans="1:9" ht="16" x14ac:dyDescent="0.8">
      <c r="A491" s="2" t="s">
        <v>801</v>
      </c>
      <c r="B491" s="2" t="s">
        <v>796</v>
      </c>
      <c r="C491" s="2" t="s">
        <v>797</v>
      </c>
      <c r="D491" s="2" t="s">
        <v>797</v>
      </c>
      <c r="E491" s="3">
        <v>3345408</v>
      </c>
      <c r="F491" s="3">
        <v>3345408</v>
      </c>
      <c r="G491" s="2" t="s">
        <v>11</v>
      </c>
      <c r="H491" s="2" t="s">
        <v>798</v>
      </c>
      <c r="I491" s="2" t="s">
        <v>699</v>
      </c>
    </row>
    <row r="492" spans="1:9" ht="16" x14ac:dyDescent="0.8">
      <c r="A492" s="2" t="s">
        <v>802</v>
      </c>
      <c r="B492" s="2" t="s">
        <v>796</v>
      </c>
      <c r="C492" s="2" t="s">
        <v>797</v>
      </c>
      <c r="D492" s="2" t="s">
        <v>797</v>
      </c>
      <c r="E492" s="3">
        <v>3345408</v>
      </c>
      <c r="F492" s="3">
        <v>3345408</v>
      </c>
      <c r="G492" s="2" t="s">
        <v>11</v>
      </c>
      <c r="H492" s="2" t="s">
        <v>798</v>
      </c>
      <c r="I492" s="2" t="s">
        <v>699</v>
      </c>
    </row>
    <row r="493" spans="1:9" ht="16" x14ac:dyDescent="0.8">
      <c r="A493" s="2" t="s">
        <v>803</v>
      </c>
      <c r="B493" s="2" t="s">
        <v>796</v>
      </c>
      <c r="C493" s="2" t="s">
        <v>797</v>
      </c>
      <c r="D493" s="2" t="s">
        <v>797</v>
      </c>
      <c r="E493" s="3">
        <v>3345408</v>
      </c>
      <c r="F493" s="3">
        <v>3345408</v>
      </c>
      <c r="G493" s="2" t="s">
        <v>11</v>
      </c>
      <c r="H493" s="2" t="s">
        <v>798</v>
      </c>
      <c r="I493" s="2" t="s">
        <v>699</v>
      </c>
    </row>
    <row r="494" spans="1:9" ht="16" x14ac:dyDescent="0.8">
      <c r="A494" s="2" t="s">
        <v>804</v>
      </c>
      <c r="B494" s="2" t="s">
        <v>796</v>
      </c>
      <c r="C494" s="2" t="s">
        <v>797</v>
      </c>
      <c r="D494" s="2" t="s">
        <v>797</v>
      </c>
      <c r="E494" s="3">
        <v>3345408</v>
      </c>
      <c r="F494" s="3">
        <v>3345408</v>
      </c>
      <c r="G494" s="2" t="s">
        <v>11</v>
      </c>
      <c r="H494" s="2" t="s">
        <v>798</v>
      </c>
      <c r="I494" s="2" t="s">
        <v>699</v>
      </c>
    </row>
    <row r="495" spans="1:9" ht="16" x14ac:dyDescent="0.8">
      <c r="A495" s="2" t="s">
        <v>805</v>
      </c>
      <c r="B495" s="2" t="s">
        <v>796</v>
      </c>
      <c r="C495" s="2" t="s">
        <v>797</v>
      </c>
      <c r="D495" s="2" t="s">
        <v>797</v>
      </c>
      <c r="E495" s="3">
        <v>3345408</v>
      </c>
      <c r="F495" s="3">
        <v>3345408</v>
      </c>
      <c r="G495" s="2" t="s">
        <v>11</v>
      </c>
      <c r="H495" s="2" t="s">
        <v>798</v>
      </c>
      <c r="I495" s="2" t="s">
        <v>699</v>
      </c>
    </row>
    <row r="496" spans="1:9" ht="16" x14ac:dyDescent="0.8">
      <c r="A496" s="2" t="s">
        <v>806</v>
      </c>
      <c r="B496" s="2" t="s">
        <v>796</v>
      </c>
      <c r="C496" s="2" t="s">
        <v>797</v>
      </c>
      <c r="D496" s="2" t="s">
        <v>797</v>
      </c>
      <c r="E496" s="3">
        <v>3345408</v>
      </c>
      <c r="F496" s="3">
        <v>3345408</v>
      </c>
      <c r="G496" s="2" t="s">
        <v>11</v>
      </c>
      <c r="H496" s="2" t="s">
        <v>798</v>
      </c>
      <c r="I496" s="2" t="s">
        <v>699</v>
      </c>
    </row>
    <row r="497" spans="1:9" ht="16" x14ac:dyDescent="0.8">
      <c r="A497" s="2" t="s">
        <v>807</v>
      </c>
      <c r="B497" s="2" t="s">
        <v>796</v>
      </c>
      <c r="C497" s="2" t="s">
        <v>797</v>
      </c>
      <c r="D497" s="2" t="s">
        <v>797</v>
      </c>
      <c r="E497" s="3">
        <v>3345408</v>
      </c>
      <c r="F497" s="3">
        <v>3345408</v>
      </c>
      <c r="G497" s="2" t="s">
        <v>11</v>
      </c>
      <c r="H497" s="2" t="s">
        <v>798</v>
      </c>
      <c r="I497" s="2" t="s">
        <v>699</v>
      </c>
    </row>
    <row r="498" spans="1:9" ht="16" x14ac:dyDescent="0.8">
      <c r="A498" s="2" t="s">
        <v>808</v>
      </c>
      <c r="B498" s="2" t="s">
        <v>796</v>
      </c>
      <c r="C498" s="2" t="s">
        <v>797</v>
      </c>
      <c r="D498" s="2" t="s">
        <v>797</v>
      </c>
      <c r="E498" s="3">
        <v>3345408</v>
      </c>
      <c r="F498" s="3">
        <v>3345408</v>
      </c>
      <c r="G498" s="2" t="s">
        <v>196</v>
      </c>
      <c r="H498" s="2" t="s">
        <v>798</v>
      </c>
      <c r="I498" s="2" t="s">
        <v>699</v>
      </c>
    </row>
    <row r="499" spans="1:9" ht="16" x14ac:dyDescent="0.8">
      <c r="A499" s="2" t="s">
        <v>809</v>
      </c>
      <c r="B499" s="2" t="s">
        <v>796</v>
      </c>
      <c r="C499" s="2" t="s">
        <v>797</v>
      </c>
      <c r="D499" s="2" t="s">
        <v>797</v>
      </c>
      <c r="E499" s="3">
        <v>3345408</v>
      </c>
      <c r="F499" s="3">
        <v>3345408</v>
      </c>
      <c r="G499" s="2" t="s">
        <v>11</v>
      </c>
      <c r="H499" s="2" t="s">
        <v>798</v>
      </c>
      <c r="I499" s="2" t="s">
        <v>699</v>
      </c>
    </row>
    <row r="500" spans="1:9" ht="16" x14ac:dyDescent="0.8">
      <c r="A500" s="2" t="s">
        <v>810</v>
      </c>
      <c r="B500" s="2" t="s">
        <v>796</v>
      </c>
      <c r="C500" s="2" t="s">
        <v>797</v>
      </c>
      <c r="D500" s="2" t="s">
        <v>797</v>
      </c>
      <c r="E500" s="3">
        <v>3345408</v>
      </c>
      <c r="F500" s="3">
        <v>3345408</v>
      </c>
      <c r="G500" s="2" t="s">
        <v>196</v>
      </c>
      <c r="H500" s="2" t="s">
        <v>798</v>
      </c>
      <c r="I500" s="2" t="s">
        <v>699</v>
      </c>
    </row>
    <row r="501" spans="1:9" ht="16" x14ac:dyDescent="0.8">
      <c r="A501" s="2" t="s">
        <v>811</v>
      </c>
      <c r="B501" s="2" t="s">
        <v>796</v>
      </c>
      <c r="C501" s="2" t="s">
        <v>797</v>
      </c>
      <c r="D501" s="2" t="s">
        <v>797</v>
      </c>
      <c r="E501" s="3">
        <v>3345408</v>
      </c>
      <c r="F501" s="3">
        <v>3345408</v>
      </c>
      <c r="G501" s="2" t="s">
        <v>11</v>
      </c>
      <c r="H501" s="2" t="s">
        <v>798</v>
      </c>
      <c r="I501" s="2" t="s">
        <v>699</v>
      </c>
    </row>
    <row r="502" spans="1:9" ht="16" x14ac:dyDescent="0.8">
      <c r="A502" s="2" t="s">
        <v>812</v>
      </c>
      <c r="B502" s="2" t="s">
        <v>796</v>
      </c>
      <c r="C502" s="2" t="s">
        <v>797</v>
      </c>
      <c r="D502" s="2" t="s">
        <v>797</v>
      </c>
      <c r="E502" s="3">
        <v>3345408</v>
      </c>
      <c r="F502" s="3">
        <v>3345408</v>
      </c>
      <c r="G502" s="2" t="s">
        <v>11</v>
      </c>
      <c r="H502" s="2" t="s">
        <v>798</v>
      </c>
      <c r="I502" s="2" t="s">
        <v>699</v>
      </c>
    </row>
    <row r="503" spans="1:9" ht="16" x14ac:dyDescent="0.8">
      <c r="A503" s="2" t="s">
        <v>813</v>
      </c>
      <c r="B503" s="2" t="s">
        <v>796</v>
      </c>
      <c r="C503" s="2" t="s">
        <v>797</v>
      </c>
      <c r="D503" s="2" t="s">
        <v>797</v>
      </c>
      <c r="E503" s="3">
        <v>3345408</v>
      </c>
      <c r="F503" s="3">
        <v>3345408</v>
      </c>
      <c r="G503" s="2" t="s">
        <v>11</v>
      </c>
      <c r="H503" s="2" t="s">
        <v>798</v>
      </c>
      <c r="I503" s="2" t="s">
        <v>699</v>
      </c>
    </row>
    <row r="504" spans="1:9" ht="16" x14ac:dyDescent="0.8">
      <c r="A504" s="2" t="s">
        <v>814</v>
      </c>
      <c r="B504" s="2" t="s">
        <v>796</v>
      </c>
      <c r="C504" s="2" t="s">
        <v>797</v>
      </c>
      <c r="D504" s="2" t="s">
        <v>797</v>
      </c>
      <c r="E504" s="3">
        <v>3345408</v>
      </c>
      <c r="F504" s="3">
        <v>3345408</v>
      </c>
      <c r="G504" s="2" t="s">
        <v>11</v>
      </c>
      <c r="H504" s="2" t="s">
        <v>798</v>
      </c>
      <c r="I504" s="2" t="s">
        <v>699</v>
      </c>
    </row>
    <row r="505" spans="1:9" ht="16" x14ac:dyDescent="0.8">
      <c r="A505" s="2" t="s">
        <v>815</v>
      </c>
      <c r="B505" s="2" t="s">
        <v>796</v>
      </c>
      <c r="C505" s="2" t="s">
        <v>797</v>
      </c>
      <c r="D505" s="2" t="s">
        <v>797</v>
      </c>
      <c r="E505" s="3">
        <v>3345408</v>
      </c>
      <c r="F505" s="3">
        <v>3345408</v>
      </c>
      <c r="G505" s="2" t="s">
        <v>11</v>
      </c>
      <c r="H505" s="2" t="s">
        <v>798</v>
      </c>
      <c r="I505" s="2" t="s">
        <v>699</v>
      </c>
    </row>
    <row r="506" spans="1:9" ht="16" x14ac:dyDescent="0.8">
      <c r="A506" s="2" t="s">
        <v>816</v>
      </c>
      <c r="B506" s="2" t="s">
        <v>796</v>
      </c>
      <c r="C506" s="2" t="s">
        <v>797</v>
      </c>
      <c r="D506" s="2" t="s">
        <v>797</v>
      </c>
      <c r="E506" s="3">
        <v>3345408</v>
      </c>
      <c r="F506" s="3">
        <v>3345408</v>
      </c>
      <c r="G506" s="2" t="s">
        <v>11</v>
      </c>
      <c r="H506" s="2" t="s">
        <v>798</v>
      </c>
      <c r="I506" s="2" t="s">
        <v>699</v>
      </c>
    </row>
    <row r="507" spans="1:9" ht="16" x14ac:dyDescent="0.8">
      <c r="A507" s="2" t="s">
        <v>817</v>
      </c>
      <c r="B507" s="2" t="s">
        <v>796</v>
      </c>
      <c r="C507" s="2" t="s">
        <v>797</v>
      </c>
      <c r="D507" s="2" t="s">
        <v>797</v>
      </c>
      <c r="E507" s="3">
        <v>3345408</v>
      </c>
      <c r="F507" s="3">
        <v>3345408</v>
      </c>
      <c r="G507" s="2" t="s">
        <v>11</v>
      </c>
      <c r="H507" s="2" t="s">
        <v>798</v>
      </c>
      <c r="I507" s="2" t="s">
        <v>699</v>
      </c>
    </row>
    <row r="508" spans="1:9" ht="16" x14ac:dyDescent="0.8">
      <c r="A508" s="2" t="s">
        <v>818</v>
      </c>
      <c r="B508" s="2" t="s">
        <v>796</v>
      </c>
      <c r="C508" s="2" t="s">
        <v>797</v>
      </c>
      <c r="D508" s="2" t="s">
        <v>797</v>
      </c>
      <c r="E508" s="3">
        <v>3345408</v>
      </c>
      <c r="F508" s="3">
        <v>3345408</v>
      </c>
      <c r="G508" s="2" t="s">
        <v>11</v>
      </c>
      <c r="H508" s="2" t="s">
        <v>798</v>
      </c>
      <c r="I508" s="2" t="s">
        <v>699</v>
      </c>
    </row>
    <row r="509" spans="1:9" ht="16" x14ac:dyDescent="0.8">
      <c r="A509" s="2" t="s">
        <v>819</v>
      </c>
      <c r="B509" s="2" t="s">
        <v>796</v>
      </c>
      <c r="C509" s="2" t="s">
        <v>797</v>
      </c>
      <c r="D509" s="2" t="s">
        <v>797</v>
      </c>
      <c r="E509" s="3">
        <v>3345408</v>
      </c>
      <c r="F509" s="3">
        <v>3345408</v>
      </c>
      <c r="G509" s="2" t="s">
        <v>11</v>
      </c>
      <c r="H509" s="2" t="s">
        <v>798</v>
      </c>
      <c r="I509" s="2" t="s">
        <v>699</v>
      </c>
    </row>
    <row r="510" spans="1:9" ht="16" x14ac:dyDescent="0.8">
      <c r="A510" s="2" t="s">
        <v>820</v>
      </c>
      <c r="B510" s="2" t="s">
        <v>796</v>
      </c>
      <c r="C510" s="2" t="s">
        <v>797</v>
      </c>
      <c r="D510" s="2" t="s">
        <v>797</v>
      </c>
      <c r="E510" s="3">
        <v>3345408</v>
      </c>
      <c r="F510" s="3">
        <v>3345408</v>
      </c>
      <c r="G510" s="2" t="s">
        <v>11</v>
      </c>
      <c r="H510" s="2" t="s">
        <v>798</v>
      </c>
      <c r="I510" s="2" t="s">
        <v>699</v>
      </c>
    </row>
    <row r="511" spans="1:9" ht="16" x14ac:dyDescent="0.8">
      <c r="A511" s="2" t="s">
        <v>821</v>
      </c>
      <c r="B511" s="2" t="s">
        <v>796</v>
      </c>
      <c r="C511" s="2" t="s">
        <v>797</v>
      </c>
      <c r="D511" s="2" t="s">
        <v>797</v>
      </c>
      <c r="E511" s="3">
        <v>3345408</v>
      </c>
      <c r="F511" s="3">
        <v>3345408</v>
      </c>
      <c r="G511" s="2" t="s">
        <v>11</v>
      </c>
      <c r="H511" s="2" t="s">
        <v>798</v>
      </c>
      <c r="I511" s="2" t="s">
        <v>699</v>
      </c>
    </row>
    <row r="512" spans="1:9" ht="16" x14ac:dyDescent="0.8">
      <c r="A512" s="2" t="s">
        <v>822</v>
      </c>
      <c r="B512" s="2" t="s">
        <v>796</v>
      </c>
      <c r="C512" s="2" t="s">
        <v>797</v>
      </c>
      <c r="D512" s="2" t="s">
        <v>797</v>
      </c>
      <c r="E512" s="3">
        <v>3345408</v>
      </c>
      <c r="F512" s="3">
        <v>3345408</v>
      </c>
      <c r="G512" s="2" t="s">
        <v>11</v>
      </c>
      <c r="H512" s="2" t="s">
        <v>798</v>
      </c>
      <c r="I512" s="2" t="s">
        <v>699</v>
      </c>
    </row>
    <row r="513" spans="1:9" ht="16" x14ac:dyDescent="0.8">
      <c r="A513" s="2" t="s">
        <v>823</v>
      </c>
      <c r="B513" s="2" t="s">
        <v>796</v>
      </c>
      <c r="C513" s="2" t="s">
        <v>797</v>
      </c>
      <c r="D513" s="2" t="s">
        <v>797</v>
      </c>
      <c r="E513" s="3">
        <v>3345408</v>
      </c>
      <c r="F513" s="3">
        <v>3345408</v>
      </c>
      <c r="G513" s="2" t="s">
        <v>11</v>
      </c>
      <c r="H513" s="2" t="s">
        <v>798</v>
      </c>
      <c r="I513" s="2" t="s">
        <v>699</v>
      </c>
    </row>
    <row r="514" spans="1:9" ht="16" x14ac:dyDescent="0.8">
      <c r="A514" s="2" t="s">
        <v>824</v>
      </c>
      <c r="B514" s="2" t="s">
        <v>796</v>
      </c>
      <c r="C514" s="2" t="s">
        <v>797</v>
      </c>
      <c r="D514" s="2" t="s">
        <v>797</v>
      </c>
      <c r="E514" s="3">
        <v>3345408</v>
      </c>
      <c r="F514" s="3">
        <v>3345408</v>
      </c>
      <c r="G514" s="2" t="s">
        <v>11</v>
      </c>
      <c r="H514" s="2" t="s">
        <v>798</v>
      </c>
      <c r="I514" s="2" t="s">
        <v>699</v>
      </c>
    </row>
    <row r="515" spans="1:9" ht="16" x14ac:dyDescent="0.8">
      <c r="A515" s="2" t="s">
        <v>825</v>
      </c>
      <c r="B515" s="2" t="s">
        <v>796</v>
      </c>
      <c r="C515" s="2" t="s">
        <v>797</v>
      </c>
      <c r="D515" s="2" t="s">
        <v>797</v>
      </c>
      <c r="E515" s="3">
        <v>3345408</v>
      </c>
      <c r="F515" s="3">
        <v>3345408</v>
      </c>
      <c r="G515" s="2" t="s">
        <v>11</v>
      </c>
      <c r="H515" s="2" t="s">
        <v>798</v>
      </c>
      <c r="I515" s="2" t="s">
        <v>699</v>
      </c>
    </row>
    <row r="516" spans="1:9" ht="16" x14ac:dyDescent="0.8">
      <c r="A516" s="2" t="s">
        <v>826</v>
      </c>
      <c r="B516" s="2" t="s">
        <v>796</v>
      </c>
      <c r="C516" s="2" t="s">
        <v>797</v>
      </c>
      <c r="D516" s="2" t="s">
        <v>797</v>
      </c>
      <c r="E516" s="3">
        <v>3345408</v>
      </c>
      <c r="F516" s="3">
        <v>3345408</v>
      </c>
      <c r="G516" s="2" t="s">
        <v>11</v>
      </c>
      <c r="H516" s="2" t="s">
        <v>798</v>
      </c>
      <c r="I516" s="2" t="s">
        <v>699</v>
      </c>
    </row>
    <row r="517" spans="1:9" ht="16" x14ac:dyDescent="0.8">
      <c r="A517" s="2" t="s">
        <v>827</v>
      </c>
      <c r="B517" s="2" t="s">
        <v>796</v>
      </c>
      <c r="C517" s="2" t="s">
        <v>797</v>
      </c>
      <c r="D517" s="2" t="s">
        <v>797</v>
      </c>
      <c r="E517" s="3">
        <v>3345408</v>
      </c>
      <c r="F517" s="3">
        <v>3345408</v>
      </c>
      <c r="G517" s="2" t="s">
        <v>11</v>
      </c>
      <c r="H517" s="2" t="s">
        <v>798</v>
      </c>
      <c r="I517" s="2" t="s">
        <v>699</v>
      </c>
    </row>
    <row r="518" spans="1:9" ht="16" x14ac:dyDescent="0.8">
      <c r="A518" s="2" t="s">
        <v>828</v>
      </c>
      <c r="B518" s="2" t="s">
        <v>796</v>
      </c>
      <c r="C518" s="2" t="s">
        <v>797</v>
      </c>
      <c r="D518" s="2" t="s">
        <v>797</v>
      </c>
      <c r="E518" s="3">
        <v>3345408</v>
      </c>
      <c r="F518" s="3">
        <v>3345408</v>
      </c>
      <c r="G518" s="2" t="s">
        <v>11</v>
      </c>
      <c r="H518" s="2" t="s">
        <v>798</v>
      </c>
      <c r="I518" s="2" t="s">
        <v>699</v>
      </c>
    </row>
    <row r="519" spans="1:9" ht="16" x14ac:dyDescent="0.8">
      <c r="A519" s="2" t="s">
        <v>829</v>
      </c>
      <c r="B519" s="2" t="s">
        <v>796</v>
      </c>
      <c r="C519" s="2" t="s">
        <v>797</v>
      </c>
      <c r="D519" s="2" t="s">
        <v>797</v>
      </c>
      <c r="E519" s="3">
        <v>3345408</v>
      </c>
      <c r="F519" s="3">
        <v>3345408</v>
      </c>
      <c r="G519" s="2" t="s">
        <v>11</v>
      </c>
      <c r="H519" s="2" t="s">
        <v>798</v>
      </c>
      <c r="I519" s="2" t="s">
        <v>699</v>
      </c>
    </row>
    <row r="520" spans="1:9" ht="16" x14ac:dyDescent="0.8">
      <c r="A520" s="2" t="s">
        <v>830</v>
      </c>
      <c r="B520" s="2" t="s">
        <v>796</v>
      </c>
      <c r="C520" s="2" t="s">
        <v>797</v>
      </c>
      <c r="D520" s="2" t="s">
        <v>797</v>
      </c>
      <c r="E520" s="3">
        <v>3345408</v>
      </c>
      <c r="F520" s="3">
        <v>3345408</v>
      </c>
      <c r="G520" s="2" t="s">
        <v>11</v>
      </c>
      <c r="H520" s="2" t="s">
        <v>798</v>
      </c>
      <c r="I520" s="2" t="s">
        <v>699</v>
      </c>
    </row>
    <row r="521" spans="1:9" ht="16" x14ac:dyDescent="0.8">
      <c r="A521" s="2" t="s">
        <v>831</v>
      </c>
      <c r="B521" s="2" t="s">
        <v>796</v>
      </c>
      <c r="C521" s="2" t="s">
        <v>797</v>
      </c>
      <c r="D521" s="2" t="s">
        <v>797</v>
      </c>
      <c r="E521" s="3">
        <v>3345408</v>
      </c>
      <c r="F521" s="3">
        <v>3345408</v>
      </c>
      <c r="G521" s="2" t="s">
        <v>11</v>
      </c>
      <c r="H521" s="2" t="s">
        <v>798</v>
      </c>
      <c r="I521" s="2" t="s">
        <v>699</v>
      </c>
    </row>
    <row r="522" spans="1:9" ht="16" x14ac:dyDescent="0.8">
      <c r="A522" s="2" t="s">
        <v>832</v>
      </c>
      <c r="B522" s="2" t="s">
        <v>796</v>
      </c>
      <c r="C522" s="2" t="s">
        <v>797</v>
      </c>
      <c r="D522" s="2" t="s">
        <v>797</v>
      </c>
      <c r="E522" s="3">
        <v>2914560</v>
      </c>
      <c r="F522" s="3">
        <v>2914560</v>
      </c>
      <c r="G522" s="2" t="s">
        <v>11</v>
      </c>
      <c r="H522" s="2" t="s">
        <v>798</v>
      </c>
      <c r="I522" s="2" t="s">
        <v>699</v>
      </c>
    </row>
    <row r="523" spans="1:9" ht="16" x14ac:dyDescent="0.8">
      <c r="A523" s="2" t="s">
        <v>833</v>
      </c>
      <c r="B523" s="2" t="s">
        <v>834</v>
      </c>
      <c r="C523" s="2" t="s">
        <v>835</v>
      </c>
      <c r="D523" s="2" t="s">
        <v>835</v>
      </c>
      <c r="E523" s="3">
        <v>115500</v>
      </c>
      <c r="F523" s="3">
        <v>115500</v>
      </c>
      <c r="G523" s="2" t="s">
        <v>11</v>
      </c>
      <c r="H523" s="2" t="s">
        <v>798</v>
      </c>
      <c r="I523" s="2" t="s">
        <v>699</v>
      </c>
    </row>
    <row r="524" spans="1:9" ht="16" x14ac:dyDescent="0.8">
      <c r="A524" s="2" t="s">
        <v>836</v>
      </c>
      <c r="B524" s="2" t="s">
        <v>834</v>
      </c>
      <c r="C524" s="2" t="s">
        <v>835</v>
      </c>
      <c r="D524" s="2" t="s">
        <v>835</v>
      </c>
      <c r="E524" s="3">
        <v>115500</v>
      </c>
      <c r="F524" s="3">
        <v>115500</v>
      </c>
      <c r="G524" s="2" t="s">
        <v>11</v>
      </c>
      <c r="H524" s="2" t="s">
        <v>798</v>
      </c>
      <c r="I524" s="2" t="s">
        <v>699</v>
      </c>
    </row>
    <row r="525" spans="1:9" ht="16" x14ac:dyDescent="0.8">
      <c r="A525" s="2" t="s">
        <v>837</v>
      </c>
      <c r="B525" s="2" t="s">
        <v>834</v>
      </c>
      <c r="C525" s="2" t="s">
        <v>835</v>
      </c>
      <c r="D525" s="2" t="s">
        <v>835</v>
      </c>
      <c r="E525" s="3">
        <v>115500</v>
      </c>
      <c r="F525" s="3">
        <v>115500</v>
      </c>
      <c r="G525" s="2" t="s">
        <v>11</v>
      </c>
      <c r="H525" s="2" t="s">
        <v>798</v>
      </c>
      <c r="I525" s="2" t="s">
        <v>699</v>
      </c>
    </row>
    <row r="526" spans="1:9" ht="16" x14ac:dyDescent="0.8">
      <c r="A526" s="2" t="s">
        <v>838</v>
      </c>
      <c r="B526" s="2" t="s">
        <v>834</v>
      </c>
      <c r="C526" s="2" t="s">
        <v>835</v>
      </c>
      <c r="D526" s="2" t="s">
        <v>835</v>
      </c>
      <c r="E526" s="3">
        <v>115500</v>
      </c>
      <c r="F526" s="3">
        <v>115500</v>
      </c>
      <c r="G526" s="2" t="s">
        <v>11</v>
      </c>
      <c r="H526" s="2" t="s">
        <v>798</v>
      </c>
      <c r="I526" s="2" t="s">
        <v>699</v>
      </c>
    </row>
    <row r="527" spans="1:9" ht="16" x14ac:dyDescent="0.8">
      <c r="A527" s="2" t="s">
        <v>839</v>
      </c>
      <c r="B527" s="2" t="s">
        <v>834</v>
      </c>
      <c r="C527" s="2" t="s">
        <v>835</v>
      </c>
      <c r="D527" s="2" t="s">
        <v>835</v>
      </c>
      <c r="E527" s="3">
        <v>115500</v>
      </c>
      <c r="F527" s="3">
        <v>115500</v>
      </c>
      <c r="G527" s="2" t="s">
        <v>11</v>
      </c>
      <c r="H527" s="2" t="s">
        <v>798</v>
      </c>
      <c r="I527" s="2" t="s">
        <v>699</v>
      </c>
    </row>
    <row r="528" spans="1:9" ht="16" x14ac:dyDescent="0.8">
      <c r="A528" s="2" t="s">
        <v>840</v>
      </c>
      <c r="B528" s="2" t="s">
        <v>834</v>
      </c>
      <c r="C528" s="2" t="s">
        <v>835</v>
      </c>
      <c r="D528" s="2" t="s">
        <v>835</v>
      </c>
      <c r="E528" s="3">
        <v>115500</v>
      </c>
      <c r="F528" s="3">
        <v>115500</v>
      </c>
      <c r="G528" s="2" t="s">
        <v>11</v>
      </c>
      <c r="H528" s="2" t="s">
        <v>798</v>
      </c>
      <c r="I528" s="2" t="s">
        <v>699</v>
      </c>
    </row>
    <row r="529" spans="1:9" ht="16" x14ac:dyDescent="0.8">
      <c r="A529" s="2" t="s">
        <v>841</v>
      </c>
      <c r="B529" s="2" t="s">
        <v>834</v>
      </c>
      <c r="C529" s="2" t="s">
        <v>835</v>
      </c>
      <c r="D529" s="2" t="s">
        <v>835</v>
      </c>
      <c r="E529" s="3">
        <v>115500</v>
      </c>
      <c r="F529" s="3">
        <v>115500</v>
      </c>
      <c r="G529" s="2" t="s">
        <v>11</v>
      </c>
      <c r="H529" s="2" t="s">
        <v>798</v>
      </c>
      <c r="I529" s="2" t="s">
        <v>699</v>
      </c>
    </row>
    <row r="530" spans="1:9" ht="16" x14ac:dyDescent="0.8">
      <c r="A530" s="2" t="s">
        <v>844</v>
      </c>
      <c r="B530" s="2" t="s">
        <v>796</v>
      </c>
      <c r="C530" s="2" t="s">
        <v>797</v>
      </c>
      <c r="D530" s="2" t="s">
        <v>797</v>
      </c>
      <c r="E530" s="3">
        <v>3345408</v>
      </c>
      <c r="F530" s="3">
        <v>3345408</v>
      </c>
      <c r="G530" s="2" t="s">
        <v>11</v>
      </c>
      <c r="H530" s="2" t="s">
        <v>845</v>
      </c>
      <c r="I530" s="2" t="s">
        <v>699</v>
      </c>
    </row>
    <row r="531" spans="1:9" ht="16" x14ac:dyDescent="0.8">
      <c r="A531" s="2" t="s">
        <v>848</v>
      </c>
      <c r="B531" s="2" t="s">
        <v>849</v>
      </c>
      <c r="C531" s="2" t="s">
        <v>850</v>
      </c>
      <c r="D531" s="2" t="s">
        <v>850</v>
      </c>
      <c r="E531" s="3">
        <v>66068</v>
      </c>
      <c r="F531" s="3">
        <v>51008</v>
      </c>
      <c r="G531" s="2" t="s">
        <v>11</v>
      </c>
      <c r="H531" s="2" t="s">
        <v>846</v>
      </c>
      <c r="I531" s="2" t="s">
        <v>390</v>
      </c>
    </row>
    <row r="532" spans="1:9" ht="16" x14ac:dyDescent="0.8">
      <c r="A532" s="2" t="s">
        <v>848</v>
      </c>
      <c r="B532" s="2" t="s">
        <v>851</v>
      </c>
      <c r="C532" s="2" t="s">
        <v>852</v>
      </c>
      <c r="D532" s="2" t="s">
        <v>852</v>
      </c>
      <c r="E532" s="3">
        <v>77046</v>
      </c>
      <c r="F532" s="3">
        <v>0</v>
      </c>
      <c r="G532" s="2" t="s">
        <v>11</v>
      </c>
      <c r="H532" s="2" t="s">
        <v>846</v>
      </c>
      <c r="I532" s="2" t="s">
        <v>390</v>
      </c>
    </row>
    <row r="533" spans="1:9" ht="16" x14ac:dyDescent="0.8">
      <c r="A533" s="2" t="s">
        <v>848</v>
      </c>
      <c r="B533" s="2" t="s">
        <v>853</v>
      </c>
      <c r="C533" s="2" t="s">
        <v>854</v>
      </c>
      <c r="D533" s="2" t="s">
        <v>854</v>
      </c>
      <c r="E533" s="3">
        <v>99552</v>
      </c>
      <c r="F533" s="3">
        <v>99552</v>
      </c>
      <c r="G533" s="2" t="s">
        <v>11</v>
      </c>
      <c r="H533" s="2" t="s">
        <v>846</v>
      </c>
      <c r="I533" s="2" t="s">
        <v>390</v>
      </c>
    </row>
    <row r="534" spans="1:9" ht="16" x14ac:dyDescent="0.8">
      <c r="A534" s="2" t="s">
        <v>848</v>
      </c>
      <c r="B534" s="2" t="s">
        <v>855</v>
      </c>
      <c r="C534" s="2" t="s">
        <v>856</v>
      </c>
      <c r="D534" s="2" t="s">
        <v>856</v>
      </c>
      <c r="E534" s="3">
        <v>110170</v>
      </c>
      <c r="F534" s="3">
        <v>110170</v>
      </c>
      <c r="G534" s="2" t="s">
        <v>11</v>
      </c>
      <c r="H534" s="2" t="s">
        <v>846</v>
      </c>
      <c r="I534" s="2" t="s">
        <v>390</v>
      </c>
    </row>
    <row r="535" spans="1:9" ht="16" x14ac:dyDescent="0.8">
      <c r="A535" s="2" t="s">
        <v>848</v>
      </c>
      <c r="B535" s="2" t="s">
        <v>857</v>
      </c>
      <c r="C535" s="2" t="s">
        <v>858</v>
      </c>
      <c r="D535" s="2" t="s">
        <v>858</v>
      </c>
      <c r="E535" s="3">
        <v>138090</v>
      </c>
      <c r="F535" s="3">
        <v>138090</v>
      </c>
      <c r="G535" s="2" t="s">
        <v>11</v>
      </c>
      <c r="H535" s="2" t="s">
        <v>846</v>
      </c>
      <c r="I535" s="2" t="s">
        <v>390</v>
      </c>
    </row>
    <row r="536" spans="1:9" ht="16" x14ac:dyDescent="0.8">
      <c r="A536" s="2" t="s">
        <v>859</v>
      </c>
      <c r="B536" s="2" t="s">
        <v>860</v>
      </c>
      <c r="C536" s="2" t="s">
        <v>861</v>
      </c>
      <c r="D536" s="2" t="s">
        <v>861</v>
      </c>
      <c r="E536" s="3">
        <v>28884</v>
      </c>
      <c r="F536" s="3">
        <v>28416</v>
      </c>
      <c r="G536" s="2" t="s">
        <v>11</v>
      </c>
      <c r="H536" s="2" t="s">
        <v>846</v>
      </c>
      <c r="I536" s="2" t="s">
        <v>390</v>
      </c>
    </row>
    <row r="537" spans="1:9" ht="16" x14ac:dyDescent="0.8">
      <c r="A537" s="2" t="s">
        <v>859</v>
      </c>
      <c r="B537" s="2" t="s">
        <v>853</v>
      </c>
      <c r="C537" s="2" t="s">
        <v>854</v>
      </c>
      <c r="D537" s="2" t="s">
        <v>854</v>
      </c>
      <c r="E537" s="3">
        <v>198540</v>
      </c>
      <c r="F537" s="3">
        <v>195696</v>
      </c>
      <c r="G537" s="2" t="s">
        <v>11</v>
      </c>
      <c r="H537" s="2" t="s">
        <v>846</v>
      </c>
      <c r="I537" s="2" t="s">
        <v>390</v>
      </c>
    </row>
    <row r="538" spans="1:9" ht="16" x14ac:dyDescent="0.8">
      <c r="A538" s="2" t="s">
        <v>859</v>
      </c>
      <c r="B538" s="2" t="s">
        <v>855</v>
      </c>
      <c r="C538" s="2" t="s">
        <v>856</v>
      </c>
      <c r="D538" s="2" t="s">
        <v>856</v>
      </c>
      <c r="E538" s="3">
        <v>152640</v>
      </c>
      <c r="F538" s="3">
        <v>146890</v>
      </c>
      <c r="G538" s="2" t="s">
        <v>11</v>
      </c>
      <c r="H538" s="2" t="s">
        <v>846</v>
      </c>
      <c r="I538" s="2" t="s">
        <v>390</v>
      </c>
    </row>
    <row r="539" spans="1:9" ht="16" x14ac:dyDescent="0.8">
      <c r="A539" s="2" t="s">
        <v>859</v>
      </c>
      <c r="B539" s="2" t="s">
        <v>857</v>
      </c>
      <c r="C539" s="2" t="s">
        <v>858</v>
      </c>
      <c r="D539" s="2" t="s">
        <v>858</v>
      </c>
      <c r="E539" s="3">
        <v>210340</v>
      </c>
      <c r="F539" s="3">
        <v>150415</v>
      </c>
      <c r="G539" s="2" t="s">
        <v>11</v>
      </c>
      <c r="H539" s="2" t="s">
        <v>846</v>
      </c>
      <c r="I539" s="2" t="s">
        <v>390</v>
      </c>
    </row>
    <row r="540" spans="1:9" ht="16" x14ac:dyDescent="0.8">
      <c r="A540" s="2" t="s">
        <v>862</v>
      </c>
      <c r="B540" s="2" t="s">
        <v>863</v>
      </c>
      <c r="C540" s="2" t="s">
        <v>864</v>
      </c>
      <c r="D540" s="2" t="s">
        <v>864</v>
      </c>
      <c r="E540" s="3">
        <v>25020</v>
      </c>
      <c r="F540" s="3">
        <v>25020</v>
      </c>
      <c r="G540" s="2" t="s">
        <v>11</v>
      </c>
      <c r="H540" s="2" t="s">
        <v>846</v>
      </c>
      <c r="I540" s="2" t="s">
        <v>168</v>
      </c>
    </row>
    <row r="541" spans="1:9" ht="16" x14ac:dyDescent="0.8">
      <c r="A541" s="2" t="s">
        <v>862</v>
      </c>
      <c r="B541" s="2" t="s">
        <v>865</v>
      </c>
      <c r="C541" s="2" t="s">
        <v>866</v>
      </c>
      <c r="D541" s="2" t="s">
        <v>866</v>
      </c>
      <c r="E541" s="3">
        <v>25020</v>
      </c>
      <c r="F541" s="3">
        <v>25020</v>
      </c>
      <c r="G541" s="2" t="s">
        <v>11</v>
      </c>
      <c r="H541" s="2" t="s">
        <v>846</v>
      </c>
      <c r="I541" s="2" t="s">
        <v>168</v>
      </c>
    </row>
    <row r="542" spans="1:9" ht="16" x14ac:dyDescent="0.8">
      <c r="A542" s="2" t="s">
        <v>862</v>
      </c>
      <c r="B542" s="2" t="s">
        <v>867</v>
      </c>
      <c r="C542" s="2" t="s">
        <v>868</v>
      </c>
      <c r="D542" s="2" t="s">
        <v>868</v>
      </c>
      <c r="E542" s="3">
        <v>30000</v>
      </c>
      <c r="F542" s="3">
        <v>30000</v>
      </c>
      <c r="G542" s="2" t="s">
        <v>11</v>
      </c>
      <c r="H542" s="2" t="s">
        <v>846</v>
      </c>
      <c r="I542" s="2" t="s">
        <v>168</v>
      </c>
    </row>
    <row r="543" spans="1:9" ht="16" x14ac:dyDescent="0.8">
      <c r="A543" s="2" t="s">
        <v>869</v>
      </c>
      <c r="B543" s="2" t="s">
        <v>756</v>
      </c>
      <c r="C543" s="2" t="s">
        <v>757</v>
      </c>
      <c r="D543" s="2" t="s">
        <v>757</v>
      </c>
      <c r="E543" s="3">
        <v>4867200</v>
      </c>
      <c r="F543" s="3">
        <v>4867200</v>
      </c>
      <c r="G543" s="2" t="s">
        <v>11</v>
      </c>
      <c r="H543" s="2" t="s">
        <v>870</v>
      </c>
      <c r="I543" s="2" t="s">
        <v>758</v>
      </c>
    </row>
    <row r="544" spans="1:9" ht="16" x14ac:dyDescent="0.8">
      <c r="A544" s="2" t="s">
        <v>871</v>
      </c>
      <c r="B544" s="2" t="s">
        <v>756</v>
      </c>
      <c r="C544" s="2" t="s">
        <v>757</v>
      </c>
      <c r="D544" s="2" t="s">
        <v>757</v>
      </c>
      <c r="E544" s="3">
        <v>4867200</v>
      </c>
      <c r="F544" s="3">
        <v>4867200</v>
      </c>
      <c r="G544" s="2" t="s">
        <v>11</v>
      </c>
      <c r="H544" s="2" t="s">
        <v>870</v>
      </c>
      <c r="I544" s="2" t="s">
        <v>758</v>
      </c>
    </row>
    <row r="545" spans="1:9" ht="16" x14ac:dyDescent="0.8">
      <c r="A545" s="2" t="s">
        <v>872</v>
      </c>
      <c r="B545" s="2" t="s">
        <v>756</v>
      </c>
      <c r="C545" s="2" t="s">
        <v>757</v>
      </c>
      <c r="D545" s="2" t="s">
        <v>757</v>
      </c>
      <c r="E545" s="3">
        <v>4867200</v>
      </c>
      <c r="F545" s="3">
        <v>4867200</v>
      </c>
      <c r="G545" s="2" t="s">
        <v>11</v>
      </c>
      <c r="H545" s="2" t="s">
        <v>870</v>
      </c>
      <c r="I545" s="2" t="s">
        <v>758</v>
      </c>
    </row>
    <row r="546" spans="1:9" ht="16" x14ac:dyDescent="0.8">
      <c r="A546" s="2" t="s">
        <v>873</v>
      </c>
      <c r="B546" s="2" t="s">
        <v>756</v>
      </c>
      <c r="C546" s="2" t="s">
        <v>757</v>
      </c>
      <c r="D546" s="2" t="s">
        <v>757</v>
      </c>
      <c r="E546" s="3">
        <v>4867200</v>
      </c>
      <c r="F546" s="3">
        <v>4867200</v>
      </c>
      <c r="G546" s="2" t="s">
        <v>11</v>
      </c>
      <c r="H546" s="2" t="s">
        <v>870</v>
      </c>
      <c r="I546" s="2" t="s">
        <v>758</v>
      </c>
    </row>
    <row r="547" spans="1:9" ht="16" x14ac:dyDescent="0.8">
      <c r="A547" s="2" t="s">
        <v>874</v>
      </c>
      <c r="B547" s="2" t="s">
        <v>756</v>
      </c>
      <c r="C547" s="2" t="s">
        <v>757</v>
      </c>
      <c r="D547" s="2" t="s">
        <v>757</v>
      </c>
      <c r="E547" s="3">
        <v>7300800</v>
      </c>
      <c r="F547" s="3">
        <v>7300800</v>
      </c>
      <c r="G547" s="2" t="s">
        <v>11</v>
      </c>
      <c r="H547" s="2" t="s">
        <v>870</v>
      </c>
      <c r="I547" s="2" t="s">
        <v>758</v>
      </c>
    </row>
    <row r="548" spans="1:9" ht="16" x14ac:dyDescent="0.8">
      <c r="A548" s="2" t="s">
        <v>875</v>
      </c>
      <c r="B548" s="2" t="s">
        <v>756</v>
      </c>
      <c r="C548" s="2" t="s">
        <v>757</v>
      </c>
      <c r="D548" s="2" t="s">
        <v>757</v>
      </c>
      <c r="E548" s="3">
        <v>7300800</v>
      </c>
      <c r="F548" s="3">
        <v>7300800</v>
      </c>
      <c r="G548" s="2" t="s">
        <v>11</v>
      </c>
      <c r="H548" s="2" t="s">
        <v>870</v>
      </c>
      <c r="I548" s="2" t="s">
        <v>758</v>
      </c>
    </row>
    <row r="549" spans="1:9" ht="16" x14ac:dyDescent="0.8">
      <c r="A549" s="2" t="s">
        <v>876</v>
      </c>
      <c r="B549" s="2" t="s">
        <v>756</v>
      </c>
      <c r="C549" s="2" t="s">
        <v>757</v>
      </c>
      <c r="D549" s="2" t="s">
        <v>757</v>
      </c>
      <c r="E549" s="3">
        <v>6664800</v>
      </c>
      <c r="F549" s="3">
        <v>6664800</v>
      </c>
      <c r="G549" s="2" t="s">
        <v>11</v>
      </c>
      <c r="H549" s="2" t="s">
        <v>870</v>
      </c>
      <c r="I549" s="2" t="s">
        <v>758</v>
      </c>
    </row>
    <row r="550" spans="1:9" ht="16" x14ac:dyDescent="0.8">
      <c r="A550" s="2" t="s">
        <v>877</v>
      </c>
      <c r="B550" s="2" t="s">
        <v>756</v>
      </c>
      <c r="C550" s="2" t="s">
        <v>757</v>
      </c>
      <c r="D550" s="2" t="s">
        <v>757</v>
      </c>
      <c r="E550" s="3">
        <v>4867200</v>
      </c>
      <c r="F550" s="3">
        <v>4867200</v>
      </c>
      <c r="G550" s="2" t="s">
        <v>11</v>
      </c>
      <c r="H550" s="2" t="s">
        <v>870</v>
      </c>
      <c r="I550" s="2" t="s">
        <v>758</v>
      </c>
    </row>
    <row r="551" spans="1:9" ht="16" x14ac:dyDescent="0.8">
      <c r="A551" s="2" t="s">
        <v>878</v>
      </c>
      <c r="B551" s="2" t="s">
        <v>879</v>
      </c>
      <c r="C551" s="2" t="s">
        <v>880</v>
      </c>
      <c r="D551" s="2" t="s">
        <v>880</v>
      </c>
      <c r="E551" s="3">
        <v>1</v>
      </c>
      <c r="F551" s="3">
        <v>1</v>
      </c>
      <c r="G551" s="2" t="s">
        <v>11</v>
      </c>
      <c r="H551" s="2" t="s">
        <v>870</v>
      </c>
      <c r="I551" s="2" t="s">
        <v>53</v>
      </c>
    </row>
    <row r="552" spans="1:9" ht="16" x14ac:dyDescent="0.8">
      <c r="A552" s="2" t="s">
        <v>878</v>
      </c>
      <c r="B552" s="2" t="s">
        <v>56</v>
      </c>
      <c r="C552" s="2" t="s">
        <v>57</v>
      </c>
      <c r="D552" s="2" t="s">
        <v>57</v>
      </c>
      <c r="E552" s="3">
        <v>11</v>
      </c>
      <c r="F552" s="3">
        <v>11</v>
      </c>
      <c r="G552" s="2" t="s">
        <v>11</v>
      </c>
      <c r="H552" s="2" t="s">
        <v>870</v>
      </c>
      <c r="I552" s="2" t="s">
        <v>53</v>
      </c>
    </row>
    <row r="553" spans="1:9" ht="16" x14ac:dyDescent="0.8">
      <c r="A553" s="2" t="s">
        <v>878</v>
      </c>
      <c r="B553" s="2" t="s">
        <v>881</v>
      </c>
      <c r="C553" s="2" t="s">
        <v>882</v>
      </c>
      <c r="D553" s="2" t="s">
        <v>882</v>
      </c>
      <c r="E553" s="3">
        <v>1</v>
      </c>
      <c r="F553" s="3">
        <v>1</v>
      </c>
      <c r="G553" s="2" t="s">
        <v>11</v>
      </c>
      <c r="H553" s="2" t="s">
        <v>870</v>
      </c>
      <c r="I553" s="2" t="s">
        <v>53</v>
      </c>
    </row>
    <row r="554" spans="1:9" ht="16" x14ac:dyDescent="0.8">
      <c r="A554" s="2" t="s">
        <v>878</v>
      </c>
      <c r="B554" s="2" t="s">
        <v>883</v>
      </c>
      <c r="C554" s="2" t="s">
        <v>884</v>
      </c>
      <c r="D554" s="2" t="s">
        <v>884</v>
      </c>
      <c r="E554" s="3">
        <v>1</v>
      </c>
      <c r="F554" s="3">
        <v>1</v>
      </c>
      <c r="G554" s="2" t="s">
        <v>11</v>
      </c>
      <c r="H554" s="2" t="s">
        <v>870</v>
      </c>
      <c r="I554" s="2" t="s">
        <v>53</v>
      </c>
    </row>
    <row r="555" spans="1:9" ht="16" x14ac:dyDescent="0.8">
      <c r="A555" s="2" t="s">
        <v>878</v>
      </c>
      <c r="B555" s="2" t="s">
        <v>885</v>
      </c>
      <c r="C555" s="2" t="s">
        <v>886</v>
      </c>
      <c r="D555" s="2" t="s">
        <v>886</v>
      </c>
      <c r="E555" s="3">
        <v>1</v>
      </c>
      <c r="F555" s="3">
        <v>1</v>
      </c>
      <c r="G555" s="2" t="s">
        <v>11</v>
      </c>
      <c r="H555" s="2" t="s">
        <v>870</v>
      </c>
      <c r="I555" s="2" t="s">
        <v>53</v>
      </c>
    </row>
    <row r="556" spans="1:9" ht="16" x14ac:dyDescent="0.8">
      <c r="A556" s="2" t="s">
        <v>878</v>
      </c>
      <c r="B556" s="2" t="s">
        <v>887</v>
      </c>
      <c r="C556" s="2" t="s">
        <v>888</v>
      </c>
      <c r="D556" s="2" t="s">
        <v>888</v>
      </c>
      <c r="E556" s="3">
        <v>1</v>
      </c>
      <c r="F556" s="3">
        <v>1</v>
      </c>
      <c r="G556" s="2" t="s">
        <v>11</v>
      </c>
      <c r="H556" s="2" t="s">
        <v>870</v>
      </c>
      <c r="I556" s="2" t="s">
        <v>53</v>
      </c>
    </row>
    <row r="557" spans="1:9" ht="16" x14ac:dyDescent="0.8">
      <c r="A557" s="2" t="s">
        <v>878</v>
      </c>
      <c r="B557" s="2" t="s">
        <v>51</v>
      </c>
      <c r="C557" s="2" t="s">
        <v>52</v>
      </c>
      <c r="D557" s="2" t="s">
        <v>52</v>
      </c>
      <c r="E557" s="3">
        <v>1</v>
      </c>
      <c r="F557" s="3">
        <v>1</v>
      </c>
      <c r="G557" s="2" t="s">
        <v>11</v>
      </c>
      <c r="H557" s="2" t="s">
        <v>870</v>
      </c>
      <c r="I557" s="2" t="s">
        <v>53</v>
      </c>
    </row>
    <row r="558" spans="1:9" ht="16" x14ac:dyDescent="0.8">
      <c r="A558" s="2" t="s">
        <v>889</v>
      </c>
      <c r="B558" s="2" t="s">
        <v>890</v>
      </c>
      <c r="C558" s="2" t="s">
        <v>891</v>
      </c>
      <c r="D558" s="2" t="s">
        <v>891</v>
      </c>
      <c r="E558" s="3">
        <v>1</v>
      </c>
      <c r="F558" s="3">
        <v>1</v>
      </c>
      <c r="G558" s="2" t="s">
        <v>11</v>
      </c>
      <c r="H558" s="2" t="s">
        <v>870</v>
      </c>
      <c r="I558" s="2" t="s">
        <v>63</v>
      </c>
    </row>
    <row r="559" spans="1:9" ht="16" x14ac:dyDescent="0.8">
      <c r="A559" s="2" t="s">
        <v>889</v>
      </c>
      <c r="B559" s="2" t="s">
        <v>70</v>
      </c>
      <c r="C559" s="2" t="s">
        <v>71</v>
      </c>
      <c r="D559" s="2" t="s">
        <v>71</v>
      </c>
      <c r="E559" s="3">
        <v>2</v>
      </c>
      <c r="F559" s="3">
        <v>2</v>
      </c>
      <c r="G559" s="2" t="s">
        <v>11</v>
      </c>
      <c r="H559" s="2" t="s">
        <v>870</v>
      </c>
      <c r="I559" s="2" t="s">
        <v>63</v>
      </c>
    </row>
    <row r="560" spans="1:9" ht="16" x14ac:dyDescent="0.8">
      <c r="A560" s="2" t="s">
        <v>889</v>
      </c>
      <c r="B560" s="2" t="s">
        <v>893</v>
      </c>
      <c r="C560" s="2" t="s">
        <v>894</v>
      </c>
      <c r="D560" s="2" t="s">
        <v>894</v>
      </c>
      <c r="E560" s="3">
        <v>2</v>
      </c>
      <c r="F560" s="3">
        <v>2</v>
      </c>
      <c r="G560" s="2" t="s">
        <v>11</v>
      </c>
      <c r="H560" s="2" t="s">
        <v>870</v>
      </c>
      <c r="I560" s="2" t="s">
        <v>63</v>
      </c>
    </row>
    <row r="561" spans="1:9" ht="16" x14ac:dyDescent="0.8">
      <c r="A561" s="2" t="s">
        <v>889</v>
      </c>
      <c r="B561" s="2" t="s">
        <v>61</v>
      </c>
      <c r="C561" s="2" t="s">
        <v>62</v>
      </c>
      <c r="D561" s="2" t="s">
        <v>62</v>
      </c>
      <c r="E561" s="3">
        <v>1</v>
      </c>
      <c r="F561" s="3">
        <v>1</v>
      </c>
      <c r="G561" s="2" t="s">
        <v>11</v>
      </c>
      <c r="H561" s="2" t="s">
        <v>870</v>
      </c>
      <c r="I561" s="2" t="s">
        <v>63</v>
      </c>
    </row>
    <row r="562" spans="1:9" ht="16" x14ac:dyDescent="0.8">
      <c r="A562" s="2" t="s">
        <v>895</v>
      </c>
      <c r="B562" s="2" t="s">
        <v>639</v>
      </c>
      <c r="C562" s="2" t="s">
        <v>206</v>
      </c>
      <c r="D562" s="2" t="s">
        <v>206</v>
      </c>
      <c r="E562" s="3">
        <v>4016</v>
      </c>
      <c r="F562" s="3">
        <v>4016</v>
      </c>
      <c r="G562" s="2" t="s">
        <v>11</v>
      </c>
      <c r="H562" s="2" t="s">
        <v>892</v>
      </c>
      <c r="I562" s="2" t="s">
        <v>641</v>
      </c>
    </row>
    <row r="563" spans="1:9" ht="16" x14ac:dyDescent="0.8">
      <c r="A563" s="2" t="s">
        <v>895</v>
      </c>
      <c r="B563" s="2" t="s">
        <v>642</v>
      </c>
      <c r="C563" s="2" t="s">
        <v>643</v>
      </c>
      <c r="D563" s="2" t="s">
        <v>643</v>
      </c>
      <c r="E563" s="3">
        <v>13544</v>
      </c>
      <c r="F563" s="3">
        <v>13544</v>
      </c>
      <c r="G563" s="2" t="s">
        <v>11</v>
      </c>
      <c r="H563" s="2" t="s">
        <v>892</v>
      </c>
      <c r="I563" s="2" t="s">
        <v>641</v>
      </c>
    </row>
    <row r="564" spans="1:9" ht="16" x14ac:dyDescent="0.8">
      <c r="A564" s="2" t="s">
        <v>895</v>
      </c>
      <c r="B564" s="2" t="s">
        <v>644</v>
      </c>
      <c r="C564" s="2" t="s">
        <v>645</v>
      </c>
      <c r="D564" s="2" t="s">
        <v>645</v>
      </c>
      <c r="E564" s="3">
        <v>5016</v>
      </c>
      <c r="F564" s="3">
        <v>5016</v>
      </c>
      <c r="G564" s="2" t="s">
        <v>11</v>
      </c>
      <c r="H564" s="2" t="s">
        <v>892</v>
      </c>
      <c r="I564" s="2" t="s">
        <v>641</v>
      </c>
    </row>
    <row r="565" spans="1:9" ht="16" x14ac:dyDescent="0.8">
      <c r="A565" s="2" t="s">
        <v>895</v>
      </c>
      <c r="B565" s="2" t="s">
        <v>646</v>
      </c>
      <c r="C565" s="2" t="s">
        <v>647</v>
      </c>
      <c r="D565" s="2" t="s">
        <v>647</v>
      </c>
      <c r="E565" s="3">
        <v>12540</v>
      </c>
      <c r="F565" s="3">
        <v>12540</v>
      </c>
      <c r="G565" s="2" t="s">
        <v>11</v>
      </c>
      <c r="H565" s="2" t="s">
        <v>892</v>
      </c>
      <c r="I565" s="2" t="s">
        <v>641</v>
      </c>
    </row>
    <row r="566" spans="1:9" ht="16" x14ac:dyDescent="0.8">
      <c r="A566" s="2" t="s">
        <v>895</v>
      </c>
      <c r="B566" s="2" t="s">
        <v>648</v>
      </c>
      <c r="C566" s="2" t="s">
        <v>649</v>
      </c>
      <c r="D566" s="2" t="s">
        <v>649</v>
      </c>
      <c r="E566" s="3">
        <v>6520</v>
      </c>
      <c r="F566" s="3">
        <v>6520</v>
      </c>
      <c r="G566" s="2" t="s">
        <v>11</v>
      </c>
      <c r="H566" s="2" t="s">
        <v>892</v>
      </c>
      <c r="I566" s="2" t="s">
        <v>641</v>
      </c>
    </row>
    <row r="567" spans="1:9" ht="16" x14ac:dyDescent="0.8">
      <c r="A567" s="2" t="s">
        <v>895</v>
      </c>
      <c r="B567" s="2" t="s">
        <v>650</v>
      </c>
      <c r="C567" s="2" t="s">
        <v>651</v>
      </c>
      <c r="D567" s="2" t="s">
        <v>651</v>
      </c>
      <c r="E567" s="3">
        <v>8528</v>
      </c>
      <c r="F567" s="3">
        <v>8528</v>
      </c>
      <c r="G567" s="2" t="s">
        <v>11</v>
      </c>
      <c r="H567" s="2" t="s">
        <v>892</v>
      </c>
      <c r="I567" s="2" t="s">
        <v>641</v>
      </c>
    </row>
    <row r="568" spans="1:9" ht="16" x14ac:dyDescent="0.8">
      <c r="A568" s="2" t="s">
        <v>896</v>
      </c>
      <c r="B568" s="2" t="s">
        <v>897</v>
      </c>
      <c r="C568" s="2" t="s">
        <v>898</v>
      </c>
      <c r="D568" s="2" t="s">
        <v>898</v>
      </c>
      <c r="E568" s="3">
        <v>1</v>
      </c>
      <c r="F568" s="3">
        <v>1</v>
      </c>
      <c r="G568" s="2" t="s">
        <v>11</v>
      </c>
      <c r="H568" s="2" t="s">
        <v>892</v>
      </c>
      <c r="I568" s="2" t="s">
        <v>81</v>
      </c>
    </row>
    <row r="569" spans="1:9" ht="16" x14ac:dyDescent="0.8">
      <c r="A569" s="2" t="s">
        <v>899</v>
      </c>
      <c r="B569" s="2" t="s">
        <v>90</v>
      </c>
      <c r="C569" s="2" t="s">
        <v>91</v>
      </c>
      <c r="D569" s="2" t="s">
        <v>91</v>
      </c>
      <c r="E569" s="3">
        <v>3</v>
      </c>
      <c r="F569" s="3">
        <v>3</v>
      </c>
      <c r="G569" s="2" t="s">
        <v>11</v>
      </c>
      <c r="H569" s="2" t="s">
        <v>892</v>
      </c>
      <c r="I569" s="2" t="s">
        <v>87</v>
      </c>
    </row>
    <row r="570" spans="1:9" ht="16" x14ac:dyDescent="0.8">
      <c r="A570" s="2" t="s">
        <v>899</v>
      </c>
      <c r="B570" s="2" t="s">
        <v>900</v>
      </c>
      <c r="C570" s="2" t="s">
        <v>901</v>
      </c>
      <c r="D570" s="2" t="s">
        <v>901</v>
      </c>
      <c r="E570" s="3">
        <v>6</v>
      </c>
      <c r="F570" s="3">
        <v>6</v>
      </c>
      <c r="G570" s="2" t="s">
        <v>11</v>
      </c>
      <c r="H570" s="2" t="s">
        <v>892</v>
      </c>
      <c r="I570" s="2" t="s">
        <v>87</v>
      </c>
    </row>
    <row r="571" spans="1:9" ht="16" x14ac:dyDescent="0.8">
      <c r="A571" s="2" t="s">
        <v>899</v>
      </c>
      <c r="B571" s="2" t="s">
        <v>100</v>
      </c>
      <c r="C571" s="2" t="s">
        <v>101</v>
      </c>
      <c r="D571" s="2" t="s">
        <v>101</v>
      </c>
      <c r="E571" s="3">
        <v>2</v>
      </c>
      <c r="F571" s="3">
        <v>2</v>
      </c>
      <c r="G571" s="2" t="s">
        <v>11</v>
      </c>
      <c r="H571" s="2" t="s">
        <v>892</v>
      </c>
      <c r="I571" s="2" t="s">
        <v>87</v>
      </c>
    </row>
    <row r="572" spans="1:9" ht="16" x14ac:dyDescent="0.8">
      <c r="A572" s="2" t="s">
        <v>899</v>
      </c>
      <c r="B572" s="2" t="s">
        <v>102</v>
      </c>
      <c r="C572" s="2" t="s">
        <v>103</v>
      </c>
      <c r="D572" s="2" t="s">
        <v>103</v>
      </c>
      <c r="E572" s="3">
        <v>6</v>
      </c>
      <c r="F572" s="3">
        <v>6</v>
      </c>
      <c r="G572" s="2" t="s">
        <v>11</v>
      </c>
      <c r="H572" s="2" t="s">
        <v>892</v>
      </c>
      <c r="I572" s="2" t="s">
        <v>87</v>
      </c>
    </row>
    <row r="573" spans="1:9" ht="16" x14ac:dyDescent="0.8">
      <c r="A573" s="2" t="s">
        <v>899</v>
      </c>
      <c r="B573" s="2" t="s">
        <v>902</v>
      </c>
      <c r="C573" s="2" t="s">
        <v>903</v>
      </c>
      <c r="D573" s="2" t="s">
        <v>903</v>
      </c>
      <c r="E573" s="3">
        <v>1</v>
      </c>
      <c r="F573" s="3">
        <v>1</v>
      </c>
      <c r="G573" s="2" t="s">
        <v>11</v>
      </c>
      <c r="H573" s="2" t="s">
        <v>892</v>
      </c>
      <c r="I573" s="2" t="s">
        <v>87</v>
      </c>
    </row>
    <row r="574" spans="1:9" ht="16" x14ac:dyDescent="0.8">
      <c r="A574" s="2" t="s">
        <v>899</v>
      </c>
      <c r="B574" s="2" t="s">
        <v>96</v>
      </c>
      <c r="C574" s="2" t="s">
        <v>97</v>
      </c>
      <c r="D574" s="2" t="s">
        <v>97</v>
      </c>
      <c r="E574" s="3">
        <v>12</v>
      </c>
      <c r="F574" s="3">
        <v>12</v>
      </c>
      <c r="G574" s="2" t="s">
        <v>11</v>
      </c>
      <c r="H574" s="2" t="s">
        <v>892</v>
      </c>
      <c r="I574" s="2" t="s">
        <v>87</v>
      </c>
    </row>
    <row r="575" spans="1:9" ht="16" x14ac:dyDescent="0.8">
      <c r="A575" s="2" t="s">
        <v>899</v>
      </c>
      <c r="B575" s="2" t="s">
        <v>98</v>
      </c>
      <c r="C575" s="2" t="s">
        <v>99</v>
      </c>
      <c r="D575" s="2" t="s">
        <v>99</v>
      </c>
      <c r="E575" s="3">
        <v>4</v>
      </c>
      <c r="F575" s="3">
        <v>4</v>
      </c>
      <c r="G575" s="2" t="s">
        <v>11</v>
      </c>
      <c r="H575" s="2" t="s">
        <v>892</v>
      </c>
      <c r="I575" s="2" t="s">
        <v>87</v>
      </c>
    </row>
    <row r="576" spans="1:9" ht="16" x14ac:dyDescent="0.8">
      <c r="A576" s="2" t="s">
        <v>899</v>
      </c>
      <c r="B576" s="2" t="s">
        <v>904</v>
      </c>
      <c r="C576" s="2" t="s">
        <v>905</v>
      </c>
      <c r="D576" s="2" t="s">
        <v>905</v>
      </c>
      <c r="E576" s="3">
        <v>1</v>
      </c>
      <c r="F576" s="3">
        <v>1</v>
      </c>
      <c r="G576" s="2" t="s">
        <v>11</v>
      </c>
      <c r="H576" s="2" t="s">
        <v>892</v>
      </c>
      <c r="I576" s="2" t="s">
        <v>87</v>
      </c>
    </row>
    <row r="577" spans="1:9" ht="16" x14ac:dyDescent="0.8">
      <c r="A577" s="2" t="s">
        <v>899</v>
      </c>
      <c r="B577" s="2" t="s">
        <v>906</v>
      </c>
      <c r="C577" s="2" t="s">
        <v>907</v>
      </c>
      <c r="D577" s="2" t="s">
        <v>907</v>
      </c>
      <c r="E577" s="3">
        <v>3</v>
      </c>
      <c r="F577" s="3">
        <v>3</v>
      </c>
      <c r="G577" s="2" t="s">
        <v>11</v>
      </c>
      <c r="H577" s="2" t="s">
        <v>892</v>
      </c>
      <c r="I577" s="2" t="s">
        <v>87</v>
      </c>
    </row>
    <row r="578" spans="1:9" ht="16" x14ac:dyDescent="0.8">
      <c r="A578" s="2" t="s">
        <v>899</v>
      </c>
      <c r="B578" s="2" t="s">
        <v>908</v>
      </c>
      <c r="C578" s="2" t="s">
        <v>909</v>
      </c>
      <c r="D578" s="2" t="s">
        <v>909</v>
      </c>
      <c r="E578" s="3">
        <v>1</v>
      </c>
      <c r="F578" s="3">
        <v>1</v>
      </c>
      <c r="G578" s="2" t="s">
        <v>11</v>
      </c>
      <c r="H578" s="2" t="s">
        <v>892</v>
      </c>
      <c r="I578" s="2" t="s">
        <v>87</v>
      </c>
    </row>
    <row r="579" spans="1:9" ht="16" x14ac:dyDescent="0.8">
      <c r="A579" s="2" t="s">
        <v>899</v>
      </c>
      <c r="B579" s="2" t="s">
        <v>85</v>
      </c>
      <c r="C579" s="2" t="s">
        <v>86</v>
      </c>
      <c r="D579" s="2" t="s">
        <v>86</v>
      </c>
      <c r="E579" s="3">
        <v>11</v>
      </c>
      <c r="F579" s="3">
        <v>11</v>
      </c>
      <c r="G579" s="2" t="s">
        <v>11</v>
      </c>
      <c r="H579" s="2" t="s">
        <v>892</v>
      </c>
      <c r="I579" s="2" t="s">
        <v>87</v>
      </c>
    </row>
    <row r="580" spans="1:9" ht="16" x14ac:dyDescent="0.8">
      <c r="A580" s="2" t="s">
        <v>899</v>
      </c>
      <c r="B580" s="2" t="s">
        <v>88</v>
      </c>
      <c r="C580" s="2" t="s">
        <v>89</v>
      </c>
      <c r="D580" s="2" t="s">
        <v>89</v>
      </c>
      <c r="E580" s="3">
        <v>6</v>
      </c>
      <c r="F580" s="3">
        <v>6</v>
      </c>
      <c r="G580" s="2" t="s">
        <v>11</v>
      </c>
      <c r="H580" s="2" t="s">
        <v>892</v>
      </c>
      <c r="I580" s="2" t="s">
        <v>87</v>
      </c>
    </row>
    <row r="581" spans="1:9" ht="16" x14ac:dyDescent="0.8">
      <c r="A581" s="2" t="s">
        <v>910</v>
      </c>
      <c r="B581" s="2" t="s">
        <v>911</v>
      </c>
      <c r="C581" s="2" t="s">
        <v>912</v>
      </c>
      <c r="D581" s="2" t="s">
        <v>912</v>
      </c>
      <c r="E581" s="3">
        <v>2</v>
      </c>
      <c r="F581" s="3">
        <v>0</v>
      </c>
      <c r="G581" s="2" t="s">
        <v>196</v>
      </c>
      <c r="H581" s="2" t="s">
        <v>892</v>
      </c>
      <c r="I581" s="2" t="s">
        <v>107</v>
      </c>
    </row>
    <row r="582" spans="1:9" ht="16" x14ac:dyDescent="0.8">
      <c r="A582" s="2" t="s">
        <v>913</v>
      </c>
      <c r="B582" s="2" t="s">
        <v>109</v>
      </c>
      <c r="C582" s="2" t="s">
        <v>110</v>
      </c>
      <c r="D582" s="2" t="s">
        <v>110</v>
      </c>
      <c r="E582" s="3">
        <v>2</v>
      </c>
      <c r="F582" s="3">
        <v>2</v>
      </c>
      <c r="G582" s="2" t="s">
        <v>11</v>
      </c>
      <c r="H582" s="2" t="s">
        <v>892</v>
      </c>
      <c r="I582" s="2" t="s">
        <v>111</v>
      </c>
    </row>
    <row r="583" spans="1:9" ht="16" x14ac:dyDescent="0.8">
      <c r="A583" s="2" t="s">
        <v>913</v>
      </c>
      <c r="B583" s="2" t="s">
        <v>914</v>
      </c>
      <c r="C583" s="2" t="s">
        <v>915</v>
      </c>
      <c r="D583" s="2" t="s">
        <v>915</v>
      </c>
      <c r="E583" s="3">
        <v>2</v>
      </c>
      <c r="F583" s="3">
        <v>2</v>
      </c>
      <c r="G583" s="2" t="s">
        <v>11</v>
      </c>
      <c r="H583" s="2" t="s">
        <v>892</v>
      </c>
      <c r="I583" s="2" t="s">
        <v>111</v>
      </c>
    </row>
    <row r="584" spans="1:9" ht="16" x14ac:dyDescent="0.8">
      <c r="A584" s="2" t="s">
        <v>913</v>
      </c>
      <c r="B584" s="2" t="s">
        <v>916</v>
      </c>
      <c r="C584" s="2" t="s">
        <v>917</v>
      </c>
      <c r="D584" s="2" t="s">
        <v>917</v>
      </c>
      <c r="E584" s="3">
        <v>1</v>
      </c>
      <c r="F584" s="3">
        <v>1</v>
      </c>
      <c r="G584" s="2" t="s">
        <v>11</v>
      </c>
      <c r="H584" s="2" t="s">
        <v>892</v>
      </c>
      <c r="I584" s="2" t="s">
        <v>111</v>
      </c>
    </row>
    <row r="585" spans="1:9" ht="16" x14ac:dyDescent="0.8">
      <c r="A585" s="2" t="s">
        <v>918</v>
      </c>
      <c r="B585" s="2" t="s">
        <v>128</v>
      </c>
      <c r="C585" s="2" t="s">
        <v>129</v>
      </c>
      <c r="D585" s="2" t="s">
        <v>129</v>
      </c>
      <c r="E585" s="3">
        <v>1</v>
      </c>
      <c r="F585" s="3">
        <v>1</v>
      </c>
      <c r="G585" s="2" t="s">
        <v>11</v>
      </c>
      <c r="H585" s="2" t="s">
        <v>892</v>
      </c>
      <c r="I585" s="2" t="s">
        <v>117</v>
      </c>
    </row>
    <row r="586" spans="1:9" ht="16" x14ac:dyDescent="0.8">
      <c r="A586" s="2" t="s">
        <v>918</v>
      </c>
      <c r="B586" s="2" t="s">
        <v>919</v>
      </c>
      <c r="C586" s="2" t="s">
        <v>920</v>
      </c>
      <c r="D586" s="2" t="s">
        <v>920</v>
      </c>
      <c r="E586" s="3">
        <v>2</v>
      </c>
      <c r="F586" s="3">
        <v>2</v>
      </c>
      <c r="G586" s="2" t="s">
        <v>11</v>
      </c>
      <c r="H586" s="2" t="s">
        <v>892</v>
      </c>
      <c r="I586" s="2" t="s">
        <v>117</v>
      </c>
    </row>
    <row r="587" spans="1:9" ht="16" x14ac:dyDescent="0.8">
      <c r="A587" s="2" t="s">
        <v>918</v>
      </c>
      <c r="B587" s="2" t="s">
        <v>921</v>
      </c>
      <c r="C587" s="2" t="s">
        <v>922</v>
      </c>
      <c r="D587" s="2" t="s">
        <v>922</v>
      </c>
      <c r="E587" s="3">
        <v>1</v>
      </c>
      <c r="F587" s="3">
        <v>1</v>
      </c>
      <c r="G587" s="2" t="s">
        <v>11</v>
      </c>
      <c r="H587" s="2" t="s">
        <v>892</v>
      </c>
      <c r="I587" s="2" t="s">
        <v>117</v>
      </c>
    </row>
    <row r="588" spans="1:9" ht="16" x14ac:dyDescent="0.8">
      <c r="A588" s="2" t="s">
        <v>923</v>
      </c>
      <c r="B588" s="2" t="s">
        <v>387</v>
      </c>
      <c r="C588" s="2" t="s">
        <v>388</v>
      </c>
      <c r="D588" s="2" t="s">
        <v>388</v>
      </c>
      <c r="E588" s="3">
        <v>49768</v>
      </c>
      <c r="F588" s="3">
        <v>49768</v>
      </c>
      <c r="G588" s="2" t="s">
        <v>11</v>
      </c>
      <c r="H588" s="2" t="s">
        <v>892</v>
      </c>
      <c r="I588" s="2" t="s">
        <v>390</v>
      </c>
    </row>
    <row r="589" spans="1:9" ht="16" x14ac:dyDescent="0.8">
      <c r="A589" s="2" t="s">
        <v>918</v>
      </c>
      <c r="B589" s="2" t="s">
        <v>122</v>
      </c>
      <c r="C589" s="2" t="s">
        <v>123</v>
      </c>
      <c r="D589" s="2" t="s">
        <v>123</v>
      </c>
      <c r="E589" s="3">
        <v>7</v>
      </c>
      <c r="F589" s="3">
        <v>7</v>
      </c>
      <c r="G589" s="2" t="s">
        <v>11</v>
      </c>
      <c r="H589" s="2" t="s">
        <v>892</v>
      </c>
      <c r="I589" s="2" t="s">
        <v>117</v>
      </c>
    </row>
    <row r="590" spans="1:9" ht="16" x14ac:dyDescent="0.8">
      <c r="A590" s="2" t="s">
        <v>918</v>
      </c>
      <c r="B590" s="2" t="s">
        <v>124</v>
      </c>
      <c r="C590" s="2" t="s">
        <v>125</v>
      </c>
      <c r="D590" s="2" t="s">
        <v>125</v>
      </c>
      <c r="E590" s="3">
        <v>5</v>
      </c>
      <c r="F590" s="3">
        <v>5</v>
      </c>
      <c r="G590" s="2" t="s">
        <v>11</v>
      </c>
      <c r="H590" s="2" t="s">
        <v>892</v>
      </c>
      <c r="I590" s="2" t="s">
        <v>117</v>
      </c>
    </row>
    <row r="591" spans="1:9" ht="16" x14ac:dyDescent="0.8">
      <c r="A591" s="2" t="s">
        <v>918</v>
      </c>
      <c r="B591" s="2" t="s">
        <v>924</v>
      </c>
      <c r="C591" s="2" t="s">
        <v>925</v>
      </c>
      <c r="D591" s="2" t="s">
        <v>925</v>
      </c>
      <c r="E591" s="3">
        <v>4</v>
      </c>
      <c r="F591" s="3">
        <v>4</v>
      </c>
      <c r="G591" s="2" t="s">
        <v>11</v>
      </c>
      <c r="H591" s="2" t="s">
        <v>892</v>
      </c>
      <c r="I591" s="2" t="s">
        <v>117</v>
      </c>
    </row>
    <row r="592" spans="1:9" ht="16" x14ac:dyDescent="0.8">
      <c r="A592" s="2" t="s">
        <v>918</v>
      </c>
      <c r="B592" s="2" t="s">
        <v>118</v>
      </c>
      <c r="C592" s="2" t="s">
        <v>119</v>
      </c>
      <c r="D592" s="2" t="s">
        <v>119</v>
      </c>
      <c r="E592" s="3">
        <v>2</v>
      </c>
      <c r="F592" s="3">
        <v>2</v>
      </c>
      <c r="G592" s="2" t="s">
        <v>11</v>
      </c>
      <c r="H592" s="2" t="s">
        <v>892</v>
      </c>
      <c r="I592" s="2" t="s">
        <v>117</v>
      </c>
    </row>
    <row r="593" spans="1:9" ht="16" x14ac:dyDescent="0.8">
      <c r="A593" s="2" t="s">
        <v>918</v>
      </c>
      <c r="B593" s="2" t="s">
        <v>126</v>
      </c>
      <c r="C593" s="2" t="s">
        <v>127</v>
      </c>
      <c r="D593" s="2" t="s">
        <v>127</v>
      </c>
      <c r="E593" s="3">
        <v>2</v>
      </c>
      <c r="F593" s="3">
        <v>2</v>
      </c>
      <c r="G593" s="2" t="s">
        <v>11</v>
      </c>
      <c r="H593" s="2" t="s">
        <v>892</v>
      </c>
      <c r="I593" s="2" t="s">
        <v>117</v>
      </c>
    </row>
    <row r="594" spans="1:9" ht="16" x14ac:dyDescent="0.8">
      <c r="A594" s="2" t="s">
        <v>926</v>
      </c>
      <c r="B594" s="2" t="s">
        <v>160</v>
      </c>
      <c r="C594" s="2" t="s">
        <v>161</v>
      </c>
      <c r="D594" s="2" t="s">
        <v>161</v>
      </c>
      <c r="E594" s="3">
        <v>1</v>
      </c>
      <c r="F594" s="3">
        <v>1</v>
      </c>
      <c r="G594" s="2" t="s">
        <v>11</v>
      </c>
      <c r="H594" s="2" t="s">
        <v>892</v>
      </c>
      <c r="I594" s="2" t="s">
        <v>133</v>
      </c>
    </row>
    <row r="595" spans="1:9" ht="16" x14ac:dyDescent="0.8">
      <c r="A595" s="2" t="s">
        <v>926</v>
      </c>
      <c r="B595" s="2" t="s">
        <v>927</v>
      </c>
      <c r="C595" s="2" t="s">
        <v>928</v>
      </c>
      <c r="D595" s="2" t="s">
        <v>928</v>
      </c>
      <c r="E595" s="3">
        <v>1</v>
      </c>
      <c r="F595" s="3">
        <v>1</v>
      </c>
      <c r="G595" s="2" t="s">
        <v>11</v>
      </c>
      <c r="H595" s="2" t="s">
        <v>892</v>
      </c>
      <c r="I595" s="2" t="s">
        <v>133</v>
      </c>
    </row>
    <row r="596" spans="1:9" ht="16" x14ac:dyDescent="0.8">
      <c r="A596" s="2" t="s">
        <v>926</v>
      </c>
      <c r="B596" s="2" t="s">
        <v>142</v>
      </c>
      <c r="C596" s="2" t="s">
        <v>143</v>
      </c>
      <c r="D596" s="2" t="s">
        <v>143</v>
      </c>
      <c r="E596" s="3">
        <v>1</v>
      </c>
      <c r="F596" s="3">
        <v>1</v>
      </c>
      <c r="G596" s="2" t="s">
        <v>11</v>
      </c>
      <c r="H596" s="2" t="s">
        <v>892</v>
      </c>
      <c r="I596" s="2" t="s">
        <v>133</v>
      </c>
    </row>
    <row r="597" spans="1:9" ht="16" x14ac:dyDescent="0.8">
      <c r="A597" s="2" t="s">
        <v>926</v>
      </c>
      <c r="B597" s="2" t="s">
        <v>138</v>
      </c>
      <c r="C597" s="2" t="s">
        <v>139</v>
      </c>
      <c r="D597" s="2" t="s">
        <v>139</v>
      </c>
      <c r="E597" s="3">
        <v>1</v>
      </c>
      <c r="F597" s="3">
        <v>1</v>
      </c>
      <c r="G597" s="2" t="s">
        <v>11</v>
      </c>
      <c r="H597" s="2" t="s">
        <v>892</v>
      </c>
      <c r="I597" s="2" t="s">
        <v>133</v>
      </c>
    </row>
    <row r="598" spans="1:9" ht="16" x14ac:dyDescent="0.8">
      <c r="A598" s="2" t="s">
        <v>926</v>
      </c>
      <c r="B598" s="2" t="s">
        <v>929</v>
      </c>
      <c r="C598" s="2" t="s">
        <v>930</v>
      </c>
      <c r="D598" s="2" t="s">
        <v>930</v>
      </c>
      <c r="E598" s="3">
        <v>2</v>
      </c>
      <c r="F598" s="3">
        <v>2</v>
      </c>
      <c r="G598" s="2" t="s">
        <v>11</v>
      </c>
      <c r="H598" s="2" t="s">
        <v>892</v>
      </c>
      <c r="I598" s="2" t="s">
        <v>133</v>
      </c>
    </row>
    <row r="599" spans="1:9" ht="16" x14ac:dyDescent="0.8">
      <c r="A599" s="2" t="s">
        <v>926</v>
      </c>
      <c r="B599" s="2" t="s">
        <v>931</v>
      </c>
      <c r="C599" s="2" t="s">
        <v>932</v>
      </c>
      <c r="D599" s="2" t="s">
        <v>932</v>
      </c>
      <c r="E599" s="3">
        <v>1</v>
      </c>
      <c r="F599" s="3">
        <v>1</v>
      </c>
      <c r="G599" s="2" t="s">
        <v>11</v>
      </c>
      <c r="H599" s="2" t="s">
        <v>892</v>
      </c>
      <c r="I599" s="2" t="s">
        <v>133</v>
      </c>
    </row>
    <row r="600" spans="1:9" ht="16" x14ac:dyDescent="0.8">
      <c r="A600" s="2" t="s">
        <v>926</v>
      </c>
      <c r="B600" s="2" t="s">
        <v>933</v>
      </c>
      <c r="C600" s="2" t="s">
        <v>934</v>
      </c>
      <c r="D600" s="2" t="s">
        <v>934</v>
      </c>
      <c r="E600" s="3">
        <v>1</v>
      </c>
      <c r="F600" s="3">
        <v>1</v>
      </c>
      <c r="G600" s="2" t="s">
        <v>11</v>
      </c>
      <c r="H600" s="2" t="s">
        <v>892</v>
      </c>
      <c r="I600" s="2" t="s">
        <v>133</v>
      </c>
    </row>
    <row r="601" spans="1:9" ht="16" x14ac:dyDescent="0.8">
      <c r="A601" s="2" t="s">
        <v>926</v>
      </c>
      <c r="B601" s="2" t="s">
        <v>935</v>
      </c>
      <c r="C601" s="2" t="s">
        <v>936</v>
      </c>
      <c r="D601" s="2" t="s">
        <v>936</v>
      </c>
      <c r="E601" s="3">
        <v>1</v>
      </c>
      <c r="F601" s="3">
        <v>1</v>
      </c>
      <c r="G601" s="2" t="s">
        <v>11</v>
      </c>
      <c r="H601" s="2" t="s">
        <v>892</v>
      </c>
      <c r="I601" s="2" t="s">
        <v>133</v>
      </c>
    </row>
    <row r="602" spans="1:9" ht="16" x14ac:dyDescent="0.8">
      <c r="A602" s="2" t="s">
        <v>926</v>
      </c>
      <c r="B602" s="2" t="s">
        <v>134</v>
      </c>
      <c r="C602" s="2" t="s">
        <v>135</v>
      </c>
      <c r="D602" s="2" t="s">
        <v>135</v>
      </c>
      <c r="E602" s="3">
        <v>1</v>
      </c>
      <c r="F602" s="3">
        <v>1</v>
      </c>
      <c r="G602" s="2" t="s">
        <v>11</v>
      </c>
      <c r="H602" s="2" t="s">
        <v>892</v>
      </c>
      <c r="I602" s="2" t="s">
        <v>133</v>
      </c>
    </row>
    <row r="603" spans="1:9" ht="16" x14ac:dyDescent="0.8">
      <c r="A603" s="2" t="s">
        <v>926</v>
      </c>
      <c r="B603" s="2" t="s">
        <v>150</v>
      </c>
      <c r="C603" s="2" t="s">
        <v>151</v>
      </c>
      <c r="D603" s="2" t="s">
        <v>151</v>
      </c>
      <c r="E603" s="3">
        <v>12</v>
      </c>
      <c r="F603" s="3">
        <v>12</v>
      </c>
      <c r="G603" s="2" t="s">
        <v>11</v>
      </c>
      <c r="H603" s="2" t="s">
        <v>892</v>
      </c>
      <c r="I603" s="2" t="s">
        <v>133</v>
      </c>
    </row>
    <row r="604" spans="1:9" ht="16" x14ac:dyDescent="0.8">
      <c r="A604" s="2" t="s">
        <v>926</v>
      </c>
      <c r="B604" s="2" t="s">
        <v>937</v>
      </c>
      <c r="C604" s="2" t="s">
        <v>938</v>
      </c>
      <c r="D604" s="2" t="s">
        <v>938</v>
      </c>
      <c r="E604" s="3">
        <v>1</v>
      </c>
      <c r="F604" s="3">
        <v>1</v>
      </c>
      <c r="G604" s="2" t="s">
        <v>11</v>
      </c>
      <c r="H604" s="2" t="s">
        <v>892</v>
      </c>
      <c r="I604" s="2" t="s">
        <v>133</v>
      </c>
    </row>
    <row r="605" spans="1:9" ht="16" x14ac:dyDescent="0.8">
      <c r="A605" s="2" t="s">
        <v>926</v>
      </c>
      <c r="B605" s="2" t="s">
        <v>939</v>
      </c>
      <c r="C605" s="2" t="s">
        <v>940</v>
      </c>
      <c r="D605" s="2" t="s">
        <v>940</v>
      </c>
      <c r="E605" s="3">
        <v>1</v>
      </c>
      <c r="F605" s="3">
        <v>1</v>
      </c>
      <c r="G605" s="2" t="s">
        <v>11</v>
      </c>
      <c r="H605" s="2" t="s">
        <v>892</v>
      </c>
      <c r="I605" s="2" t="s">
        <v>133</v>
      </c>
    </row>
    <row r="606" spans="1:9" ht="16" x14ac:dyDescent="0.8">
      <c r="A606" s="2" t="s">
        <v>926</v>
      </c>
      <c r="B606" s="2" t="s">
        <v>144</v>
      </c>
      <c r="C606" s="2" t="s">
        <v>145</v>
      </c>
      <c r="D606" s="2" t="s">
        <v>145</v>
      </c>
      <c r="E606" s="3">
        <v>1</v>
      </c>
      <c r="F606" s="3">
        <v>1</v>
      </c>
      <c r="G606" s="2" t="s">
        <v>11</v>
      </c>
      <c r="H606" s="2" t="s">
        <v>892</v>
      </c>
      <c r="I606" s="2" t="s">
        <v>133</v>
      </c>
    </row>
    <row r="607" spans="1:9" ht="16" x14ac:dyDescent="0.8">
      <c r="A607" s="2" t="s">
        <v>926</v>
      </c>
      <c r="B607" s="2" t="s">
        <v>148</v>
      </c>
      <c r="C607" s="2" t="s">
        <v>149</v>
      </c>
      <c r="D607" s="2" t="s">
        <v>149</v>
      </c>
      <c r="E607" s="3">
        <v>15</v>
      </c>
      <c r="F607" s="3">
        <v>15</v>
      </c>
      <c r="G607" s="2" t="s">
        <v>11</v>
      </c>
      <c r="H607" s="2" t="s">
        <v>892</v>
      </c>
      <c r="I607" s="2" t="s">
        <v>133</v>
      </c>
    </row>
    <row r="608" spans="1:9" ht="16" x14ac:dyDescent="0.8">
      <c r="A608" s="2" t="s">
        <v>926</v>
      </c>
      <c r="B608" s="2" t="s">
        <v>152</v>
      </c>
      <c r="C608" s="2" t="s">
        <v>153</v>
      </c>
      <c r="D608" s="2" t="s">
        <v>153</v>
      </c>
      <c r="E608" s="3">
        <v>1</v>
      </c>
      <c r="F608" s="3">
        <v>1</v>
      </c>
      <c r="G608" s="2" t="s">
        <v>11</v>
      </c>
      <c r="H608" s="2" t="s">
        <v>892</v>
      </c>
      <c r="I608" s="2" t="s">
        <v>133</v>
      </c>
    </row>
    <row r="609" spans="1:9" ht="16" x14ac:dyDescent="0.8">
      <c r="A609" s="2" t="s">
        <v>926</v>
      </c>
      <c r="B609" s="2" t="s">
        <v>156</v>
      </c>
      <c r="C609" s="2" t="s">
        <v>157</v>
      </c>
      <c r="D609" s="2" t="s">
        <v>157</v>
      </c>
      <c r="E609" s="3">
        <v>1</v>
      </c>
      <c r="F609" s="3">
        <v>1</v>
      </c>
      <c r="G609" s="2" t="s">
        <v>11</v>
      </c>
      <c r="H609" s="2" t="s">
        <v>892</v>
      </c>
      <c r="I609" s="2" t="s">
        <v>133</v>
      </c>
    </row>
    <row r="610" spans="1:9" ht="16" x14ac:dyDescent="0.8">
      <c r="A610" s="2" t="s">
        <v>942</v>
      </c>
      <c r="B610" s="2" t="s">
        <v>943</v>
      </c>
      <c r="C610" s="2" t="s">
        <v>944</v>
      </c>
      <c r="D610" s="2" t="s">
        <v>944</v>
      </c>
      <c r="E610" s="3">
        <v>5040</v>
      </c>
      <c r="F610" s="3">
        <v>5040</v>
      </c>
      <c r="G610" s="2" t="s">
        <v>11</v>
      </c>
      <c r="H610" s="2" t="s">
        <v>945</v>
      </c>
      <c r="I610" s="2" t="s">
        <v>168</v>
      </c>
    </row>
    <row r="611" spans="1:9" ht="16" x14ac:dyDescent="0.8">
      <c r="A611" s="2" t="s">
        <v>942</v>
      </c>
      <c r="B611" s="2" t="s">
        <v>863</v>
      </c>
      <c r="C611" s="2" t="s">
        <v>864</v>
      </c>
      <c r="D611" s="2" t="s">
        <v>864</v>
      </c>
      <c r="E611" s="3">
        <v>15030</v>
      </c>
      <c r="F611" s="3">
        <v>15030</v>
      </c>
      <c r="G611" s="2" t="s">
        <v>11</v>
      </c>
      <c r="H611" s="2" t="s">
        <v>945</v>
      </c>
      <c r="I611" s="2" t="s">
        <v>168</v>
      </c>
    </row>
    <row r="612" spans="1:9" ht="16" x14ac:dyDescent="0.8">
      <c r="A612" s="2" t="s">
        <v>942</v>
      </c>
      <c r="B612" s="2" t="s">
        <v>865</v>
      </c>
      <c r="C612" s="2" t="s">
        <v>866</v>
      </c>
      <c r="D612" s="2" t="s">
        <v>866</v>
      </c>
      <c r="E612" s="3">
        <v>15000</v>
      </c>
      <c r="F612" s="3">
        <v>15000</v>
      </c>
      <c r="G612" s="2" t="s">
        <v>11</v>
      </c>
      <c r="H612" s="2" t="s">
        <v>945</v>
      </c>
      <c r="I612" s="2" t="s">
        <v>168</v>
      </c>
    </row>
    <row r="613" spans="1:9" ht="16" x14ac:dyDescent="0.8">
      <c r="A613" s="2" t="s">
        <v>942</v>
      </c>
      <c r="B613" s="2" t="s">
        <v>867</v>
      </c>
      <c r="C613" s="2" t="s">
        <v>868</v>
      </c>
      <c r="D613" s="2" t="s">
        <v>868</v>
      </c>
      <c r="E613" s="3">
        <v>15000</v>
      </c>
      <c r="F613" s="3">
        <v>15000</v>
      </c>
      <c r="G613" s="2" t="s">
        <v>11</v>
      </c>
      <c r="H613" s="2" t="s">
        <v>945</v>
      </c>
      <c r="I613" s="2" t="s">
        <v>168</v>
      </c>
    </row>
    <row r="614" spans="1:9" ht="16" x14ac:dyDescent="0.8">
      <c r="A614" s="2" t="s">
        <v>946</v>
      </c>
      <c r="B614" s="2" t="s">
        <v>947</v>
      </c>
      <c r="C614" s="2" t="s">
        <v>948</v>
      </c>
      <c r="D614" s="2" t="s">
        <v>948</v>
      </c>
      <c r="E614" s="3">
        <v>3953664</v>
      </c>
      <c r="F614" s="3">
        <v>3953664</v>
      </c>
      <c r="G614" s="2" t="s">
        <v>11</v>
      </c>
      <c r="H614" s="2" t="s">
        <v>945</v>
      </c>
      <c r="I614" s="2" t="s">
        <v>699</v>
      </c>
    </row>
    <row r="615" spans="1:9" ht="16" x14ac:dyDescent="0.8">
      <c r="A615" s="2" t="s">
        <v>949</v>
      </c>
      <c r="B615" s="2" t="s">
        <v>947</v>
      </c>
      <c r="C615" s="2" t="s">
        <v>948</v>
      </c>
      <c r="D615" s="2" t="s">
        <v>948</v>
      </c>
      <c r="E615" s="3">
        <v>3953664</v>
      </c>
      <c r="F615" s="3">
        <v>3953664</v>
      </c>
      <c r="G615" s="2" t="s">
        <v>11</v>
      </c>
      <c r="H615" s="2" t="s">
        <v>945</v>
      </c>
      <c r="I615" s="2" t="s">
        <v>699</v>
      </c>
    </row>
    <row r="616" spans="1:9" ht="16" x14ac:dyDescent="0.8">
      <c r="A616" s="2" t="s">
        <v>950</v>
      </c>
      <c r="B616" s="2" t="s">
        <v>947</v>
      </c>
      <c r="C616" s="2" t="s">
        <v>948</v>
      </c>
      <c r="D616" s="2" t="s">
        <v>948</v>
      </c>
      <c r="E616" s="3">
        <v>3953664</v>
      </c>
      <c r="F616" s="3">
        <v>3953664</v>
      </c>
      <c r="G616" s="2" t="s">
        <v>11</v>
      </c>
      <c r="H616" s="2" t="s">
        <v>945</v>
      </c>
      <c r="I616" s="2" t="s">
        <v>699</v>
      </c>
    </row>
    <row r="617" spans="1:9" ht="16" x14ac:dyDescent="0.8">
      <c r="A617" s="2" t="s">
        <v>951</v>
      </c>
      <c r="B617" s="2" t="s">
        <v>947</v>
      </c>
      <c r="C617" s="2" t="s">
        <v>948</v>
      </c>
      <c r="D617" s="2" t="s">
        <v>948</v>
      </c>
      <c r="E617" s="3">
        <v>3953664</v>
      </c>
      <c r="F617" s="3">
        <v>3953664</v>
      </c>
      <c r="G617" s="2" t="s">
        <v>11</v>
      </c>
      <c r="H617" s="2" t="s">
        <v>945</v>
      </c>
      <c r="I617" s="2" t="s">
        <v>699</v>
      </c>
    </row>
    <row r="618" spans="1:9" ht="16" x14ac:dyDescent="0.8">
      <c r="A618" s="2" t="s">
        <v>952</v>
      </c>
      <c r="B618" s="2" t="s">
        <v>947</v>
      </c>
      <c r="C618" s="2" t="s">
        <v>948</v>
      </c>
      <c r="D618" s="2" t="s">
        <v>948</v>
      </c>
      <c r="E618" s="3">
        <v>3953664</v>
      </c>
      <c r="F618" s="3">
        <v>3953664</v>
      </c>
      <c r="G618" s="2" t="s">
        <v>11</v>
      </c>
      <c r="H618" s="2" t="s">
        <v>945</v>
      </c>
      <c r="I618" s="2" t="s">
        <v>699</v>
      </c>
    </row>
    <row r="619" spans="1:9" ht="16" x14ac:dyDescent="0.8">
      <c r="A619" s="2" t="s">
        <v>953</v>
      </c>
      <c r="B619" s="2" t="s">
        <v>947</v>
      </c>
      <c r="C619" s="2" t="s">
        <v>948</v>
      </c>
      <c r="D619" s="2" t="s">
        <v>948</v>
      </c>
      <c r="E619" s="3">
        <v>3953664</v>
      </c>
      <c r="F619" s="3">
        <v>3953664</v>
      </c>
      <c r="G619" s="2" t="s">
        <v>11</v>
      </c>
      <c r="H619" s="2" t="s">
        <v>945</v>
      </c>
      <c r="I619" s="2" t="s">
        <v>699</v>
      </c>
    </row>
    <row r="620" spans="1:9" ht="16" x14ac:dyDescent="0.8">
      <c r="A620" s="2" t="s">
        <v>954</v>
      </c>
      <c r="B620" s="2" t="s">
        <v>947</v>
      </c>
      <c r="C620" s="2" t="s">
        <v>948</v>
      </c>
      <c r="D620" s="2" t="s">
        <v>948</v>
      </c>
      <c r="E620" s="3">
        <v>1682080</v>
      </c>
      <c r="F620" s="3">
        <v>1682080</v>
      </c>
      <c r="G620" s="2" t="s">
        <v>11</v>
      </c>
      <c r="H620" s="2" t="s">
        <v>945</v>
      </c>
      <c r="I620" s="2" t="s">
        <v>699</v>
      </c>
    </row>
    <row r="621" spans="1:9" ht="16" x14ac:dyDescent="0.8">
      <c r="A621" s="2" t="s">
        <v>955</v>
      </c>
      <c r="B621" s="2" t="s">
        <v>956</v>
      </c>
      <c r="C621" s="2" t="s">
        <v>957</v>
      </c>
      <c r="D621" s="2" t="s">
        <v>957</v>
      </c>
      <c r="E621" s="3">
        <v>79200</v>
      </c>
      <c r="F621" s="3">
        <v>79200</v>
      </c>
      <c r="G621" s="2" t="s">
        <v>11</v>
      </c>
      <c r="H621" s="2" t="s">
        <v>945</v>
      </c>
      <c r="I621" s="2" t="s">
        <v>699</v>
      </c>
    </row>
    <row r="622" spans="1:9" ht="16" x14ac:dyDescent="0.8">
      <c r="A622" s="2" t="s">
        <v>958</v>
      </c>
      <c r="B622" s="2" t="s">
        <v>956</v>
      </c>
      <c r="C622" s="2" t="s">
        <v>957</v>
      </c>
      <c r="D622" s="2" t="s">
        <v>957</v>
      </c>
      <c r="E622" s="3">
        <v>21720</v>
      </c>
      <c r="F622" s="3">
        <v>21720</v>
      </c>
      <c r="G622" s="2" t="s">
        <v>11</v>
      </c>
      <c r="H622" s="2" t="s">
        <v>945</v>
      </c>
      <c r="I622" s="2" t="s">
        <v>699</v>
      </c>
    </row>
    <row r="623" spans="1:9" ht="16" x14ac:dyDescent="0.8">
      <c r="A623" s="2" t="s">
        <v>959</v>
      </c>
      <c r="B623" s="2" t="s">
        <v>960</v>
      </c>
      <c r="C623" s="2" t="s">
        <v>961</v>
      </c>
      <c r="D623" s="2" t="s">
        <v>961</v>
      </c>
      <c r="E623" s="3">
        <v>150840</v>
      </c>
      <c r="F623" s="3">
        <v>150840</v>
      </c>
      <c r="G623" s="2" t="s">
        <v>11</v>
      </c>
      <c r="H623" s="2" t="s">
        <v>945</v>
      </c>
      <c r="I623" s="2" t="s">
        <v>699</v>
      </c>
    </row>
    <row r="624" spans="1:9" ht="16" x14ac:dyDescent="0.8">
      <c r="A624" s="2" t="s">
        <v>962</v>
      </c>
      <c r="B624" s="2" t="s">
        <v>963</v>
      </c>
      <c r="C624" s="2" t="s">
        <v>964</v>
      </c>
      <c r="D624" s="2" t="s">
        <v>964</v>
      </c>
      <c r="E624" s="3">
        <v>6</v>
      </c>
      <c r="F624" s="3">
        <v>6</v>
      </c>
      <c r="G624" s="2" t="s">
        <v>11</v>
      </c>
      <c r="H624" s="2" t="s">
        <v>945</v>
      </c>
      <c r="I624" s="2" t="s">
        <v>190</v>
      </c>
    </row>
    <row r="625" spans="1:9" ht="16" x14ac:dyDescent="0.8">
      <c r="A625" s="2" t="s">
        <v>962</v>
      </c>
      <c r="B625" s="2" t="s">
        <v>191</v>
      </c>
      <c r="C625" s="2" t="s">
        <v>192</v>
      </c>
      <c r="D625" s="2" t="s">
        <v>192</v>
      </c>
      <c r="E625" s="3">
        <v>6</v>
      </c>
      <c r="F625" s="3">
        <v>6</v>
      </c>
      <c r="G625" s="2" t="s">
        <v>11</v>
      </c>
      <c r="H625" s="2" t="s">
        <v>945</v>
      </c>
      <c r="I625" s="2" t="s">
        <v>190</v>
      </c>
    </row>
    <row r="626" spans="1:9" ht="16" x14ac:dyDescent="0.8">
      <c r="A626" s="2" t="s">
        <v>962</v>
      </c>
      <c r="B626" s="2" t="s">
        <v>193</v>
      </c>
      <c r="C626" s="2" t="s">
        <v>194</v>
      </c>
      <c r="D626" s="2" t="s">
        <v>194</v>
      </c>
      <c r="E626" s="3">
        <v>18</v>
      </c>
      <c r="F626" s="3">
        <v>18</v>
      </c>
      <c r="G626" s="2" t="s">
        <v>11</v>
      </c>
      <c r="H626" s="2" t="s">
        <v>945</v>
      </c>
      <c r="I626" s="2" t="s">
        <v>190</v>
      </c>
    </row>
    <row r="627" spans="1:9" ht="16" x14ac:dyDescent="0.8">
      <c r="A627" s="2" t="s">
        <v>965</v>
      </c>
      <c r="B627" s="2" t="s">
        <v>863</v>
      </c>
      <c r="C627" s="2" t="s">
        <v>864</v>
      </c>
      <c r="D627" s="2" t="s">
        <v>864</v>
      </c>
      <c r="E627" s="3">
        <v>15030</v>
      </c>
      <c r="F627" s="3">
        <v>15030</v>
      </c>
      <c r="G627" s="2" t="s">
        <v>11</v>
      </c>
      <c r="H627" s="2" t="s">
        <v>945</v>
      </c>
      <c r="I627" s="2" t="s">
        <v>168</v>
      </c>
    </row>
    <row r="628" spans="1:9" ht="16" x14ac:dyDescent="0.8">
      <c r="A628" s="2" t="s">
        <v>965</v>
      </c>
      <c r="B628" s="2" t="s">
        <v>865</v>
      </c>
      <c r="C628" s="2" t="s">
        <v>866</v>
      </c>
      <c r="D628" s="2" t="s">
        <v>866</v>
      </c>
      <c r="E628" s="3">
        <v>10020</v>
      </c>
      <c r="F628" s="3">
        <v>10020</v>
      </c>
      <c r="G628" s="2" t="s">
        <v>11</v>
      </c>
      <c r="H628" s="2" t="s">
        <v>945</v>
      </c>
      <c r="I628" s="2" t="s">
        <v>168</v>
      </c>
    </row>
    <row r="629" spans="1:9" ht="16" x14ac:dyDescent="0.8">
      <c r="A629" s="2" t="s">
        <v>965</v>
      </c>
      <c r="B629" s="2" t="s">
        <v>867</v>
      </c>
      <c r="C629" s="2" t="s">
        <v>868</v>
      </c>
      <c r="D629" s="2" t="s">
        <v>868</v>
      </c>
      <c r="E629" s="3">
        <v>15000</v>
      </c>
      <c r="F629" s="3">
        <v>15000</v>
      </c>
      <c r="G629" s="2" t="s">
        <v>11</v>
      </c>
      <c r="H629" s="2" t="s">
        <v>945</v>
      </c>
      <c r="I629" s="2" t="s">
        <v>168</v>
      </c>
    </row>
    <row r="630" spans="1:9" ht="16" x14ac:dyDescent="0.8">
      <c r="A630" s="2" t="s">
        <v>965</v>
      </c>
      <c r="B630" s="2" t="s">
        <v>966</v>
      </c>
      <c r="C630" s="2" t="s">
        <v>967</v>
      </c>
      <c r="D630" s="2" t="s">
        <v>967</v>
      </c>
      <c r="E630" s="3">
        <v>26000</v>
      </c>
      <c r="F630" s="3">
        <v>26000</v>
      </c>
      <c r="G630" s="2" t="s">
        <v>11</v>
      </c>
      <c r="H630" s="2" t="s">
        <v>945</v>
      </c>
      <c r="I630" s="2" t="s">
        <v>168</v>
      </c>
    </row>
    <row r="631" spans="1:9" ht="16" x14ac:dyDescent="0.8">
      <c r="A631" s="2" t="s">
        <v>968</v>
      </c>
      <c r="B631" s="2" t="s">
        <v>863</v>
      </c>
      <c r="C631" s="2" t="s">
        <v>864</v>
      </c>
      <c r="D631" s="2" t="s">
        <v>864</v>
      </c>
      <c r="E631" s="3">
        <v>30060</v>
      </c>
      <c r="F631" s="3">
        <v>30060</v>
      </c>
      <c r="G631" s="2" t="s">
        <v>11</v>
      </c>
      <c r="H631" s="2" t="s">
        <v>945</v>
      </c>
      <c r="I631" s="2" t="s">
        <v>168</v>
      </c>
    </row>
    <row r="632" spans="1:9" ht="16" x14ac:dyDescent="0.8">
      <c r="A632" s="2" t="s">
        <v>968</v>
      </c>
      <c r="B632" s="2" t="s">
        <v>865</v>
      </c>
      <c r="C632" s="2" t="s">
        <v>866</v>
      </c>
      <c r="D632" s="2" t="s">
        <v>866</v>
      </c>
      <c r="E632" s="3">
        <v>30000</v>
      </c>
      <c r="F632" s="3">
        <v>30000</v>
      </c>
      <c r="G632" s="2" t="s">
        <v>11</v>
      </c>
      <c r="H632" s="2" t="s">
        <v>945</v>
      </c>
      <c r="I632" s="2" t="s">
        <v>168</v>
      </c>
    </row>
    <row r="633" spans="1:9" ht="16" x14ac:dyDescent="0.8">
      <c r="A633" s="2" t="s">
        <v>968</v>
      </c>
      <c r="B633" s="2" t="s">
        <v>867</v>
      </c>
      <c r="C633" s="2" t="s">
        <v>868</v>
      </c>
      <c r="D633" s="2" t="s">
        <v>868</v>
      </c>
      <c r="E633" s="3">
        <v>30000</v>
      </c>
      <c r="F633" s="3">
        <v>30000</v>
      </c>
      <c r="G633" s="2" t="s">
        <v>11</v>
      </c>
      <c r="H633" s="2" t="s">
        <v>945</v>
      </c>
      <c r="I633" s="2" t="s">
        <v>168</v>
      </c>
    </row>
    <row r="634" spans="1:9" ht="16" x14ac:dyDescent="0.8">
      <c r="A634" s="2" t="s">
        <v>968</v>
      </c>
      <c r="B634" s="2" t="s">
        <v>966</v>
      </c>
      <c r="C634" s="2" t="s">
        <v>967</v>
      </c>
      <c r="D634" s="2" t="s">
        <v>967</v>
      </c>
      <c r="E634" s="3">
        <v>10000</v>
      </c>
      <c r="F634" s="3">
        <v>10000</v>
      </c>
      <c r="G634" s="2" t="s">
        <v>11</v>
      </c>
      <c r="H634" s="2" t="s">
        <v>945</v>
      </c>
      <c r="I634" s="2" t="s">
        <v>168</v>
      </c>
    </row>
    <row r="635" spans="1:9" ht="16" x14ac:dyDescent="0.8">
      <c r="A635" s="2" t="s">
        <v>969</v>
      </c>
      <c r="B635" s="2" t="s">
        <v>970</v>
      </c>
      <c r="C635" s="2" t="s">
        <v>971</v>
      </c>
      <c r="D635" s="2" t="s">
        <v>971</v>
      </c>
      <c r="E635" s="3">
        <v>3216</v>
      </c>
      <c r="F635" s="3">
        <v>3216</v>
      </c>
      <c r="G635" s="2" t="s">
        <v>11</v>
      </c>
      <c r="H635" s="2" t="s">
        <v>945</v>
      </c>
      <c r="I635" s="2" t="s">
        <v>262</v>
      </c>
    </row>
    <row r="636" spans="1:9" ht="16" x14ac:dyDescent="0.8">
      <c r="A636" s="2" t="s">
        <v>969</v>
      </c>
      <c r="B636" s="2" t="s">
        <v>972</v>
      </c>
      <c r="C636" s="2" t="s">
        <v>973</v>
      </c>
      <c r="D636" s="2" t="s">
        <v>973</v>
      </c>
      <c r="E636" s="3">
        <v>5694</v>
      </c>
      <c r="F636" s="3">
        <v>5694</v>
      </c>
      <c r="G636" s="2" t="s">
        <v>11</v>
      </c>
      <c r="H636" s="2" t="s">
        <v>945</v>
      </c>
      <c r="I636" s="2" t="s">
        <v>262</v>
      </c>
    </row>
    <row r="637" spans="1:9" ht="16" x14ac:dyDescent="0.8">
      <c r="A637" s="2" t="s">
        <v>969</v>
      </c>
      <c r="B637" s="2" t="s">
        <v>974</v>
      </c>
      <c r="C637" s="2" t="s">
        <v>975</v>
      </c>
      <c r="D637" s="2" t="s">
        <v>975</v>
      </c>
      <c r="E637" s="3">
        <v>3468</v>
      </c>
      <c r="F637" s="3">
        <v>3468</v>
      </c>
      <c r="G637" s="2" t="s">
        <v>11</v>
      </c>
      <c r="H637" s="2" t="s">
        <v>945</v>
      </c>
      <c r="I637" s="2" t="s">
        <v>262</v>
      </c>
    </row>
    <row r="638" spans="1:9" ht="16" x14ac:dyDescent="0.8">
      <c r="A638" s="2" t="s">
        <v>976</v>
      </c>
      <c r="B638" s="2" t="s">
        <v>977</v>
      </c>
      <c r="C638" s="2" t="s">
        <v>978</v>
      </c>
      <c r="D638" s="2" t="s">
        <v>978</v>
      </c>
      <c r="E638" s="3">
        <v>5196</v>
      </c>
      <c r="F638" s="3">
        <v>5196</v>
      </c>
      <c r="G638" s="2" t="s">
        <v>11</v>
      </c>
      <c r="H638" s="2" t="s">
        <v>945</v>
      </c>
      <c r="I638" s="2" t="s">
        <v>407</v>
      </c>
    </row>
    <row r="639" spans="1:9" ht="16" x14ac:dyDescent="0.8">
      <c r="A639" s="2" t="s">
        <v>979</v>
      </c>
      <c r="B639" s="2" t="s">
        <v>980</v>
      </c>
      <c r="C639" s="2" t="s">
        <v>981</v>
      </c>
      <c r="D639" s="2" t="s">
        <v>981</v>
      </c>
      <c r="E639" s="3">
        <v>25002</v>
      </c>
      <c r="F639" s="3">
        <v>25002</v>
      </c>
      <c r="G639" s="2" t="s">
        <v>11</v>
      </c>
      <c r="H639" s="2" t="s">
        <v>945</v>
      </c>
      <c r="I639" s="2" t="s">
        <v>23</v>
      </c>
    </row>
    <row r="640" spans="1:9" ht="16" x14ac:dyDescent="0.8">
      <c r="A640" s="2" t="s">
        <v>979</v>
      </c>
      <c r="B640" s="2" t="s">
        <v>982</v>
      </c>
      <c r="C640" s="2" t="s">
        <v>983</v>
      </c>
      <c r="D640" s="2" t="s">
        <v>983</v>
      </c>
      <c r="E640" s="3">
        <v>25002</v>
      </c>
      <c r="F640" s="3">
        <v>25002</v>
      </c>
      <c r="G640" s="2" t="s">
        <v>11</v>
      </c>
      <c r="H640" s="2" t="s">
        <v>945</v>
      </c>
      <c r="I640" s="2" t="s">
        <v>23</v>
      </c>
    </row>
    <row r="641" spans="1:9" ht="16" x14ac:dyDescent="0.8">
      <c r="A641" s="2" t="s">
        <v>984</v>
      </c>
      <c r="B641" s="2" t="s">
        <v>985</v>
      </c>
      <c r="C641" s="2" t="s">
        <v>986</v>
      </c>
      <c r="D641" s="2" t="s">
        <v>986</v>
      </c>
      <c r="E641" s="3">
        <v>3216</v>
      </c>
      <c r="F641" s="3">
        <v>3216</v>
      </c>
      <c r="G641" s="2" t="s">
        <v>11</v>
      </c>
      <c r="H641" s="2" t="s">
        <v>945</v>
      </c>
      <c r="I641" s="2" t="s">
        <v>412</v>
      </c>
    </row>
    <row r="642" spans="1:9" ht="16" x14ac:dyDescent="0.8">
      <c r="A642" s="2" t="s">
        <v>987</v>
      </c>
      <c r="B642" s="2" t="s">
        <v>442</v>
      </c>
      <c r="C642" s="2" t="s">
        <v>443</v>
      </c>
      <c r="D642" s="2" t="s">
        <v>443</v>
      </c>
      <c r="E642" s="3">
        <v>10002</v>
      </c>
      <c r="F642" s="3">
        <v>10002</v>
      </c>
      <c r="G642" s="2" t="s">
        <v>11</v>
      </c>
      <c r="H642" s="2" t="s">
        <v>988</v>
      </c>
      <c r="I642" s="2" t="s">
        <v>441</v>
      </c>
    </row>
    <row r="643" spans="1:9" ht="16" x14ac:dyDescent="0.8">
      <c r="A643" s="2" t="s">
        <v>987</v>
      </c>
      <c r="B643" s="2" t="s">
        <v>439</v>
      </c>
      <c r="C643" s="2" t="s">
        <v>440</v>
      </c>
      <c r="D643" s="2" t="s">
        <v>440</v>
      </c>
      <c r="E643" s="3">
        <v>21000</v>
      </c>
      <c r="F643" s="3">
        <v>20710</v>
      </c>
      <c r="G643" s="2" t="s">
        <v>11</v>
      </c>
      <c r="H643" s="2" t="s">
        <v>988</v>
      </c>
      <c r="I643" s="2" t="s">
        <v>441</v>
      </c>
    </row>
    <row r="644" spans="1:9" ht="16" x14ac:dyDescent="0.8">
      <c r="A644" s="2" t="s">
        <v>989</v>
      </c>
      <c r="B644" s="2" t="s">
        <v>990</v>
      </c>
      <c r="C644" s="2" t="s">
        <v>991</v>
      </c>
      <c r="D644" s="2" t="s">
        <v>991</v>
      </c>
      <c r="E644" s="3">
        <v>40410</v>
      </c>
      <c r="F644" s="3">
        <v>40410</v>
      </c>
      <c r="G644" s="2" t="s">
        <v>11</v>
      </c>
      <c r="H644" s="2" t="s">
        <v>988</v>
      </c>
      <c r="I644" s="2" t="s">
        <v>550</v>
      </c>
    </row>
    <row r="645" spans="1:9" ht="16" x14ac:dyDescent="0.8">
      <c r="A645" s="2" t="s">
        <v>992</v>
      </c>
      <c r="B645" s="2" t="s">
        <v>993</v>
      </c>
      <c r="C645" s="2" t="s">
        <v>994</v>
      </c>
      <c r="D645" s="2" t="s">
        <v>994</v>
      </c>
      <c r="E645" s="3">
        <v>3049200</v>
      </c>
      <c r="F645" s="3">
        <v>3049200</v>
      </c>
      <c r="G645" s="2" t="s">
        <v>11</v>
      </c>
      <c r="H645" s="2" t="s">
        <v>988</v>
      </c>
      <c r="I645" s="2" t="s">
        <v>550</v>
      </c>
    </row>
    <row r="646" spans="1:9" ht="16" x14ac:dyDescent="0.8">
      <c r="A646" s="2" t="s">
        <v>995</v>
      </c>
      <c r="B646" s="2" t="s">
        <v>993</v>
      </c>
      <c r="C646" s="2" t="s">
        <v>994</v>
      </c>
      <c r="D646" s="2" t="s">
        <v>994</v>
      </c>
      <c r="E646" s="3">
        <v>1954800</v>
      </c>
      <c r="F646" s="3">
        <v>1954800</v>
      </c>
      <c r="G646" s="2" t="s">
        <v>11</v>
      </c>
      <c r="H646" s="2" t="s">
        <v>988</v>
      </c>
      <c r="I646" s="2" t="s">
        <v>550</v>
      </c>
    </row>
    <row r="647" spans="1:9" ht="16" x14ac:dyDescent="0.8">
      <c r="A647" s="2" t="s">
        <v>996</v>
      </c>
      <c r="B647" s="2" t="s">
        <v>760</v>
      </c>
      <c r="C647" s="2" t="s">
        <v>761</v>
      </c>
      <c r="D647" s="2" t="s">
        <v>761</v>
      </c>
      <c r="E647" s="3">
        <v>92400</v>
      </c>
      <c r="F647" s="3">
        <v>92400</v>
      </c>
      <c r="G647" s="2" t="s">
        <v>11</v>
      </c>
      <c r="H647" s="2" t="s">
        <v>997</v>
      </c>
      <c r="I647" s="2" t="s">
        <v>762</v>
      </c>
    </row>
    <row r="648" spans="1:9" ht="16" x14ac:dyDescent="0.8">
      <c r="A648" s="2" t="s">
        <v>998</v>
      </c>
      <c r="B648" s="2" t="s">
        <v>760</v>
      </c>
      <c r="C648" s="2" t="s">
        <v>761</v>
      </c>
      <c r="D648" s="2" t="s">
        <v>761</v>
      </c>
      <c r="E648" s="3">
        <v>92400</v>
      </c>
      <c r="F648" s="3">
        <v>92400</v>
      </c>
      <c r="G648" s="2" t="s">
        <v>11</v>
      </c>
      <c r="H648" s="2" t="s">
        <v>997</v>
      </c>
      <c r="I648" s="2" t="s">
        <v>762</v>
      </c>
    </row>
    <row r="649" spans="1:9" ht="16" x14ac:dyDescent="0.8">
      <c r="A649" s="2" t="s">
        <v>999</v>
      </c>
      <c r="B649" s="2" t="s">
        <v>760</v>
      </c>
      <c r="C649" s="2" t="s">
        <v>761</v>
      </c>
      <c r="D649" s="2" t="s">
        <v>761</v>
      </c>
      <c r="E649" s="3">
        <v>72990</v>
      </c>
      <c r="F649" s="3">
        <v>72990</v>
      </c>
      <c r="G649" s="2" t="s">
        <v>11</v>
      </c>
      <c r="H649" s="2" t="s">
        <v>997</v>
      </c>
      <c r="I649" s="2" t="s">
        <v>762</v>
      </c>
    </row>
    <row r="650" spans="1:9" ht="16" x14ac:dyDescent="0.8">
      <c r="A650" s="2" t="s">
        <v>1000</v>
      </c>
      <c r="B650" s="2" t="s">
        <v>463</v>
      </c>
      <c r="C650" s="2" t="s">
        <v>464</v>
      </c>
      <c r="D650" s="2" t="s">
        <v>464</v>
      </c>
      <c r="E650" s="3">
        <v>48552</v>
      </c>
      <c r="F650" s="3">
        <v>48552</v>
      </c>
      <c r="G650" s="2" t="s">
        <v>11</v>
      </c>
      <c r="H650" s="2" t="s">
        <v>941</v>
      </c>
      <c r="I650" s="2" t="s">
        <v>168</v>
      </c>
    </row>
    <row r="651" spans="1:9" ht="16" x14ac:dyDescent="0.8">
      <c r="A651" s="2" t="s">
        <v>1000</v>
      </c>
      <c r="B651" s="2" t="s">
        <v>465</v>
      </c>
      <c r="C651" s="2" t="s">
        <v>466</v>
      </c>
      <c r="D651" s="2" t="s">
        <v>466</v>
      </c>
      <c r="E651" s="3">
        <v>56700</v>
      </c>
      <c r="F651" s="3">
        <v>56700</v>
      </c>
      <c r="G651" s="2" t="s">
        <v>11</v>
      </c>
      <c r="H651" s="2" t="s">
        <v>941</v>
      </c>
      <c r="I651" s="2" t="s">
        <v>168</v>
      </c>
    </row>
    <row r="652" spans="1:9" ht="16" x14ac:dyDescent="0.8">
      <c r="A652" s="2" t="s">
        <v>1000</v>
      </c>
      <c r="B652" s="2" t="s">
        <v>467</v>
      </c>
      <c r="C652" s="2" t="s">
        <v>468</v>
      </c>
      <c r="D652" s="2" t="s">
        <v>468</v>
      </c>
      <c r="E652" s="3">
        <v>38184</v>
      </c>
      <c r="F652" s="3">
        <v>38184</v>
      </c>
      <c r="G652" s="2" t="s">
        <v>11</v>
      </c>
      <c r="H652" s="2" t="s">
        <v>941</v>
      </c>
      <c r="I652" s="2" t="s">
        <v>168</v>
      </c>
    </row>
    <row r="653" spans="1:9" ht="16" x14ac:dyDescent="0.8">
      <c r="A653" s="2" t="s">
        <v>1001</v>
      </c>
      <c r="B653" s="2" t="s">
        <v>834</v>
      </c>
      <c r="C653" s="2" t="s">
        <v>835</v>
      </c>
      <c r="D653" s="2" t="s">
        <v>835</v>
      </c>
      <c r="E653" s="3">
        <v>95300</v>
      </c>
      <c r="F653" s="3">
        <v>95300</v>
      </c>
      <c r="G653" s="2" t="s">
        <v>11</v>
      </c>
      <c r="H653" s="2" t="s">
        <v>941</v>
      </c>
      <c r="I653" s="2" t="s">
        <v>699</v>
      </c>
    </row>
    <row r="654" spans="1:9" ht="16" x14ac:dyDescent="0.8">
      <c r="A654" s="2" t="s">
        <v>1004</v>
      </c>
      <c r="B654" s="2" t="s">
        <v>460</v>
      </c>
      <c r="C654" s="2" t="s">
        <v>461</v>
      </c>
      <c r="D654" s="2" t="s">
        <v>461</v>
      </c>
      <c r="E654" s="3">
        <v>2124</v>
      </c>
      <c r="F654" s="3">
        <v>2124</v>
      </c>
      <c r="G654" s="2" t="s">
        <v>196</v>
      </c>
      <c r="H654" s="2" t="s">
        <v>1005</v>
      </c>
      <c r="I654" s="2" t="s">
        <v>168</v>
      </c>
    </row>
    <row r="655" spans="1:9" ht="16" x14ac:dyDescent="0.8">
      <c r="A655" s="2" t="s">
        <v>1004</v>
      </c>
      <c r="B655" s="2" t="s">
        <v>1006</v>
      </c>
      <c r="C655" s="2" t="s">
        <v>1007</v>
      </c>
      <c r="D655" s="2" t="s">
        <v>1007</v>
      </c>
      <c r="E655" s="3">
        <v>92588</v>
      </c>
      <c r="F655" s="3">
        <v>92588</v>
      </c>
      <c r="G655" s="2" t="s">
        <v>196</v>
      </c>
      <c r="H655" s="2" t="s">
        <v>1005</v>
      </c>
      <c r="I655" s="2" t="s">
        <v>168</v>
      </c>
    </row>
    <row r="656" spans="1:9" ht="16" x14ac:dyDescent="0.8">
      <c r="A656" s="2" t="s">
        <v>1004</v>
      </c>
      <c r="B656" s="2" t="s">
        <v>1008</v>
      </c>
      <c r="C656" s="2" t="s">
        <v>1009</v>
      </c>
      <c r="D656" s="2" t="s">
        <v>1009</v>
      </c>
      <c r="E656" s="3">
        <v>55938</v>
      </c>
      <c r="F656" s="3">
        <v>55938</v>
      </c>
      <c r="G656" s="2" t="s">
        <v>196</v>
      </c>
      <c r="H656" s="2" t="s">
        <v>1005</v>
      </c>
      <c r="I656" s="2" t="s">
        <v>168</v>
      </c>
    </row>
    <row r="657" spans="1:9" ht="16" x14ac:dyDescent="0.8">
      <c r="A657" s="2" t="s">
        <v>1004</v>
      </c>
      <c r="B657" s="2" t="s">
        <v>469</v>
      </c>
      <c r="C657" s="2" t="s">
        <v>470</v>
      </c>
      <c r="D657" s="2" t="s">
        <v>470</v>
      </c>
      <c r="E657" s="3">
        <v>9806</v>
      </c>
      <c r="F657" s="3">
        <v>0</v>
      </c>
      <c r="G657" s="2" t="s">
        <v>196</v>
      </c>
      <c r="H657" s="2" t="s">
        <v>1005</v>
      </c>
      <c r="I657" s="2" t="s">
        <v>168</v>
      </c>
    </row>
    <row r="658" spans="1:9" ht="16" x14ac:dyDescent="0.8">
      <c r="A658" s="2" t="s">
        <v>1010</v>
      </c>
      <c r="B658" s="2" t="s">
        <v>295</v>
      </c>
      <c r="C658" s="2" t="s">
        <v>296</v>
      </c>
      <c r="D658" s="2" t="s">
        <v>296</v>
      </c>
      <c r="E658" s="3">
        <v>30304</v>
      </c>
      <c r="F658" s="3">
        <v>30304</v>
      </c>
      <c r="G658" s="2" t="s">
        <v>11</v>
      </c>
      <c r="H658" s="2" t="s">
        <v>1002</v>
      </c>
      <c r="I658" s="2" t="s">
        <v>297</v>
      </c>
    </row>
    <row r="659" spans="1:9" ht="16" x14ac:dyDescent="0.8">
      <c r="A659" s="2" t="s">
        <v>1010</v>
      </c>
      <c r="B659" s="2" t="s">
        <v>298</v>
      </c>
      <c r="C659" s="2" t="s">
        <v>299</v>
      </c>
      <c r="D659" s="2" t="s">
        <v>299</v>
      </c>
      <c r="E659" s="3">
        <v>54320</v>
      </c>
      <c r="F659" s="3">
        <v>54320</v>
      </c>
      <c r="G659" s="2" t="s">
        <v>11</v>
      </c>
      <c r="H659" s="2" t="s">
        <v>1002</v>
      </c>
      <c r="I659" s="2" t="s">
        <v>297</v>
      </c>
    </row>
    <row r="660" spans="1:9" ht="16" x14ac:dyDescent="0.8">
      <c r="A660" s="2" t="s">
        <v>1010</v>
      </c>
      <c r="B660" s="2" t="s">
        <v>300</v>
      </c>
      <c r="C660" s="2" t="s">
        <v>301</v>
      </c>
      <c r="D660" s="2" t="s">
        <v>301</v>
      </c>
      <c r="E660" s="3">
        <v>57564</v>
      </c>
      <c r="F660" s="3">
        <v>57564</v>
      </c>
      <c r="G660" s="2" t="s">
        <v>11</v>
      </c>
      <c r="H660" s="2" t="s">
        <v>1002</v>
      </c>
      <c r="I660" s="2" t="s">
        <v>297</v>
      </c>
    </row>
    <row r="661" spans="1:9" ht="16" x14ac:dyDescent="0.8">
      <c r="A661" s="2" t="s">
        <v>1010</v>
      </c>
      <c r="B661" s="2" t="s">
        <v>302</v>
      </c>
      <c r="C661" s="2" t="s">
        <v>303</v>
      </c>
      <c r="D661" s="2" t="s">
        <v>303</v>
      </c>
      <c r="E661" s="3">
        <v>64184</v>
      </c>
      <c r="F661" s="3">
        <v>64184</v>
      </c>
      <c r="G661" s="2" t="s">
        <v>11</v>
      </c>
      <c r="H661" s="2" t="s">
        <v>1002</v>
      </c>
      <c r="I661" s="2" t="s">
        <v>297</v>
      </c>
    </row>
    <row r="662" spans="1:9" ht="16" x14ac:dyDescent="0.8">
      <c r="A662" s="2" t="s">
        <v>1010</v>
      </c>
      <c r="B662" s="2" t="s">
        <v>304</v>
      </c>
      <c r="C662" s="2" t="s">
        <v>305</v>
      </c>
      <c r="D662" s="2" t="s">
        <v>305</v>
      </c>
      <c r="E662" s="3">
        <v>44112</v>
      </c>
      <c r="F662" s="3">
        <v>44112</v>
      </c>
      <c r="G662" s="2" t="s">
        <v>11</v>
      </c>
      <c r="H662" s="2" t="s">
        <v>1002</v>
      </c>
      <c r="I662" s="2" t="s">
        <v>297</v>
      </c>
    </row>
    <row r="663" spans="1:9" ht="16" x14ac:dyDescent="0.8">
      <c r="A663" s="2" t="s">
        <v>1010</v>
      </c>
      <c r="B663" s="2" t="s">
        <v>306</v>
      </c>
      <c r="C663" s="2" t="s">
        <v>307</v>
      </c>
      <c r="D663" s="2" t="s">
        <v>307</v>
      </c>
      <c r="E663" s="3">
        <v>40488</v>
      </c>
      <c r="F663" s="3">
        <v>40488</v>
      </c>
      <c r="G663" s="2" t="s">
        <v>11</v>
      </c>
      <c r="H663" s="2" t="s">
        <v>1002</v>
      </c>
      <c r="I663" s="2" t="s">
        <v>297</v>
      </c>
    </row>
    <row r="664" spans="1:9" ht="16" x14ac:dyDescent="0.8">
      <c r="A664" s="2" t="s">
        <v>1011</v>
      </c>
      <c r="B664" s="2" t="s">
        <v>908</v>
      </c>
      <c r="C664" s="2" t="s">
        <v>909</v>
      </c>
      <c r="D664" s="2" t="s">
        <v>909</v>
      </c>
      <c r="E664" s="3">
        <v>7</v>
      </c>
      <c r="F664" s="3">
        <v>7</v>
      </c>
      <c r="G664" s="2" t="s">
        <v>11</v>
      </c>
      <c r="H664" s="2" t="s">
        <v>1002</v>
      </c>
      <c r="I664" s="2" t="s">
        <v>87</v>
      </c>
    </row>
    <row r="665" spans="1:9" ht="16" x14ac:dyDescent="0.8">
      <c r="A665" s="2" t="s">
        <v>1012</v>
      </c>
      <c r="B665" s="2" t="s">
        <v>863</v>
      </c>
      <c r="C665" s="2" t="s">
        <v>864</v>
      </c>
      <c r="D665" s="2" t="s">
        <v>864</v>
      </c>
      <c r="E665" s="3">
        <v>25020</v>
      </c>
      <c r="F665" s="3">
        <v>25020</v>
      </c>
      <c r="G665" s="2" t="s">
        <v>11</v>
      </c>
      <c r="H665" s="2" t="s">
        <v>1002</v>
      </c>
      <c r="I665" s="2" t="s">
        <v>168</v>
      </c>
    </row>
    <row r="666" spans="1:9" ht="16" x14ac:dyDescent="0.8">
      <c r="A666" s="2" t="s">
        <v>1012</v>
      </c>
      <c r="B666" s="2" t="s">
        <v>865</v>
      </c>
      <c r="C666" s="2" t="s">
        <v>866</v>
      </c>
      <c r="D666" s="2" t="s">
        <v>866</v>
      </c>
      <c r="E666" s="3">
        <v>20040</v>
      </c>
      <c r="F666" s="3">
        <v>20040</v>
      </c>
      <c r="G666" s="2" t="s">
        <v>11</v>
      </c>
      <c r="H666" s="2" t="s">
        <v>1002</v>
      </c>
      <c r="I666" s="2" t="s">
        <v>168</v>
      </c>
    </row>
    <row r="667" spans="1:9" ht="16" x14ac:dyDescent="0.8">
      <c r="A667" s="2" t="s">
        <v>1012</v>
      </c>
      <c r="B667" s="2" t="s">
        <v>867</v>
      </c>
      <c r="C667" s="2" t="s">
        <v>868</v>
      </c>
      <c r="D667" s="2" t="s">
        <v>868</v>
      </c>
      <c r="E667" s="3">
        <v>30000</v>
      </c>
      <c r="F667" s="3">
        <v>30000</v>
      </c>
      <c r="G667" s="2" t="s">
        <v>11</v>
      </c>
      <c r="H667" s="2" t="s">
        <v>1002</v>
      </c>
      <c r="I667" s="2" t="s">
        <v>168</v>
      </c>
    </row>
    <row r="668" spans="1:9" ht="16" x14ac:dyDescent="0.8">
      <c r="A668" s="2" t="s">
        <v>1012</v>
      </c>
      <c r="B668" s="2" t="s">
        <v>966</v>
      </c>
      <c r="C668" s="2" t="s">
        <v>967</v>
      </c>
      <c r="D668" s="2" t="s">
        <v>967</v>
      </c>
      <c r="E668" s="3">
        <v>16000</v>
      </c>
      <c r="F668" s="3">
        <v>16000</v>
      </c>
      <c r="G668" s="2" t="s">
        <v>11</v>
      </c>
      <c r="H668" s="2" t="s">
        <v>1002</v>
      </c>
      <c r="I668" s="2" t="s">
        <v>168</v>
      </c>
    </row>
    <row r="669" spans="1:9" ht="16" x14ac:dyDescent="0.8">
      <c r="A669" s="2" t="s">
        <v>1013</v>
      </c>
      <c r="B669" s="2" t="s">
        <v>276</v>
      </c>
      <c r="C669" s="2" t="s">
        <v>277</v>
      </c>
      <c r="D669" s="2" t="s">
        <v>277</v>
      </c>
      <c r="E669" s="3">
        <v>2560</v>
      </c>
      <c r="F669" s="3">
        <v>2560</v>
      </c>
      <c r="G669" s="2" t="s">
        <v>11</v>
      </c>
      <c r="H669" s="2" t="s">
        <v>1003</v>
      </c>
      <c r="I669" s="2" t="s">
        <v>279</v>
      </c>
    </row>
    <row r="670" spans="1:9" ht="16" x14ac:dyDescent="0.8">
      <c r="A670" s="2" t="s">
        <v>1013</v>
      </c>
      <c r="B670" s="2" t="s">
        <v>280</v>
      </c>
      <c r="C670" s="2" t="s">
        <v>281</v>
      </c>
      <c r="D670" s="2" t="s">
        <v>281</v>
      </c>
      <c r="E670" s="3">
        <v>2154</v>
      </c>
      <c r="F670" s="3">
        <v>2154</v>
      </c>
      <c r="G670" s="2" t="s">
        <v>11</v>
      </c>
      <c r="H670" s="2" t="s">
        <v>1003</v>
      </c>
      <c r="I670" s="2" t="s">
        <v>279</v>
      </c>
    </row>
    <row r="671" spans="1:9" ht="16" x14ac:dyDescent="0.8">
      <c r="A671" s="2" t="s">
        <v>1013</v>
      </c>
      <c r="B671" s="2" t="s">
        <v>341</v>
      </c>
      <c r="C671" s="2" t="s">
        <v>342</v>
      </c>
      <c r="D671" s="2" t="s">
        <v>342</v>
      </c>
      <c r="E671" s="3">
        <v>10710</v>
      </c>
      <c r="F671" s="3">
        <v>10710</v>
      </c>
      <c r="G671" s="2" t="s">
        <v>11</v>
      </c>
      <c r="H671" s="2" t="s">
        <v>1003</v>
      </c>
      <c r="I671" s="2" t="s">
        <v>279</v>
      </c>
    </row>
    <row r="672" spans="1:9" ht="16" x14ac:dyDescent="0.8">
      <c r="A672" s="2" t="s">
        <v>1013</v>
      </c>
      <c r="B672" s="2" t="s">
        <v>348</v>
      </c>
      <c r="C672" s="2" t="s">
        <v>349</v>
      </c>
      <c r="D672" s="2" t="s">
        <v>349</v>
      </c>
      <c r="E672" s="3">
        <v>16704</v>
      </c>
      <c r="F672" s="3">
        <v>16704</v>
      </c>
      <c r="G672" s="2" t="s">
        <v>11</v>
      </c>
      <c r="H672" s="2" t="s">
        <v>1003</v>
      </c>
      <c r="I672" s="2" t="s">
        <v>279</v>
      </c>
    </row>
    <row r="673" spans="1:9" ht="16" x14ac:dyDescent="0.8">
      <c r="A673" s="2" t="s">
        <v>1014</v>
      </c>
      <c r="B673" s="2" t="s">
        <v>863</v>
      </c>
      <c r="C673" s="2" t="s">
        <v>864</v>
      </c>
      <c r="D673" s="2" t="s">
        <v>864</v>
      </c>
      <c r="E673" s="3">
        <v>25020</v>
      </c>
      <c r="F673" s="3">
        <v>25020</v>
      </c>
      <c r="G673" s="2" t="s">
        <v>11</v>
      </c>
      <c r="H673" s="2" t="s">
        <v>1003</v>
      </c>
      <c r="I673" s="2" t="s">
        <v>168</v>
      </c>
    </row>
    <row r="674" spans="1:9" ht="16" x14ac:dyDescent="0.8">
      <c r="A674" s="2" t="s">
        <v>1014</v>
      </c>
      <c r="B674" s="2" t="s">
        <v>865</v>
      </c>
      <c r="C674" s="2" t="s">
        <v>866</v>
      </c>
      <c r="D674" s="2" t="s">
        <v>866</v>
      </c>
      <c r="E674" s="3">
        <v>25020</v>
      </c>
      <c r="F674" s="3">
        <v>25020</v>
      </c>
      <c r="G674" s="2" t="s">
        <v>11</v>
      </c>
      <c r="H674" s="2" t="s">
        <v>1003</v>
      </c>
      <c r="I674" s="2" t="s">
        <v>168</v>
      </c>
    </row>
    <row r="675" spans="1:9" ht="16" x14ac:dyDescent="0.8">
      <c r="A675" s="2" t="s">
        <v>1014</v>
      </c>
      <c r="B675" s="2" t="s">
        <v>867</v>
      </c>
      <c r="C675" s="2" t="s">
        <v>868</v>
      </c>
      <c r="D675" s="2" t="s">
        <v>868</v>
      </c>
      <c r="E675" s="3">
        <v>25000</v>
      </c>
      <c r="F675" s="3">
        <v>25000</v>
      </c>
      <c r="G675" s="2" t="s">
        <v>11</v>
      </c>
      <c r="H675" s="2" t="s">
        <v>1003</v>
      </c>
      <c r="I675" s="2" t="s">
        <v>168</v>
      </c>
    </row>
    <row r="676" spans="1:9" ht="16" x14ac:dyDescent="0.8">
      <c r="A676" s="2" t="s">
        <v>1014</v>
      </c>
      <c r="B676" s="2" t="s">
        <v>966</v>
      </c>
      <c r="C676" s="2" t="s">
        <v>967</v>
      </c>
      <c r="D676" s="2" t="s">
        <v>967</v>
      </c>
      <c r="E676" s="3">
        <v>36968</v>
      </c>
      <c r="F676" s="3">
        <v>36968</v>
      </c>
      <c r="G676" s="2" t="s">
        <v>11</v>
      </c>
      <c r="H676" s="2" t="s">
        <v>1003</v>
      </c>
      <c r="I676" s="2" t="s">
        <v>168</v>
      </c>
    </row>
    <row r="677" spans="1:9" ht="16" x14ac:dyDescent="0.8">
      <c r="A677" s="2" t="s">
        <v>1015</v>
      </c>
      <c r="B677" s="2" t="s">
        <v>863</v>
      </c>
      <c r="C677" s="2" t="s">
        <v>864</v>
      </c>
      <c r="D677" s="2" t="s">
        <v>864</v>
      </c>
      <c r="E677" s="3">
        <v>30060</v>
      </c>
      <c r="F677" s="3">
        <v>30060</v>
      </c>
      <c r="G677" s="2" t="s">
        <v>11</v>
      </c>
      <c r="H677" s="2" t="s">
        <v>1003</v>
      </c>
      <c r="I677" s="2" t="s">
        <v>168</v>
      </c>
    </row>
    <row r="678" spans="1:9" ht="16" x14ac:dyDescent="0.8">
      <c r="A678" s="2" t="s">
        <v>1015</v>
      </c>
      <c r="B678" s="2" t="s">
        <v>865</v>
      </c>
      <c r="C678" s="2" t="s">
        <v>866</v>
      </c>
      <c r="D678" s="2" t="s">
        <v>866</v>
      </c>
      <c r="E678" s="3">
        <v>13020</v>
      </c>
      <c r="F678" s="3">
        <v>13020</v>
      </c>
      <c r="G678" s="2" t="s">
        <v>11</v>
      </c>
      <c r="H678" s="2" t="s">
        <v>1003</v>
      </c>
      <c r="I678" s="2" t="s">
        <v>168</v>
      </c>
    </row>
    <row r="679" spans="1:9" ht="16" x14ac:dyDescent="0.8">
      <c r="A679" s="2" t="s">
        <v>1016</v>
      </c>
      <c r="B679" s="2" t="s">
        <v>943</v>
      </c>
      <c r="C679" s="2" t="s">
        <v>944</v>
      </c>
      <c r="D679" s="2" t="s">
        <v>944</v>
      </c>
      <c r="E679" s="3">
        <v>5040</v>
      </c>
      <c r="F679" s="3">
        <v>5040</v>
      </c>
      <c r="G679" s="2" t="s">
        <v>11</v>
      </c>
      <c r="H679" s="2" t="s">
        <v>1003</v>
      </c>
      <c r="I679" s="2" t="s">
        <v>168</v>
      </c>
    </row>
    <row r="680" spans="1:9" ht="16" x14ac:dyDescent="0.8">
      <c r="A680" s="2" t="s">
        <v>1016</v>
      </c>
      <c r="B680" s="2" t="s">
        <v>863</v>
      </c>
      <c r="C680" s="2" t="s">
        <v>864</v>
      </c>
      <c r="D680" s="2" t="s">
        <v>864</v>
      </c>
      <c r="E680" s="3">
        <v>33480</v>
      </c>
      <c r="F680" s="3">
        <v>33480</v>
      </c>
      <c r="G680" s="2" t="s">
        <v>11</v>
      </c>
      <c r="H680" s="2" t="s">
        <v>1003</v>
      </c>
      <c r="I680" s="2" t="s">
        <v>168</v>
      </c>
    </row>
    <row r="681" spans="1:9" ht="16" x14ac:dyDescent="0.8">
      <c r="A681" s="2" t="s">
        <v>1016</v>
      </c>
      <c r="B681" s="2" t="s">
        <v>867</v>
      </c>
      <c r="C681" s="2" t="s">
        <v>868</v>
      </c>
      <c r="D681" s="2" t="s">
        <v>868</v>
      </c>
      <c r="E681" s="3">
        <v>10000</v>
      </c>
      <c r="F681" s="3">
        <v>10000</v>
      </c>
      <c r="G681" s="2" t="s">
        <v>11</v>
      </c>
      <c r="H681" s="2" t="s">
        <v>1003</v>
      </c>
      <c r="I681" s="2" t="s">
        <v>168</v>
      </c>
    </row>
    <row r="682" spans="1:9" ht="16" x14ac:dyDescent="0.8">
      <c r="A682" s="2" t="s">
        <v>1013</v>
      </c>
      <c r="B682" s="2" t="s">
        <v>282</v>
      </c>
      <c r="C682" s="2" t="s">
        <v>283</v>
      </c>
      <c r="D682" s="2" t="s">
        <v>283</v>
      </c>
      <c r="E682" s="3">
        <v>480</v>
      </c>
      <c r="F682" s="3">
        <v>480</v>
      </c>
      <c r="G682" s="2" t="s">
        <v>11</v>
      </c>
      <c r="H682" s="2" t="s">
        <v>1003</v>
      </c>
      <c r="I682" s="2" t="s">
        <v>279</v>
      </c>
    </row>
    <row r="683" spans="1:9" ht="16" x14ac:dyDescent="0.8">
      <c r="A683" s="2" t="s">
        <v>1017</v>
      </c>
      <c r="B683" s="2" t="s">
        <v>792</v>
      </c>
      <c r="C683" s="2" t="s">
        <v>793</v>
      </c>
      <c r="D683" s="2" t="s">
        <v>793</v>
      </c>
      <c r="E683" s="3">
        <v>1680128</v>
      </c>
      <c r="F683" s="3">
        <v>1680128</v>
      </c>
      <c r="G683" s="2" t="s">
        <v>11</v>
      </c>
      <c r="H683" s="2" t="s">
        <v>1003</v>
      </c>
      <c r="I683" s="2" t="s">
        <v>794</v>
      </c>
    </row>
    <row r="684" spans="1:9" ht="16" x14ac:dyDescent="0.8">
      <c r="A684" s="2" t="s">
        <v>1018</v>
      </c>
      <c r="B684" s="2" t="s">
        <v>254</v>
      </c>
      <c r="C684" s="2" t="s">
        <v>255</v>
      </c>
      <c r="D684" s="2" t="s">
        <v>255</v>
      </c>
      <c r="E684" s="3">
        <v>15000</v>
      </c>
      <c r="F684" s="3">
        <v>15000</v>
      </c>
      <c r="G684" s="2" t="s">
        <v>11</v>
      </c>
      <c r="H684" s="2" t="s">
        <v>1003</v>
      </c>
      <c r="I684" s="2" t="s">
        <v>256</v>
      </c>
    </row>
    <row r="685" spans="1:9" ht="16" x14ac:dyDescent="0.8">
      <c r="A685" s="2" t="s">
        <v>1019</v>
      </c>
      <c r="B685" s="2" t="s">
        <v>1020</v>
      </c>
      <c r="C685" s="2" t="s">
        <v>1021</v>
      </c>
      <c r="D685" s="2" t="s">
        <v>1021</v>
      </c>
      <c r="E685" s="3">
        <v>13824</v>
      </c>
      <c r="F685" s="3">
        <v>13824</v>
      </c>
      <c r="G685" s="2" t="s">
        <v>11</v>
      </c>
      <c r="H685" s="2" t="s">
        <v>1003</v>
      </c>
      <c r="I685" s="2" t="s">
        <v>17</v>
      </c>
    </row>
    <row r="686" spans="1:9" ht="16" x14ac:dyDescent="0.8">
      <c r="A686" s="2" t="s">
        <v>1019</v>
      </c>
      <c r="B686" s="2" t="s">
        <v>1022</v>
      </c>
      <c r="C686" s="2" t="s">
        <v>1023</v>
      </c>
      <c r="D686" s="2" t="s">
        <v>1023</v>
      </c>
      <c r="E686" s="3">
        <v>4608</v>
      </c>
      <c r="F686" s="3">
        <v>4608</v>
      </c>
      <c r="G686" s="2" t="s">
        <v>11</v>
      </c>
      <c r="H686" s="2" t="s">
        <v>1003</v>
      </c>
      <c r="I686" s="2" t="s">
        <v>17</v>
      </c>
    </row>
    <row r="687" spans="1:9" ht="16" x14ac:dyDescent="0.8">
      <c r="A687" s="2" t="s">
        <v>1019</v>
      </c>
      <c r="B687" s="2" t="s">
        <v>1024</v>
      </c>
      <c r="C687" s="2" t="s">
        <v>1025</v>
      </c>
      <c r="D687" s="2" t="s">
        <v>1025</v>
      </c>
      <c r="E687" s="3">
        <v>3384</v>
      </c>
      <c r="F687" s="3">
        <v>3384</v>
      </c>
      <c r="G687" s="2" t="s">
        <v>11</v>
      </c>
      <c r="H687" s="2" t="s">
        <v>1003</v>
      </c>
      <c r="I687" s="2" t="s">
        <v>17</v>
      </c>
    </row>
    <row r="688" spans="1:9" ht="16" x14ac:dyDescent="0.8">
      <c r="A688" s="2" t="s">
        <v>1019</v>
      </c>
      <c r="B688" s="2" t="s">
        <v>1026</v>
      </c>
      <c r="C688" s="2" t="s">
        <v>1027</v>
      </c>
      <c r="D688" s="2" t="s">
        <v>1027</v>
      </c>
      <c r="E688" s="3">
        <v>2640</v>
      </c>
      <c r="F688" s="3">
        <v>3840</v>
      </c>
      <c r="G688" s="2" t="s">
        <v>11</v>
      </c>
      <c r="H688" s="2" t="s">
        <v>1003</v>
      </c>
      <c r="I688" s="2" t="s">
        <v>17</v>
      </c>
    </row>
    <row r="689" spans="1:9" ht="16" x14ac:dyDescent="0.8">
      <c r="A689" s="2" t="s">
        <v>1019</v>
      </c>
      <c r="B689" s="2" t="s">
        <v>1028</v>
      </c>
      <c r="C689" s="2" t="s">
        <v>1029</v>
      </c>
      <c r="D689" s="2" t="s">
        <v>1029</v>
      </c>
      <c r="E689" s="3">
        <v>3264</v>
      </c>
      <c r="F689" s="3">
        <v>3264</v>
      </c>
      <c r="G689" s="2" t="s">
        <v>11</v>
      </c>
      <c r="H689" s="2" t="s">
        <v>1003</v>
      </c>
      <c r="I689" s="2" t="s">
        <v>17</v>
      </c>
    </row>
    <row r="690" spans="1:9" ht="16" x14ac:dyDescent="0.8">
      <c r="A690" s="2" t="s">
        <v>1030</v>
      </c>
      <c r="B690" s="2" t="s">
        <v>1020</v>
      </c>
      <c r="C690" s="2" t="s">
        <v>1021</v>
      </c>
      <c r="D690" s="2" t="s">
        <v>1021</v>
      </c>
      <c r="E690" s="3">
        <v>11880</v>
      </c>
      <c r="F690" s="3">
        <v>11880</v>
      </c>
      <c r="G690" s="2" t="s">
        <v>11</v>
      </c>
      <c r="H690" s="2" t="s">
        <v>1003</v>
      </c>
      <c r="I690" s="2" t="s">
        <v>17</v>
      </c>
    </row>
    <row r="691" spans="1:9" ht="16" x14ac:dyDescent="0.8">
      <c r="A691" s="2" t="s">
        <v>1030</v>
      </c>
      <c r="B691" s="2" t="s">
        <v>1022</v>
      </c>
      <c r="C691" s="2" t="s">
        <v>1023</v>
      </c>
      <c r="D691" s="2" t="s">
        <v>1023</v>
      </c>
      <c r="E691" s="3">
        <v>1248</v>
      </c>
      <c r="F691" s="3">
        <v>1248</v>
      </c>
      <c r="G691" s="2" t="s">
        <v>11</v>
      </c>
      <c r="H691" s="2" t="s">
        <v>1003</v>
      </c>
      <c r="I691" s="2" t="s">
        <v>17</v>
      </c>
    </row>
    <row r="692" spans="1:9" ht="16" x14ac:dyDescent="0.8">
      <c r="A692" s="2" t="s">
        <v>1030</v>
      </c>
      <c r="B692" s="2" t="s">
        <v>1024</v>
      </c>
      <c r="C692" s="2" t="s">
        <v>1025</v>
      </c>
      <c r="D692" s="2" t="s">
        <v>1025</v>
      </c>
      <c r="E692" s="3">
        <v>1980</v>
      </c>
      <c r="F692" s="3">
        <v>1980</v>
      </c>
      <c r="G692" s="2" t="s">
        <v>11</v>
      </c>
      <c r="H692" s="2" t="s">
        <v>1003</v>
      </c>
      <c r="I692" s="2" t="s">
        <v>17</v>
      </c>
    </row>
    <row r="693" spans="1:9" ht="16" x14ac:dyDescent="0.8">
      <c r="A693" s="2" t="s">
        <v>1030</v>
      </c>
      <c r="B693" s="2" t="s">
        <v>1026</v>
      </c>
      <c r="C693" s="2" t="s">
        <v>1027</v>
      </c>
      <c r="D693" s="2" t="s">
        <v>1027</v>
      </c>
      <c r="E693" s="3">
        <v>1280</v>
      </c>
      <c r="F693" s="3">
        <v>0</v>
      </c>
      <c r="G693" s="2" t="s">
        <v>11</v>
      </c>
      <c r="H693" s="2" t="s">
        <v>1003</v>
      </c>
      <c r="I693" s="2" t="s">
        <v>17</v>
      </c>
    </row>
    <row r="694" spans="1:9" ht="16" x14ac:dyDescent="0.8">
      <c r="A694" s="2" t="s">
        <v>1030</v>
      </c>
      <c r="B694" s="2" t="s">
        <v>1028</v>
      </c>
      <c r="C694" s="2" t="s">
        <v>1029</v>
      </c>
      <c r="D694" s="2" t="s">
        <v>1029</v>
      </c>
      <c r="E694" s="3">
        <v>720</v>
      </c>
      <c r="F694" s="3">
        <v>720</v>
      </c>
      <c r="G694" s="2" t="s">
        <v>11</v>
      </c>
      <c r="H694" s="2" t="s">
        <v>1003</v>
      </c>
      <c r="I694" s="2" t="s">
        <v>17</v>
      </c>
    </row>
    <row r="695" spans="1:9" ht="16" x14ac:dyDescent="0.8">
      <c r="A695" s="2" t="s">
        <v>1031</v>
      </c>
      <c r="B695" s="2" t="s">
        <v>254</v>
      </c>
      <c r="C695" s="2" t="s">
        <v>255</v>
      </c>
      <c r="D695" s="2" t="s">
        <v>255</v>
      </c>
      <c r="E695" s="3">
        <v>15000</v>
      </c>
      <c r="F695" s="3">
        <v>10920</v>
      </c>
      <c r="G695" s="2" t="s">
        <v>11</v>
      </c>
      <c r="H695" s="2" t="s">
        <v>1032</v>
      </c>
      <c r="I695" s="2" t="s">
        <v>256</v>
      </c>
    </row>
    <row r="696" spans="1:9" ht="16" x14ac:dyDescent="0.8">
      <c r="A696" s="2" t="s">
        <v>1033</v>
      </c>
      <c r="B696" s="2" t="s">
        <v>341</v>
      </c>
      <c r="C696" s="2" t="s">
        <v>342</v>
      </c>
      <c r="D696" s="2" t="s">
        <v>342</v>
      </c>
      <c r="E696" s="3">
        <v>15120</v>
      </c>
      <c r="F696" s="3">
        <v>0</v>
      </c>
      <c r="G696" s="2" t="s">
        <v>11</v>
      </c>
      <c r="H696" s="2" t="s">
        <v>1032</v>
      </c>
      <c r="I696" s="2" t="s">
        <v>279</v>
      </c>
    </row>
    <row r="697" spans="1:9" ht="16" x14ac:dyDescent="0.8">
      <c r="A697" s="2" t="s">
        <v>1034</v>
      </c>
      <c r="B697" s="2" t="s">
        <v>371</v>
      </c>
      <c r="C697" s="2" t="s">
        <v>372</v>
      </c>
      <c r="D697" s="2" t="s">
        <v>372</v>
      </c>
      <c r="E697" s="3">
        <v>11622</v>
      </c>
      <c r="F697" s="3">
        <v>11622</v>
      </c>
      <c r="G697" s="2" t="s">
        <v>11</v>
      </c>
      <c r="H697" s="2" t="s">
        <v>1035</v>
      </c>
      <c r="I697" s="2" t="s">
        <v>201</v>
      </c>
    </row>
    <row r="698" spans="1:9" ht="16" x14ac:dyDescent="0.8">
      <c r="A698" s="2" t="s">
        <v>1034</v>
      </c>
      <c r="B698" s="2" t="s">
        <v>366</v>
      </c>
      <c r="C698" s="2" t="s">
        <v>367</v>
      </c>
      <c r="D698" s="2" t="s">
        <v>367</v>
      </c>
      <c r="E698" s="3">
        <v>2946</v>
      </c>
      <c r="F698" s="3">
        <v>2946</v>
      </c>
      <c r="G698" s="2" t="s">
        <v>11</v>
      </c>
      <c r="H698" s="2" t="s">
        <v>1035</v>
      </c>
      <c r="I698" s="2" t="s">
        <v>201</v>
      </c>
    </row>
    <row r="699" spans="1:9" ht="16" x14ac:dyDescent="0.8">
      <c r="A699" s="2" t="s">
        <v>1034</v>
      </c>
      <c r="B699" s="2" t="s">
        <v>368</v>
      </c>
      <c r="C699" s="2" t="s">
        <v>199</v>
      </c>
      <c r="D699" s="2" t="s">
        <v>199</v>
      </c>
      <c r="E699" s="3">
        <v>6630</v>
      </c>
      <c r="F699" s="3">
        <v>6630</v>
      </c>
      <c r="G699" s="2" t="s">
        <v>11</v>
      </c>
      <c r="H699" s="2" t="s">
        <v>1035</v>
      </c>
      <c r="I699" s="2" t="s">
        <v>201</v>
      </c>
    </row>
    <row r="700" spans="1:9" ht="16" x14ac:dyDescent="0.8">
      <c r="A700" s="2" t="s">
        <v>1034</v>
      </c>
      <c r="B700" s="2" t="s">
        <v>1036</v>
      </c>
      <c r="C700" s="2" t="s">
        <v>1037</v>
      </c>
      <c r="D700" s="2" t="s">
        <v>1037</v>
      </c>
      <c r="E700" s="3">
        <v>3486</v>
      </c>
      <c r="F700" s="3">
        <v>3486</v>
      </c>
      <c r="G700" s="2" t="s">
        <v>11</v>
      </c>
      <c r="H700" s="2" t="s">
        <v>1035</v>
      </c>
      <c r="I700" s="2" t="s">
        <v>201</v>
      </c>
    </row>
    <row r="701" spans="1:9" ht="16" x14ac:dyDescent="0.8">
      <c r="A701" s="2" t="s">
        <v>1038</v>
      </c>
      <c r="B701" s="2" t="s">
        <v>18</v>
      </c>
      <c r="C701" s="2" t="s">
        <v>19</v>
      </c>
      <c r="D701" s="2" t="s">
        <v>19</v>
      </c>
      <c r="E701" s="3">
        <v>16372</v>
      </c>
      <c r="F701" s="3">
        <v>16372</v>
      </c>
      <c r="G701" s="2" t="s">
        <v>11</v>
      </c>
      <c r="H701" s="2" t="s">
        <v>1039</v>
      </c>
      <c r="I701" s="2" t="s">
        <v>256</v>
      </c>
    </row>
    <row r="702" spans="1:9" ht="16" x14ac:dyDescent="0.8">
      <c r="A702" s="2" t="s">
        <v>1038</v>
      </c>
      <c r="B702" s="2" t="s">
        <v>1040</v>
      </c>
      <c r="C702" s="2" t="s">
        <v>1041</v>
      </c>
      <c r="D702" s="2" t="s">
        <v>1041</v>
      </c>
      <c r="E702" s="3">
        <v>14248</v>
      </c>
      <c r="F702" s="3">
        <v>14248</v>
      </c>
      <c r="G702" s="2" t="s">
        <v>11</v>
      </c>
      <c r="H702" s="2" t="s">
        <v>1039</v>
      </c>
      <c r="I702" s="2" t="s">
        <v>256</v>
      </c>
    </row>
    <row r="703" spans="1:9" ht="16" x14ac:dyDescent="0.8">
      <c r="A703" s="2" t="s">
        <v>1038</v>
      </c>
      <c r="B703" s="2" t="s">
        <v>15</v>
      </c>
      <c r="C703" s="2" t="s">
        <v>16</v>
      </c>
      <c r="D703" s="2" t="s">
        <v>16</v>
      </c>
      <c r="E703" s="3">
        <v>10000</v>
      </c>
      <c r="F703" s="3">
        <v>10000</v>
      </c>
      <c r="G703" s="2" t="s">
        <v>11</v>
      </c>
      <c r="H703" s="2" t="s">
        <v>1039</v>
      </c>
      <c r="I703" s="2" t="s">
        <v>256</v>
      </c>
    </row>
    <row r="704" spans="1:9" ht="16" x14ac:dyDescent="0.8">
      <c r="A704" s="2" t="s">
        <v>1043</v>
      </c>
      <c r="B704" s="2" t="s">
        <v>1044</v>
      </c>
      <c r="C704" s="2" t="s">
        <v>1045</v>
      </c>
      <c r="D704" s="2" t="s">
        <v>1045</v>
      </c>
      <c r="E704" s="3">
        <v>2016</v>
      </c>
      <c r="F704" s="3">
        <v>2016</v>
      </c>
      <c r="G704" s="2" t="s">
        <v>11</v>
      </c>
      <c r="H704" s="2" t="s">
        <v>1042</v>
      </c>
      <c r="I704" s="2" t="s">
        <v>17</v>
      </c>
    </row>
    <row r="705" spans="1:9" ht="16" x14ac:dyDescent="0.8">
      <c r="A705" s="2" t="s">
        <v>1046</v>
      </c>
      <c r="B705" s="2" t="s">
        <v>417</v>
      </c>
      <c r="C705" s="2" t="s">
        <v>245</v>
      </c>
      <c r="D705" s="2" t="s">
        <v>245</v>
      </c>
      <c r="E705" s="3">
        <v>15000</v>
      </c>
      <c r="F705" s="3">
        <v>15000</v>
      </c>
      <c r="G705" s="2" t="s">
        <v>11</v>
      </c>
      <c r="H705" s="2" t="s">
        <v>1042</v>
      </c>
      <c r="I705" s="2" t="s">
        <v>201</v>
      </c>
    </row>
    <row r="706" spans="1:9" ht="16" x14ac:dyDescent="0.8">
      <c r="A706" s="2" t="s">
        <v>1046</v>
      </c>
      <c r="B706" s="2" t="s">
        <v>418</v>
      </c>
      <c r="C706" s="2" t="s">
        <v>337</v>
      </c>
      <c r="D706" s="2" t="s">
        <v>337</v>
      </c>
      <c r="E706" s="3">
        <v>9000</v>
      </c>
      <c r="F706" s="3">
        <v>9000</v>
      </c>
      <c r="G706" s="2" t="s">
        <v>11</v>
      </c>
      <c r="H706" s="2" t="s">
        <v>1042</v>
      </c>
      <c r="I706" s="2" t="s">
        <v>201</v>
      </c>
    </row>
    <row r="707" spans="1:9" ht="16" x14ac:dyDescent="0.8">
      <c r="A707" s="2" t="s">
        <v>1046</v>
      </c>
      <c r="B707" s="2" t="s">
        <v>419</v>
      </c>
      <c r="C707" s="2" t="s">
        <v>241</v>
      </c>
      <c r="D707" s="2" t="s">
        <v>241</v>
      </c>
      <c r="E707" s="3">
        <v>10002</v>
      </c>
      <c r="F707" s="3">
        <v>10002</v>
      </c>
      <c r="G707" s="2" t="s">
        <v>11</v>
      </c>
      <c r="H707" s="2" t="s">
        <v>1042</v>
      </c>
      <c r="I707" s="2" t="s">
        <v>201</v>
      </c>
    </row>
    <row r="708" spans="1:9" ht="16" x14ac:dyDescent="0.8">
      <c r="A708" s="2" t="s">
        <v>1046</v>
      </c>
      <c r="B708" s="2" t="s">
        <v>420</v>
      </c>
      <c r="C708" s="2" t="s">
        <v>246</v>
      </c>
      <c r="D708" s="2" t="s">
        <v>246</v>
      </c>
      <c r="E708" s="3">
        <v>16002</v>
      </c>
      <c r="F708" s="3">
        <v>16002</v>
      </c>
      <c r="G708" s="2" t="s">
        <v>11</v>
      </c>
      <c r="H708" s="2" t="s">
        <v>1042</v>
      </c>
      <c r="I708" s="2" t="s">
        <v>201</v>
      </c>
    </row>
    <row r="709" spans="1:9" ht="16" x14ac:dyDescent="0.8">
      <c r="A709" s="2" t="s">
        <v>1046</v>
      </c>
      <c r="B709" s="2" t="s">
        <v>421</v>
      </c>
      <c r="C709" s="2" t="s">
        <v>243</v>
      </c>
      <c r="D709" s="2" t="s">
        <v>243</v>
      </c>
      <c r="E709" s="3">
        <v>25002</v>
      </c>
      <c r="F709" s="3">
        <v>25002</v>
      </c>
      <c r="G709" s="2" t="s">
        <v>11</v>
      </c>
      <c r="H709" s="2" t="s">
        <v>1042</v>
      </c>
      <c r="I709" s="2" t="s">
        <v>201</v>
      </c>
    </row>
    <row r="710" spans="1:9" ht="16" x14ac:dyDescent="0.8">
      <c r="A710" s="2" t="s">
        <v>1046</v>
      </c>
      <c r="B710" s="2" t="s">
        <v>422</v>
      </c>
      <c r="C710" s="2" t="s">
        <v>244</v>
      </c>
      <c r="D710" s="2" t="s">
        <v>244</v>
      </c>
      <c r="E710" s="3">
        <v>10002</v>
      </c>
      <c r="F710" s="3">
        <v>10002</v>
      </c>
      <c r="G710" s="2" t="s">
        <v>11</v>
      </c>
      <c r="H710" s="2" t="s">
        <v>1042</v>
      </c>
      <c r="I710" s="2" t="s">
        <v>201</v>
      </c>
    </row>
    <row r="711" spans="1:9" ht="16" x14ac:dyDescent="0.8">
      <c r="A711" s="2" t="s">
        <v>1046</v>
      </c>
      <c r="B711" s="2" t="s">
        <v>198</v>
      </c>
      <c r="C711" s="2" t="s">
        <v>199</v>
      </c>
      <c r="D711" s="2" t="s">
        <v>199</v>
      </c>
      <c r="E711" s="3">
        <v>6000</v>
      </c>
      <c r="F711" s="3">
        <v>6000</v>
      </c>
      <c r="G711" s="2" t="s">
        <v>11</v>
      </c>
      <c r="H711" s="2" t="s">
        <v>1042</v>
      </c>
      <c r="I711" s="2" t="s">
        <v>201</v>
      </c>
    </row>
    <row r="712" spans="1:9" ht="16" x14ac:dyDescent="0.8">
      <c r="A712" s="2" t="s">
        <v>1046</v>
      </c>
      <c r="B712" s="2" t="s">
        <v>202</v>
      </c>
      <c r="C712" s="2" t="s">
        <v>203</v>
      </c>
      <c r="D712" s="2" t="s">
        <v>203</v>
      </c>
      <c r="E712" s="3">
        <v>9000</v>
      </c>
      <c r="F712" s="3">
        <v>9000</v>
      </c>
      <c r="G712" s="2" t="s">
        <v>11</v>
      </c>
      <c r="H712" s="2" t="s">
        <v>1042</v>
      </c>
      <c r="I712" s="2" t="s">
        <v>201</v>
      </c>
    </row>
    <row r="713" spans="1:9" ht="16" x14ac:dyDescent="0.8">
      <c r="A713" s="2" t="s">
        <v>1047</v>
      </c>
      <c r="B713" s="2" t="s">
        <v>966</v>
      </c>
      <c r="C713" s="2" t="s">
        <v>967</v>
      </c>
      <c r="D713" s="2" t="s">
        <v>967</v>
      </c>
      <c r="E713" s="3">
        <v>50000</v>
      </c>
      <c r="F713" s="3">
        <v>50000</v>
      </c>
      <c r="G713" s="2" t="s">
        <v>11</v>
      </c>
      <c r="H713" s="2" t="s">
        <v>1048</v>
      </c>
      <c r="I713" s="2" t="s">
        <v>168</v>
      </c>
    </row>
    <row r="714" spans="1:9" ht="16" x14ac:dyDescent="0.8">
      <c r="A714" s="2" t="s">
        <v>1049</v>
      </c>
      <c r="B714" s="2" t="s">
        <v>966</v>
      </c>
      <c r="C714" s="2" t="s">
        <v>967</v>
      </c>
      <c r="D714" s="2" t="s">
        <v>967</v>
      </c>
      <c r="E714" s="3">
        <v>40000</v>
      </c>
      <c r="F714" s="3">
        <v>40000</v>
      </c>
      <c r="G714" s="2" t="s">
        <v>11</v>
      </c>
      <c r="H714" s="2" t="s">
        <v>1048</v>
      </c>
      <c r="I714" s="2" t="s">
        <v>168</v>
      </c>
    </row>
    <row r="715" spans="1:9" ht="16" x14ac:dyDescent="0.8">
      <c r="A715" s="2" t="s">
        <v>1051</v>
      </c>
      <c r="B715" s="2" t="s">
        <v>1052</v>
      </c>
      <c r="C715" s="2" t="s">
        <v>1053</v>
      </c>
      <c r="D715" s="2" t="s">
        <v>1053</v>
      </c>
      <c r="E715" s="3">
        <v>33840</v>
      </c>
      <c r="F715" s="3">
        <v>33840</v>
      </c>
      <c r="G715" s="2" t="s">
        <v>11</v>
      </c>
      <c r="H715" s="2" t="s">
        <v>1050</v>
      </c>
      <c r="I715" s="2" t="s">
        <v>201</v>
      </c>
    </row>
    <row r="716" spans="1:9" ht="16" x14ac:dyDescent="0.8">
      <c r="A716" s="2" t="s">
        <v>1051</v>
      </c>
      <c r="B716" s="2" t="s">
        <v>1054</v>
      </c>
      <c r="C716" s="2" t="s">
        <v>1055</v>
      </c>
      <c r="D716" s="2" t="s">
        <v>1055</v>
      </c>
      <c r="E716" s="3">
        <v>35640</v>
      </c>
      <c r="F716" s="3">
        <v>35640</v>
      </c>
      <c r="G716" s="2" t="s">
        <v>11</v>
      </c>
      <c r="H716" s="2" t="s">
        <v>1050</v>
      </c>
      <c r="I716" s="2" t="s">
        <v>201</v>
      </c>
    </row>
    <row r="717" spans="1:9" ht="16" x14ac:dyDescent="0.8">
      <c r="A717" s="2" t="s">
        <v>1051</v>
      </c>
      <c r="B717" s="2" t="s">
        <v>1056</v>
      </c>
      <c r="C717" s="2" t="s">
        <v>1057</v>
      </c>
      <c r="D717" s="2" t="s">
        <v>1057</v>
      </c>
      <c r="E717" s="3">
        <v>6400</v>
      </c>
      <c r="F717" s="3">
        <v>6400</v>
      </c>
      <c r="G717" s="2" t="s">
        <v>11</v>
      </c>
      <c r="H717" s="2" t="s">
        <v>1050</v>
      </c>
      <c r="I717" s="2" t="s">
        <v>201</v>
      </c>
    </row>
    <row r="718" spans="1:9" ht="16" x14ac:dyDescent="0.8">
      <c r="A718" s="2" t="s">
        <v>1051</v>
      </c>
      <c r="B718" s="2" t="s">
        <v>1058</v>
      </c>
      <c r="C718" s="2" t="s">
        <v>1059</v>
      </c>
      <c r="D718" s="2" t="s">
        <v>1059</v>
      </c>
      <c r="E718" s="3">
        <v>14400</v>
      </c>
      <c r="F718" s="3">
        <v>14400</v>
      </c>
      <c r="G718" s="2" t="s">
        <v>11</v>
      </c>
      <c r="H718" s="2" t="s">
        <v>1050</v>
      </c>
      <c r="I718" s="2" t="s">
        <v>201</v>
      </c>
    </row>
    <row r="719" spans="1:9" ht="16" x14ac:dyDescent="0.8">
      <c r="A719" s="2" t="s">
        <v>1051</v>
      </c>
      <c r="B719" s="2" t="s">
        <v>1060</v>
      </c>
      <c r="C719" s="2" t="s">
        <v>1061</v>
      </c>
      <c r="D719" s="2" t="s">
        <v>1061</v>
      </c>
      <c r="E719" s="3">
        <v>1728</v>
      </c>
      <c r="F719" s="3">
        <v>1728</v>
      </c>
      <c r="G719" s="2" t="s">
        <v>11</v>
      </c>
      <c r="H719" s="2" t="s">
        <v>1050</v>
      </c>
      <c r="I719" s="2" t="s">
        <v>201</v>
      </c>
    </row>
    <row r="720" spans="1:9" ht="16" x14ac:dyDescent="0.8">
      <c r="A720" s="2" t="s">
        <v>1051</v>
      </c>
      <c r="B720" s="2" t="s">
        <v>1062</v>
      </c>
      <c r="C720" s="2" t="s">
        <v>1063</v>
      </c>
      <c r="D720" s="2" t="s">
        <v>1063</v>
      </c>
      <c r="E720" s="3">
        <v>17280</v>
      </c>
      <c r="F720" s="3">
        <v>17280</v>
      </c>
      <c r="G720" s="2" t="s">
        <v>11</v>
      </c>
      <c r="H720" s="2" t="s">
        <v>1050</v>
      </c>
      <c r="I720" s="2" t="s">
        <v>201</v>
      </c>
    </row>
    <row r="721" spans="1:9" ht="16" x14ac:dyDescent="0.8">
      <c r="A721" s="2" t="s">
        <v>1051</v>
      </c>
      <c r="B721" s="2" t="s">
        <v>1064</v>
      </c>
      <c r="C721" s="2" t="s">
        <v>1065</v>
      </c>
      <c r="D721" s="2" t="s">
        <v>1065</v>
      </c>
      <c r="E721" s="3">
        <v>13200</v>
      </c>
      <c r="F721" s="3">
        <v>13200</v>
      </c>
      <c r="G721" s="2" t="s">
        <v>11</v>
      </c>
      <c r="H721" s="2" t="s">
        <v>1050</v>
      </c>
      <c r="I721" s="2" t="s">
        <v>201</v>
      </c>
    </row>
    <row r="722" spans="1:9" ht="16" x14ac:dyDescent="0.8">
      <c r="A722" s="2" t="s">
        <v>1066</v>
      </c>
      <c r="B722" s="2" t="s">
        <v>1052</v>
      </c>
      <c r="C722" s="2" t="s">
        <v>1053</v>
      </c>
      <c r="D722" s="2" t="s">
        <v>1053</v>
      </c>
      <c r="E722" s="3">
        <v>19440</v>
      </c>
      <c r="F722" s="3">
        <v>19440</v>
      </c>
      <c r="G722" s="2" t="s">
        <v>11</v>
      </c>
      <c r="H722" s="2" t="s">
        <v>1050</v>
      </c>
      <c r="I722" s="2" t="s">
        <v>201</v>
      </c>
    </row>
    <row r="723" spans="1:9" ht="16" x14ac:dyDescent="0.8">
      <c r="A723" s="2" t="s">
        <v>1066</v>
      </c>
      <c r="B723" s="2" t="s">
        <v>1054</v>
      </c>
      <c r="C723" s="2" t="s">
        <v>1055</v>
      </c>
      <c r="D723" s="2" t="s">
        <v>1055</v>
      </c>
      <c r="E723" s="3">
        <v>7920</v>
      </c>
      <c r="F723" s="3">
        <v>7920</v>
      </c>
      <c r="G723" s="2" t="s">
        <v>11</v>
      </c>
      <c r="H723" s="2" t="s">
        <v>1050</v>
      </c>
      <c r="I723" s="2" t="s">
        <v>201</v>
      </c>
    </row>
    <row r="724" spans="1:9" ht="16" x14ac:dyDescent="0.8">
      <c r="A724" s="2" t="s">
        <v>1066</v>
      </c>
      <c r="B724" s="2" t="s">
        <v>1056</v>
      </c>
      <c r="C724" s="2" t="s">
        <v>1057</v>
      </c>
      <c r="D724" s="2" t="s">
        <v>1057</v>
      </c>
      <c r="E724" s="3">
        <v>1280</v>
      </c>
      <c r="F724" s="3">
        <v>1280</v>
      </c>
      <c r="G724" s="2" t="s">
        <v>11</v>
      </c>
      <c r="H724" s="2" t="s">
        <v>1050</v>
      </c>
      <c r="I724" s="2" t="s">
        <v>201</v>
      </c>
    </row>
    <row r="725" spans="1:9" ht="16" x14ac:dyDescent="0.8">
      <c r="A725" s="2" t="s">
        <v>1066</v>
      </c>
      <c r="B725" s="2" t="s">
        <v>1058</v>
      </c>
      <c r="C725" s="2" t="s">
        <v>1059</v>
      </c>
      <c r="D725" s="2" t="s">
        <v>1059</v>
      </c>
      <c r="E725" s="3">
        <v>5040</v>
      </c>
      <c r="F725" s="3">
        <v>5040</v>
      </c>
      <c r="G725" s="2" t="s">
        <v>11</v>
      </c>
      <c r="H725" s="2" t="s">
        <v>1050</v>
      </c>
      <c r="I725" s="2" t="s">
        <v>201</v>
      </c>
    </row>
    <row r="726" spans="1:9" ht="16" x14ac:dyDescent="0.8">
      <c r="A726" s="2" t="s">
        <v>1066</v>
      </c>
      <c r="B726" s="2" t="s">
        <v>1062</v>
      </c>
      <c r="C726" s="2" t="s">
        <v>1063</v>
      </c>
      <c r="D726" s="2" t="s">
        <v>1063</v>
      </c>
      <c r="E726" s="3">
        <v>6480</v>
      </c>
      <c r="F726" s="3">
        <v>6480</v>
      </c>
      <c r="G726" s="2" t="s">
        <v>11</v>
      </c>
      <c r="H726" s="2" t="s">
        <v>1050</v>
      </c>
      <c r="I726" s="2" t="s">
        <v>201</v>
      </c>
    </row>
    <row r="727" spans="1:9" ht="16" x14ac:dyDescent="0.8">
      <c r="A727" s="2" t="s">
        <v>1067</v>
      </c>
      <c r="B727" s="2" t="s">
        <v>639</v>
      </c>
      <c r="C727" s="2" t="s">
        <v>206</v>
      </c>
      <c r="D727" s="2" t="s">
        <v>206</v>
      </c>
      <c r="E727" s="3">
        <v>2008</v>
      </c>
      <c r="F727" s="3">
        <v>2008</v>
      </c>
      <c r="G727" s="2" t="s">
        <v>11</v>
      </c>
      <c r="H727" s="2" t="s">
        <v>1068</v>
      </c>
      <c r="I727" s="2" t="s">
        <v>641</v>
      </c>
    </row>
    <row r="728" spans="1:9" ht="16" x14ac:dyDescent="0.8">
      <c r="A728" s="2" t="s">
        <v>1067</v>
      </c>
      <c r="B728" s="2" t="s">
        <v>642</v>
      </c>
      <c r="C728" s="2" t="s">
        <v>643</v>
      </c>
      <c r="D728" s="2" t="s">
        <v>643</v>
      </c>
      <c r="E728" s="3">
        <v>6772</v>
      </c>
      <c r="F728" s="3">
        <v>6772</v>
      </c>
      <c r="G728" s="2" t="s">
        <v>11</v>
      </c>
      <c r="H728" s="2" t="s">
        <v>1068</v>
      </c>
      <c r="I728" s="2" t="s">
        <v>641</v>
      </c>
    </row>
    <row r="729" spans="1:9" ht="16" x14ac:dyDescent="0.8">
      <c r="A729" s="2" t="s">
        <v>1067</v>
      </c>
      <c r="B729" s="2" t="s">
        <v>644</v>
      </c>
      <c r="C729" s="2" t="s">
        <v>645</v>
      </c>
      <c r="D729" s="2" t="s">
        <v>645</v>
      </c>
      <c r="E729" s="3">
        <v>2508</v>
      </c>
      <c r="F729" s="3">
        <v>2508</v>
      </c>
      <c r="G729" s="2" t="s">
        <v>11</v>
      </c>
      <c r="H729" s="2" t="s">
        <v>1068</v>
      </c>
      <c r="I729" s="2" t="s">
        <v>641</v>
      </c>
    </row>
    <row r="730" spans="1:9" ht="16" x14ac:dyDescent="0.8">
      <c r="A730" s="2" t="s">
        <v>1067</v>
      </c>
      <c r="B730" s="2" t="s">
        <v>646</v>
      </c>
      <c r="C730" s="2" t="s">
        <v>647</v>
      </c>
      <c r="D730" s="2" t="s">
        <v>647</v>
      </c>
      <c r="E730" s="3">
        <v>6272</v>
      </c>
      <c r="F730" s="3">
        <v>6272</v>
      </c>
      <c r="G730" s="2" t="s">
        <v>11</v>
      </c>
      <c r="H730" s="2" t="s">
        <v>1068</v>
      </c>
      <c r="I730" s="2" t="s">
        <v>641</v>
      </c>
    </row>
    <row r="731" spans="1:9" ht="16" x14ac:dyDescent="0.8">
      <c r="A731" s="2" t="s">
        <v>1067</v>
      </c>
      <c r="B731" s="2" t="s">
        <v>648</v>
      </c>
      <c r="C731" s="2" t="s">
        <v>649</v>
      </c>
      <c r="D731" s="2" t="s">
        <v>649</v>
      </c>
      <c r="E731" s="3">
        <v>3260</v>
      </c>
      <c r="F731" s="3">
        <v>3260</v>
      </c>
      <c r="G731" s="2" t="s">
        <v>11</v>
      </c>
      <c r="H731" s="2" t="s">
        <v>1068</v>
      </c>
      <c r="I731" s="2" t="s">
        <v>641</v>
      </c>
    </row>
    <row r="732" spans="1:9" ht="16" x14ac:dyDescent="0.8">
      <c r="A732" s="2" t="s">
        <v>1067</v>
      </c>
      <c r="B732" s="2" t="s">
        <v>650</v>
      </c>
      <c r="C732" s="2" t="s">
        <v>651</v>
      </c>
      <c r="D732" s="2" t="s">
        <v>651</v>
      </c>
      <c r="E732" s="3">
        <v>4264</v>
      </c>
      <c r="F732" s="3">
        <v>4264</v>
      </c>
      <c r="G732" s="2" t="s">
        <v>11</v>
      </c>
      <c r="H732" s="2" t="s">
        <v>1068</v>
      </c>
      <c r="I732" s="2" t="s">
        <v>641</v>
      </c>
    </row>
    <row r="733" spans="1:9" ht="16" x14ac:dyDescent="0.8">
      <c r="A733" s="2" t="s">
        <v>1069</v>
      </c>
      <c r="B733" s="2" t="s">
        <v>1070</v>
      </c>
      <c r="C733" s="2" t="s">
        <v>1071</v>
      </c>
      <c r="D733" s="2" t="s">
        <v>1071</v>
      </c>
      <c r="E733" s="3">
        <v>10560</v>
      </c>
      <c r="F733" s="3">
        <v>10560</v>
      </c>
      <c r="G733" s="2" t="s">
        <v>11</v>
      </c>
      <c r="H733" s="2" t="s">
        <v>1072</v>
      </c>
      <c r="I733" s="2" t="s">
        <v>437</v>
      </c>
    </row>
    <row r="734" spans="1:9" ht="16" x14ac:dyDescent="0.8">
      <c r="A734" s="2" t="s">
        <v>1073</v>
      </c>
      <c r="B734" s="2" t="s">
        <v>435</v>
      </c>
      <c r="C734" s="2" t="s">
        <v>436</v>
      </c>
      <c r="D734" s="2" t="s">
        <v>436</v>
      </c>
      <c r="E734" s="3">
        <v>8004</v>
      </c>
      <c r="F734" s="3">
        <v>8004</v>
      </c>
      <c r="G734" s="2" t="s">
        <v>11</v>
      </c>
      <c r="H734" s="2" t="s">
        <v>1074</v>
      </c>
      <c r="I734" s="2" t="s">
        <v>437</v>
      </c>
    </row>
    <row r="735" spans="1:9" ht="16" x14ac:dyDescent="0.8">
      <c r="A735" s="2" t="s">
        <v>1016</v>
      </c>
      <c r="B735" s="2" t="s">
        <v>865</v>
      </c>
      <c r="C735" s="2" t="s">
        <v>866</v>
      </c>
      <c r="D735" s="2" t="s">
        <v>866</v>
      </c>
      <c r="E735" s="3">
        <v>14520</v>
      </c>
      <c r="F735" s="3">
        <v>14520</v>
      </c>
      <c r="G735" s="2" t="s">
        <v>11</v>
      </c>
      <c r="H735" s="2" t="s">
        <v>1003</v>
      </c>
      <c r="I735" s="2" t="s">
        <v>168</v>
      </c>
    </row>
    <row r="736" spans="1:9" ht="16" x14ac:dyDescent="0.8">
      <c r="A736" s="2" t="s">
        <v>1075</v>
      </c>
      <c r="B736" s="2" t="s">
        <v>943</v>
      </c>
      <c r="C736" s="2" t="s">
        <v>944</v>
      </c>
      <c r="D736" s="2" t="s">
        <v>944</v>
      </c>
      <c r="E736" s="3">
        <v>36360</v>
      </c>
      <c r="F736" s="3">
        <v>36360</v>
      </c>
      <c r="G736" s="2" t="s">
        <v>11</v>
      </c>
      <c r="H736" s="2" t="s">
        <v>1074</v>
      </c>
      <c r="I736" s="2" t="s">
        <v>168</v>
      </c>
    </row>
    <row r="737" spans="1:9" ht="16" x14ac:dyDescent="0.8">
      <c r="A737" s="2" t="s">
        <v>1075</v>
      </c>
      <c r="B737" s="2" t="s">
        <v>867</v>
      </c>
      <c r="C737" s="2" t="s">
        <v>868</v>
      </c>
      <c r="D737" s="2" t="s">
        <v>868</v>
      </c>
      <c r="E737" s="3">
        <v>55360</v>
      </c>
      <c r="F737" s="3">
        <v>55360</v>
      </c>
      <c r="G737" s="2" t="s">
        <v>11</v>
      </c>
      <c r="H737" s="2" t="s">
        <v>1074</v>
      </c>
      <c r="I737" s="2" t="s">
        <v>168</v>
      </c>
    </row>
    <row r="738" spans="1:9" ht="16" x14ac:dyDescent="0.8">
      <c r="A738" s="2" t="s">
        <v>1076</v>
      </c>
      <c r="B738" s="2" t="s">
        <v>341</v>
      </c>
      <c r="C738" s="2" t="s">
        <v>342</v>
      </c>
      <c r="D738" s="2" t="s">
        <v>342</v>
      </c>
      <c r="E738" s="3">
        <v>3780</v>
      </c>
      <c r="F738" s="3">
        <v>3780</v>
      </c>
      <c r="G738" s="2" t="s">
        <v>11</v>
      </c>
      <c r="H738" s="2" t="s">
        <v>1077</v>
      </c>
      <c r="I738" s="2" t="s">
        <v>279</v>
      </c>
    </row>
    <row r="739" spans="1:9" ht="16" x14ac:dyDescent="0.8">
      <c r="A739" s="2" t="s">
        <v>1076</v>
      </c>
      <c r="B739" s="2" t="s">
        <v>343</v>
      </c>
      <c r="C739" s="2" t="s">
        <v>344</v>
      </c>
      <c r="D739" s="2" t="s">
        <v>344</v>
      </c>
      <c r="E739" s="3">
        <v>3600</v>
      </c>
      <c r="F739" s="3">
        <v>3600</v>
      </c>
      <c r="G739" s="2" t="s">
        <v>11</v>
      </c>
      <c r="H739" s="2" t="s">
        <v>1077</v>
      </c>
      <c r="I739" s="2" t="s">
        <v>279</v>
      </c>
    </row>
    <row r="740" spans="1:9" ht="16" x14ac:dyDescent="0.8">
      <c r="A740" s="2" t="s">
        <v>1078</v>
      </c>
      <c r="B740" s="2" t="s">
        <v>58</v>
      </c>
      <c r="C740" s="2" t="s">
        <v>59</v>
      </c>
      <c r="D740" s="2" t="s">
        <v>59</v>
      </c>
      <c r="E740" s="3">
        <v>1</v>
      </c>
      <c r="F740" s="3">
        <v>1</v>
      </c>
      <c r="G740" s="2" t="s">
        <v>11</v>
      </c>
      <c r="H740" s="2" t="s">
        <v>1077</v>
      </c>
      <c r="I740" s="2" t="s">
        <v>53</v>
      </c>
    </row>
    <row r="741" spans="1:9" ht="16" x14ac:dyDescent="0.8">
      <c r="A741" s="2" t="s">
        <v>1078</v>
      </c>
      <c r="B741" s="2" t="s">
        <v>1079</v>
      </c>
      <c r="C741" s="2" t="s">
        <v>1080</v>
      </c>
      <c r="D741" s="2" t="s">
        <v>1080</v>
      </c>
      <c r="E741" s="3">
        <v>1</v>
      </c>
      <c r="F741" s="3">
        <v>1</v>
      </c>
      <c r="G741" s="2" t="s">
        <v>11</v>
      </c>
      <c r="H741" s="2" t="s">
        <v>1077</v>
      </c>
      <c r="I741" s="2" t="s">
        <v>53</v>
      </c>
    </row>
    <row r="742" spans="1:9" ht="16" x14ac:dyDescent="0.8">
      <c r="A742" s="2" t="s">
        <v>1078</v>
      </c>
      <c r="B742" s="2" t="s">
        <v>51</v>
      </c>
      <c r="C742" s="2" t="s">
        <v>52</v>
      </c>
      <c r="D742" s="2" t="s">
        <v>52</v>
      </c>
      <c r="E742" s="3">
        <v>1</v>
      </c>
      <c r="F742" s="3">
        <v>1</v>
      </c>
      <c r="G742" s="2" t="s">
        <v>11</v>
      </c>
      <c r="H742" s="2" t="s">
        <v>1077</v>
      </c>
      <c r="I742" s="2" t="s">
        <v>53</v>
      </c>
    </row>
    <row r="743" spans="1:9" ht="16" x14ac:dyDescent="0.8">
      <c r="A743" s="2" t="s">
        <v>1078</v>
      </c>
      <c r="B743" s="2" t="s">
        <v>887</v>
      </c>
      <c r="C743" s="2" t="s">
        <v>888</v>
      </c>
      <c r="D743" s="2" t="s">
        <v>888</v>
      </c>
      <c r="E743" s="3">
        <v>1</v>
      </c>
      <c r="F743" s="3">
        <v>1</v>
      </c>
      <c r="G743" s="2" t="s">
        <v>11</v>
      </c>
      <c r="H743" s="2" t="s">
        <v>1077</v>
      </c>
      <c r="I743" s="2" t="s">
        <v>53</v>
      </c>
    </row>
    <row r="744" spans="1:9" ht="16" x14ac:dyDescent="0.8">
      <c r="A744" s="2" t="s">
        <v>1078</v>
      </c>
      <c r="B744" s="2" t="s">
        <v>56</v>
      </c>
      <c r="C744" s="2" t="s">
        <v>57</v>
      </c>
      <c r="D744" s="2" t="s">
        <v>57</v>
      </c>
      <c r="E744" s="3">
        <v>1</v>
      </c>
      <c r="F744" s="3">
        <v>1</v>
      </c>
      <c r="G744" s="2" t="s">
        <v>11</v>
      </c>
      <c r="H744" s="2" t="s">
        <v>1077</v>
      </c>
      <c r="I744" s="2" t="s">
        <v>53</v>
      </c>
    </row>
    <row r="745" spans="1:9" ht="16" x14ac:dyDescent="0.8">
      <c r="A745" s="2" t="s">
        <v>1081</v>
      </c>
      <c r="B745" s="2" t="s">
        <v>98</v>
      </c>
      <c r="C745" s="2" t="s">
        <v>99</v>
      </c>
      <c r="D745" s="2" t="s">
        <v>99</v>
      </c>
      <c r="E745" s="3">
        <v>2</v>
      </c>
      <c r="F745" s="3">
        <v>2</v>
      </c>
      <c r="G745" s="2" t="s">
        <v>11</v>
      </c>
      <c r="H745" s="2" t="s">
        <v>1077</v>
      </c>
      <c r="I745" s="2" t="s">
        <v>87</v>
      </c>
    </row>
    <row r="746" spans="1:9" ht="16" x14ac:dyDescent="0.8">
      <c r="A746" s="2" t="s">
        <v>1081</v>
      </c>
      <c r="B746" s="2" t="s">
        <v>96</v>
      </c>
      <c r="C746" s="2" t="s">
        <v>97</v>
      </c>
      <c r="D746" s="2" t="s">
        <v>97</v>
      </c>
      <c r="E746" s="3">
        <v>4</v>
      </c>
      <c r="F746" s="3">
        <v>4</v>
      </c>
      <c r="G746" s="2" t="s">
        <v>11</v>
      </c>
      <c r="H746" s="2" t="s">
        <v>1077</v>
      </c>
      <c r="I746" s="2" t="s">
        <v>87</v>
      </c>
    </row>
    <row r="747" spans="1:9" ht="16" x14ac:dyDescent="0.8">
      <c r="A747" s="2" t="s">
        <v>1081</v>
      </c>
      <c r="B747" s="2" t="s">
        <v>1082</v>
      </c>
      <c r="C747" s="2" t="s">
        <v>1083</v>
      </c>
      <c r="D747" s="2" t="s">
        <v>1083</v>
      </c>
      <c r="E747" s="3">
        <v>1</v>
      </c>
      <c r="F747" s="3">
        <v>1</v>
      </c>
      <c r="G747" s="2" t="s">
        <v>11</v>
      </c>
      <c r="H747" s="2" t="s">
        <v>1077</v>
      </c>
      <c r="I747" s="2" t="s">
        <v>87</v>
      </c>
    </row>
    <row r="748" spans="1:9" ht="16" x14ac:dyDescent="0.8">
      <c r="A748" s="2" t="s">
        <v>1081</v>
      </c>
      <c r="B748" s="2" t="s">
        <v>88</v>
      </c>
      <c r="C748" s="2" t="s">
        <v>89</v>
      </c>
      <c r="D748" s="2" t="s">
        <v>89</v>
      </c>
      <c r="E748" s="3">
        <v>4</v>
      </c>
      <c r="F748" s="3">
        <v>4</v>
      </c>
      <c r="G748" s="2" t="s">
        <v>11</v>
      </c>
      <c r="H748" s="2" t="s">
        <v>1077</v>
      </c>
      <c r="I748" s="2" t="s">
        <v>87</v>
      </c>
    </row>
    <row r="749" spans="1:9" ht="16" x14ac:dyDescent="0.8">
      <c r="A749" s="2" t="s">
        <v>1081</v>
      </c>
      <c r="B749" s="2" t="s">
        <v>908</v>
      </c>
      <c r="C749" s="2" t="s">
        <v>909</v>
      </c>
      <c r="D749" s="2" t="s">
        <v>909</v>
      </c>
      <c r="E749" s="3">
        <v>3</v>
      </c>
      <c r="F749" s="3">
        <v>3</v>
      </c>
      <c r="G749" s="2" t="s">
        <v>11</v>
      </c>
      <c r="H749" s="2" t="s">
        <v>1077</v>
      </c>
      <c r="I749" s="2" t="s">
        <v>87</v>
      </c>
    </row>
    <row r="750" spans="1:9" ht="16" x14ac:dyDescent="0.8">
      <c r="A750" s="2" t="s">
        <v>1095</v>
      </c>
      <c r="B750" s="2" t="s">
        <v>122</v>
      </c>
      <c r="C750" s="2" t="s">
        <v>123</v>
      </c>
      <c r="D750" s="2" t="s">
        <v>123</v>
      </c>
      <c r="E750" s="3">
        <v>1</v>
      </c>
      <c r="F750" s="3">
        <v>1</v>
      </c>
      <c r="G750" s="2" t="s">
        <v>11</v>
      </c>
      <c r="H750" s="2" t="s">
        <v>1077</v>
      </c>
      <c r="I750" s="2" t="s">
        <v>117</v>
      </c>
    </row>
    <row r="751" spans="1:9" ht="16" x14ac:dyDescent="0.8">
      <c r="A751" s="2" t="s">
        <v>1096</v>
      </c>
      <c r="B751" s="2" t="s">
        <v>148</v>
      </c>
      <c r="C751" s="2" t="s">
        <v>149</v>
      </c>
      <c r="D751" s="2" t="s">
        <v>149</v>
      </c>
      <c r="E751" s="3">
        <v>3</v>
      </c>
      <c r="F751" s="3">
        <v>3</v>
      </c>
      <c r="G751" s="2" t="s">
        <v>11</v>
      </c>
      <c r="H751" s="2" t="s">
        <v>1077</v>
      </c>
      <c r="I751" s="2" t="s">
        <v>133</v>
      </c>
    </row>
    <row r="752" spans="1:9" ht="16" x14ac:dyDescent="0.8">
      <c r="A752" s="2" t="s">
        <v>1096</v>
      </c>
      <c r="B752" s="2" t="s">
        <v>931</v>
      </c>
      <c r="C752" s="2" t="s">
        <v>932</v>
      </c>
      <c r="D752" s="2" t="s">
        <v>932</v>
      </c>
      <c r="E752" s="3">
        <v>1</v>
      </c>
      <c r="F752" s="3">
        <v>1</v>
      </c>
      <c r="G752" s="2" t="s">
        <v>11</v>
      </c>
      <c r="H752" s="2" t="s">
        <v>1077</v>
      </c>
      <c r="I752" s="2" t="s">
        <v>133</v>
      </c>
    </row>
    <row r="753" spans="1:9" ht="16" x14ac:dyDescent="0.8">
      <c r="A753" s="2" t="s">
        <v>1096</v>
      </c>
      <c r="B753" s="2" t="s">
        <v>1097</v>
      </c>
      <c r="C753" s="2" t="s">
        <v>1098</v>
      </c>
      <c r="D753" s="2" t="s">
        <v>1098</v>
      </c>
      <c r="E753" s="3">
        <v>1</v>
      </c>
      <c r="F753" s="3">
        <v>1</v>
      </c>
      <c r="G753" s="2" t="s">
        <v>11</v>
      </c>
      <c r="H753" s="2" t="s">
        <v>1077</v>
      </c>
      <c r="I753" s="2" t="s">
        <v>133</v>
      </c>
    </row>
    <row r="754" spans="1:9" ht="16" x14ac:dyDescent="0.8">
      <c r="A754" s="2" t="s">
        <v>1096</v>
      </c>
      <c r="B754" s="2" t="s">
        <v>134</v>
      </c>
      <c r="C754" s="2" t="s">
        <v>135</v>
      </c>
      <c r="D754" s="2" t="s">
        <v>135</v>
      </c>
      <c r="E754" s="3">
        <v>1</v>
      </c>
      <c r="F754" s="3">
        <v>1</v>
      </c>
      <c r="G754" s="2" t="s">
        <v>11</v>
      </c>
      <c r="H754" s="2" t="s">
        <v>1077</v>
      </c>
      <c r="I754" s="2" t="s">
        <v>133</v>
      </c>
    </row>
    <row r="755" spans="1:9" ht="16" x14ac:dyDescent="0.8">
      <c r="A755" s="2" t="s">
        <v>1096</v>
      </c>
      <c r="B755" s="2" t="s">
        <v>158</v>
      </c>
      <c r="C755" s="2" t="s">
        <v>159</v>
      </c>
      <c r="D755" s="2" t="s">
        <v>159</v>
      </c>
      <c r="E755" s="3">
        <v>1</v>
      </c>
      <c r="F755" s="3">
        <v>1</v>
      </c>
      <c r="G755" s="2" t="s">
        <v>11</v>
      </c>
      <c r="H755" s="2" t="s">
        <v>1077</v>
      </c>
      <c r="I755" s="2" t="s">
        <v>133</v>
      </c>
    </row>
    <row r="756" spans="1:9" ht="16" x14ac:dyDescent="0.8">
      <c r="A756" s="2" t="s">
        <v>1096</v>
      </c>
      <c r="B756" s="2" t="s">
        <v>150</v>
      </c>
      <c r="C756" s="2" t="s">
        <v>151</v>
      </c>
      <c r="D756" s="2" t="s">
        <v>151</v>
      </c>
      <c r="E756" s="3">
        <v>9</v>
      </c>
      <c r="F756" s="3">
        <v>9</v>
      </c>
      <c r="G756" s="2" t="s">
        <v>11</v>
      </c>
      <c r="H756" s="2" t="s">
        <v>1077</v>
      </c>
      <c r="I756" s="2" t="s">
        <v>133</v>
      </c>
    </row>
    <row r="757" spans="1:9" ht="16" x14ac:dyDescent="0.8">
      <c r="A757" s="2" t="s">
        <v>1099</v>
      </c>
      <c r="B757" s="2" t="s">
        <v>112</v>
      </c>
      <c r="C757" s="2" t="s">
        <v>113</v>
      </c>
      <c r="D757" s="2" t="s">
        <v>113</v>
      </c>
      <c r="E757" s="3">
        <v>2</v>
      </c>
      <c r="F757" s="3">
        <v>2</v>
      </c>
      <c r="G757" s="2" t="s">
        <v>11</v>
      </c>
      <c r="H757" s="2" t="s">
        <v>1077</v>
      </c>
      <c r="I757" s="2" t="s">
        <v>111</v>
      </c>
    </row>
    <row r="758" spans="1:9" ht="16" x14ac:dyDescent="0.8">
      <c r="A758" s="2" t="s">
        <v>1100</v>
      </c>
      <c r="B758" s="2" t="s">
        <v>1101</v>
      </c>
      <c r="C758" s="2" t="s">
        <v>1102</v>
      </c>
      <c r="D758" s="2" t="s">
        <v>1102</v>
      </c>
      <c r="E758" s="3">
        <v>390</v>
      </c>
      <c r="F758" s="3">
        <v>390</v>
      </c>
      <c r="G758" s="2" t="s">
        <v>11</v>
      </c>
      <c r="H758" s="2" t="s">
        <v>1103</v>
      </c>
      <c r="I758" s="2" t="s">
        <v>201</v>
      </c>
    </row>
    <row r="759" spans="1:9" ht="16" x14ac:dyDescent="0.8">
      <c r="A759" s="2" t="s">
        <v>1100</v>
      </c>
      <c r="B759" s="2" t="s">
        <v>1104</v>
      </c>
      <c r="C759" s="2" t="s">
        <v>243</v>
      </c>
      <c r="D759" s="2" t="s">
        <v>243</v>
      </c>
      <c r="E759" s="3">
        <v>390</v>
      </c>
      <c r="F759" s="3">
        <v>390</v>
      </c>
      <c r="G759" s="2" t="s">
        <v>11</v>
      </c>
      <c r="H759" s="2" t="s">
        <v>1103</v>
      </c>
      <c r="I759" s="2" t="s">
        <v>201</v>
      </c>
    </row>
    <row r="760" spans="1:9" ht="16" x14ac:dyDescent="0.8">
      <c r="A760" s="2" t="s">
        <v>1100</v>
      </c>
      <c r="B760" s="2" t="s">
        <v>1105</v>
      </c>
      <c r="C760" s="2" t="s">
        <v>1106</v>
      </c>
      <c r="D760" s="2" t="s">
        <v>1106</v>
      </c>
      <c r="E760" s="3">
        <v>390</v>
      </c>
      <c r="F760" s="3">
        <v>390</v>
      </c>
      <c r="G760" s="2" t="s">
        <v>11</v>
      </c>
      <c r="H760" s="2" t="s">
        <v>1103</v>
      </c>
      <c r="I760" s="2" t="s">
        <v>201</v>
      </c>
    </row>
    <row r="761" spans="1:9" ht="16" x14ac:dyDescent="0.8">
      <c r="A761" s="2" t="s">
        <v>1076</v>
      </c>
      <c r="B761" s="2" t="s">
        <v>282</v>
      </c>
      <c r="C761" s="2" t="s">
        <v>283</v>
      </c>
      <c r="D761" s="2" t="s">
        <v>283</v>
      </c>
      <c r="E761" s="3">
        <v>1280</v>
      </c>
      <c r="F761" s="3">
        <v>1280</v>
      </c>
      <c r="G761" s="2" t="s">
        <v>11</v>
      </c>
      <c r="H761" s="2" t="s">
        <v>1077</v>
      </c>
      <c r="I761" s="2" t="s">
        <v>279</v>
      </c>
    </row>
    <row r="762" spans="1:9" ht="16" x14ac:dyDescent="0.8">
      <c r="A762" s="2" t="s">
        <v>1076</v>
      </c>
      <c r="B762" s="2" t="s">
        <v>284</v>
      </c>
      <c r="C762" s="2" t="s">
        <v>285</v>
      </c>
      <c r="D762" s="2" t="s">
        <v>285</v>
      </c>
      <c r="E762" s="3">
        <v>2128</v>
      </c>
      <c r="F762" s="3">
        <v>2128</v>
      </c>
      <c r="G762" s="2" t="s">
        <v>11</v>
      </c>
      <c r="H762" s="2" t="s">
        <v>1077</v>
      </c>
      <c r="I762" s="2" t="s">
        <v>279</v>
      </c>
    </row>
    <row r="763" spans="1:9" ht="16" x14ac:dyDescent="0.8">
      <c r="A763" s="2" t="s">
        <v>1100</v>
      </c>
      <c r="B763" s="2" t="s">
        <v>1107</v>
      </c>
      <c r="C763" s="2" t="s">
        <v>1108</v>
      </c>
      <c r="D763" s="2" t="s">
        <v>1108</v>
      </c>
      <c r="E763" s="3">
        <v>390</v>
      </c>
      <c r="F763" s="3">
        <v>390</v>
      </c>
      <c r="G763" s="2" t="s">
        <v>11</v>
      </c>
      <c r="H763" s="2" t="s">
        <v>1103</v>
      </c>
      <c r="I763" s="2" t="s">
        <v>201</v>
      </c>
    </row>
    <row r="764" spans="1:9" ht="16" x14ac:dyDescent="0.8">
      <c r="A764" s="2" t="s">
        <v>1109</v>
      </c>
      <c r="B764" s="2" t="s">
        <v>1110</v>
      </c>
      <c r="C764" s="2" t="s">
        <v>1111</v>
      </c>
      <c r="D764" s="2" t="s">
        <v>1111</v>
      </c>
      <c r="E764" s="3">
        <v>326250</v>
      </c>
      <c r="F764" s="3">
        <v>326250</v>
      </c>
      <c r="G764" s="2" t="s">
        <v>11</v>
      </c>
      <c r="H764" s="2" t="s">
        <v>1112</v>
      </c>
      <c r="I764" s="2" t="s">
        <v>1113</v>
      </c>
    </row>
    <row r="765" spans="1:9" ht="16" x14ac:dyDescent="0.8">
      <c r="A765" s="2" t="s">
        <v>1109</v>
      </c>
      <c r="B765" s="2" t="s">
        <v>1114</v>
      </c>
      <c r="C765" s="2" t="s">
        <v>1115</v>
      </c>
      <c r="D765" s="2" t="s">
        <v>1115</v>
      </c>
      <c r="E765" s="3">
        <v>195840</v>
      </c>
      <c r="F765" s="3">
        <v>195840</v>
      </c>
      <c r="G765" s="2" t="s">
        <v>11</v>
      </c>
      <c r="H765" s="2" t="s">
        <v>1112</v>
      </c>
      <c r="I765" s="2" t="s">
        <v>1113</v>
      </c>
    </row>
    <row r="766" spans="1:9" ht="16" x14ac:dyDescent="0.8">
      <c r="A766" s="2" t="s">
        <v>1109</v>
      </c>
      <c r="B766" s="2" t="s">
        <v>1116</v>
      </c>
      <c r="C766" s="2" t="s">
        <v>1117</v>
      </c>
      <c r="D766" s="2" t="s">
        <v>1117</v>
      </c>
      <c r="E766" s="3">
        <v>235392</v>
      </c>
      <c r="F766" s="3">
        <v>235392</v>
      </c>
      <c r="G766" s="2" t="s">
        <v>11</v>
      </c>
      <c r="H766" s="2" t="s">
        <v>1112</v>
      </c>
      <c r="I766" s="2" t="s">
        <v>1113</v>
      </c>
    </row>
    <row r="767" spans="1:9" ht="16" x14ac:dyDescent="0.8">
      <c r="A767" s="2" t="s">
        <v>1118</v>
      </c>
      <c r="B767" s="2" t="s">
        <v>1119</v>
      </c>
      <c r="C767" s="2" t="s">
        <v>1120</v>
      </c>
      <c r="D767" s="2" t="s">
        <v>1120</v>
      </c>
      <c r="E767" s="3">
        <v>16560</v>
      </c>
      <c r="F767" s="3">
        <v>16560</v>
      </c>
      <c r="G767" s="2" t="s">
        <v>11</v>
      </c>
      <c r="H767" s="2" t="s">
        <v>1112</v>
      </c>
      <c r="I767" s="2" t="s">
        <v>1121</v>
      </c>
    </row>
    <row r="768" spans="1:9" ht="16" x14ac:dyDescent="0.8">
      <c r="A768" s="2" t="s">
        <v>1122</v>
      </c>
      <c r="B768" s="2" t="s">
        <v>1123</v>
      </c>
      <c r="C768" s="2" t="s">
        <v>1124</v>
      </c>
      <c r="D768" s="2" t="s">
        <v>1124</v>
      </c>
      <c r="E768" s="3">
        <v>27804</v>
      </c>
      <c r="F768" s="3">
        <v>27804</v>
      </c>
      <c r="G768" s="2" t="s">
        <v>11</v>
      </c>
      <c r="H768" s="2" t="s">
        <v>1112</v>
      </c>
      <c r="I768" s="2" t="s">
        <v>1125</v>
      </c>
    </row>
    <row r="769" spans="1:9" ht="16" x14ac:dyDescent="0.8">
      <c r="A769" s="2" t="s">
        <v>1122</v>
      </c>
      <c r="B769" s="2" t="s">
        <v>1126</v>
      </c>
      <c r="C769" s="2" t="s">
        <v>1127</v>
      </c>
      <c r="D769" s="2" t="s">
        <v>1127</v>
      </c>
      <c r="E769" s="3">
        <v>32088</v>
      </c>
      <c r="F769" s="3">
        <v>32088</v>
      </c>
      <c r="G769" s="2" t="s">
        <v>11</v>
      </c>
      <c r="H769" s="2" t="s">
        <v>1112</v>
      </c>
      <c r="I769" s="2" t="s">
        <v>1125</v>
      </c>
    </row>
    <row r="770" spans="1:9" ht="16" x14ac:dyDescent="0.8">
      <c r="A770" s="2" t="s">
        <v>1128</v>
      </c>
      <c r="B770" s="2" t="s">
        <v>1119</v>
      </c>
      <c r="C770" s="2" t="s">
        <v>1120</v>
      </c>
      <c r="D770" s="2" t="s">
        <v>1120</v>
      </c>
      <c r="E770" s="3">
        <v>38436</v>
      </c>
      <c r="F770" s="3">
        <v>38436</v>
      </c>
      <c r="G770" s="2" t="s">
        <v>11</v>
      </c>
      <c r="H770" s="2" t="s">
        <v>1112</v>
      </c>
      <c r="I770" s="2" t="s">
        <v>1121</v>
      </c>
    </row>
    <row r="771" spans="1:9" ht="16" x14ac:dyDescent="0.8">
      <c r="A771" s="2" t="s">
        <v>1129</v>
      </c>
      <c r="B771" s="2" t="s">
        <v>1123</v>
      </c>
      <c r="C771" s="2" t="s">
        <v>1124</v>
      </c>
      <c r="D771" s="2" t="s">
        <v>1124</v>
      </c>
      <c r="E771" s="3">
        <v>28224</v>
      </c>
      <c r="F771" s="3">
        <v>28224</v>
      </c>
      <c r="G771" s="2" t="s">
        <v>11</v>
      </c>
      <c r="H771" s="2" t="s">
        <v>1112</v>
      </c>
      <c r="I771" s="2" t="s">
        <v>1125</v>
      </c>
    </row>
    <row r="772" spans="1:9" ht="16" x14ac:dyDescent="0.8">
      <c r="A772" s="2" t="s">
        <v>1129</v>
      </c>
      <c r="B772" s="2" t="s">
        <v>1126</v>
      </c>
      <c r="C772" s="2" t="s">
        <v>1127</v>
      </c>
      <c r="D772" s="2" t="s">
        <v>1127</v>
      </c>
      <c r="E772" s="3">
        <v>32088</v>
      </c>
      <c r="F772" s="3">
        <v>32088</v>
      </c>
      <c r="G772" s="2" t="s">
        <v>11</v>
      </c>
      <c r="H772" s="2" t="s">
        <v>1112</v>
      </c>
      <c r="I772" s="2" t="s">
        <v>1125</v>
      </c>
    </row>
    <row r="773" spans="1:9" ht="16" x14ac:dyDescent="0.8">
      <c r="A773" s="2" t="s">
        <v>1130</v>
      </c>
      <c r="B773" s="2" t="s">
        <v>18</v>
      </c>
      <c r="C773" s="2" t="s">
        <v>19</v>
      </c>
      <c r="D773" s="2" t="s">
        <v>19</v>
      </c>
      <c r="E773" s="3">
        <v>17840</v>
      </c>
      <c r="F773" s="3">
        <v>17840</v>
      </c>
      <c r="G773" s="2" t="s">
        <v>11</v>
      </c>
      <c r="H773" s="2" t="s">
        <v>1131</v>
      </c>
      <c r="I773" s="2" t="s">
        <v>256</v>
      </c>
    </row>
    <row r="774" spans="1:9" ht="16" x14ac:dyDescent="0.8">
      <c r="A774" s="2" t="s">
        <v>1135</v>
      </c>
      <c r="B774" s="2" t="s">
        <v>1136</v>
      </c>
      <c r="C774" s="2" t="s">
        <v>1137</v>
      </c>
      <c r="D774" s="2" t="s">
        <v>1137</v>
      </c>
      <c r="E774" s="3">
        <v>10000</v>
      </c>
      <c r="F774" s="3">
        <v>10000</v>
      </c>
      <c r="G774" s="2" t="s">
        <v>11</v>
      </c>
      <c r="H774" s="2" t="s">
        <v>1086</v>
      </c>
      <c r="I774" s="2" t="s">
        <v>208</v>
      </c>
    </row>
    <row r="775" spans="1:9" ht="16" x14ac:dyDescent="0.8">
      <c r="A775" s="2" t="s">
        <v>1135</v>
      </c>
      <c r="B775" s="2" t="s">
        <v>1138</v>
      </c>
      <c r="C775" s="2" t="s">
        <v>218</v>
      </c>
      <c r="D775" s="2" t="s">
        <v>218</v>
      </c>
      <c r="E775" s="3">
        <v>13000</v>
      </c>
      <c r="F775" s="3">
        <v>13000</v>
      </c>
      <c r="G775" s="2" t="s">
        <v>11</v>
      </c>
      <c r="H775" s="2" t="s">
        <v>1086</v>
      </c>
      <c r="I775" s="2" t="s">
        <v>208</v>
      </c>
    </row>
    <row r="776" spans="1:9" ht="16" x14ac:dyDescent="0.8">
      <c r="A776" s="2" t="s">
        <v>1139</v>
      </c>
      <c r="B776" s="2" t="s">
        <v>1140</v>
      </c>
      <c r="C776" s="2" t="s">
        <v>1141</v>
      </c>
      <c r="D776" s="2" t="s">
        <v>1141</v>
      </c>
      <c r="E776" s="3">
        <v>3600</v>
      </c>
      <c r="F776" s="3">
        <v>3600</v>
      </c>
      <c r="G776" s="2" t="s">
        <v>11</v>
      </c>
      <c r="H776" s="2" t="s">
        <v>1086</v>
      </c>
      <c r="I776" s="2" t="s">
        <v>437</v>
      </c>
    </row>
    <row r="777" spans="1:9" ht="16" x14ac:dyDescent="0.8">
      <c r="A777" s="2" t="s">
        <v>1142</v>
      </c>
      <c r="B777" s="2" t="s">
        <v>1143</v>
      </c>
      <c r="C777" s="2" t="s">
        <v>199</v>
      </c>
      <c r="D777" s="2" t="s">
        <v>199</v>
      </c>
      <c r="E777" s="3">
        <v>23004</v>
      </c>
      <c r="F777" s="3">
        <v>23004</v>
      </c>
      <c r="G777" s="2" t="s">
        <v>11</v>
      </c>
      <c r="H777" s="2" t="s">
        <v>1086</v>
      </c>
      <c r="I777" s="2" t="s">
        <v>201</v>
      </c>
    </row>
    <row r="778" spans="1:9" ht="16" x14ac:dyDescent="0.8">
      <c r="A778" s="2" t="s">
        <v>1144</v>
      </c>
      <c r="B778" s="2" t="s">
        <v>1119</v>
      </c>
      <c r="C778" s="2" t="s">
        <v>1120</v>
      </c>
      <c r="D778" s="2" t="s">
        <v>1120</v>
      </c>
      <c r="E778" s="3">
        <v>38640</v>
      </c>
      <c r="F778" s="3">
        <v>38640</v>
      </c>
      <c r="G778" s="2" t="s">
        <v>11</v>
      </c>
      <c r="H778" s="2" t="s">
        <v>1145</v>
      </c>
      <c r="I778" s="2" t="s">
        <v>1121</v>
      </c>
    </row>
    <row r="779" spans="1:9" ht="16" x14ac:dyDescent="0.8">
      <c r="A779" s="2" t="s">
        <v>1146</v>
      </c>
      <c r="B779" s="2" t="s">
        <v>1119</v>
      </c>
      <c r="C779" s="2" t="s">
        <v>1120</v>
      </c>
      <c r="D779" s="2" t="s">
        <v>1120</v>
      </c>
      <c r="E779" s="3">
        <v>38640</v>
      </c>
      <c r="F779" s="3">
        <v>38640</v>
      </c>
      <c r="G779" s="2" t="s">
        <v>11</v>
      </c>
      <c r="H779" s="2" t="s">
        <v>1145</v>
      </c>
      <c r="I779" s="2" t="s">
        <v>1121</v>
      </c>
    </row>
    <row r="780" spans="1:9" ht="16" x14ac:dyDescent="0.8">
      <c r="A780" s="2" t="s">
        <v>1147</v>
      </c>
      <c r="B780" s="2" t="s">
        <v>1119</v>
      </c>
      <c r="C780" s="2" t="s">
        <v>1120</v>
      </c>
      <c r="D780" s="2" t="s">
        <v>1120</v>
      </c>
      <c r="E780" s="3">
        <v>38640</v>
      </c>
      <c r="F780" s="3">
        <v>38640</v>
      </c>
      <c r="G780" s="2" t="s">
        <v>11</v>
      </c>
      <c r="H780" s="2" t="s">
        <v>1145</v>
      </c>
      <c r="I780" s="2" t="s">
        <v>1121</v>
      </c>
    </row>
    <row r="781" spans="1:9" ht="16" x14ac:dyDescent="0.8">
      <c r="A781" s="2" t="s">
        <v>1148</v>
      </c>
      <c r="B781" s="2" t="s">
        <v>1119</v>
      </c>
      <c r="C781" s="2" t="s">
        <v>1120</v>
      </c>
      <c r="D781" s="2" t="s">
        <v>1120</v>
      </c>
      <c r="E781" s="3">
        <v>33120</v>
      </c>
      <c r="F781" s="3">
        <v>33120</v>
      </c>
      <c r="G781" s="2" t="s">
        <v>11</v>
      </c>
      <c r="H781" s="2" t="s">
        <v>1145</v>
      </c>
      <c r="I781" s="2" t="s">
        <v>1121</v>
      </c>
    </row>
    <row r="782" spans="1:9" ht="16" x14ac:dyDescent="0.8">
      <c r="A782" s="2" t="s">
        <v>1149</v>
      </c>
      <c r="B782" s="2" t="s">
        <v>1119</v>
      </c>
      <c r="C782" s="2" t="s">
        <v>1120</v>
      </c>
      <c r="D782" s="2" t="s">
        <v>1120</v>
      </c>
      <c r="E782" s="3">
        <v>33120</v>
      </c>
      <c r="F782" s="3">
        <v>33120</v>
      </c>
      <c r="G782" s="2" t="s">
        <v>11</v>
      </c>
      <c r="H782" s="2" t="s">
        <v>1145</v>
      </c>
      <c r="I782" s="2" t="s">
        <v>1121</v>
      </c>
    </row>
    <row r="783" spans="1:9" ht="16" x14ac:dyDescent="0.8">
      <c r="A783" s="2" t="s">
        <v>1150</v>
      </c>
      <c r="B783" s="2" t="s">
        <v>1119</v>
      </c>
      <c r="C783" s="2" t="s">
        <v>1120</v>
      </c>
      <c r="D783" s="2" t="s">
        <v>1120</v>
      </c>
      <c r="E783" s="3">
        <v>33120</v>
      </c>
      <c r="F783" s="3">
        <v>33120</v>
      </c>
      <c r="G783" s="2" t="s">
        <v>11</v>
      </c>
      <c r="H783" s="2" t="s">
        <v>1145</v>
      </c>
      <c r="I783" s="2" t="s">
        <v>1121</v>
      </c>
    </row>
    <row r="784" spans="1:9" ht="16" x14ac:dyDescent="0.8">
      <c r="A784" s="2" t="s">
        <v>1151</v>
      </c>
      <c r="B784" s="2" t="s">
        <v>1119</v>
      </c>
      <c r="C784" s="2" t="s">
        <v>1120</v>
      </c>
      <c r="D784" s="2" t="s">
        <v>1120</v>
      </c>
      <c r="E784" s="3">
        <v>38640</v>
      </c>
      <c r="F784" s="3">
        <v>38640</v>
      </c>
      <c r="G784" s="2" t="s">
        <v>11</v>
      </c>
      <c r="H784" s="2" t="s">
        <v>1145</v>
      </c>
      <c r="I784" s="2" t="s">
        <v>1121</v>
      </c>
    </row>
    <row r="785" spans="1:9" ht="16" x14ac:dyDescent="0.8">
      <c r="A785" s="2" t="s">
        <v>1152</v>
      </c>
      <c r="B785" s="2" t="s">
        <v>1119</v>
      </c>
      <c r="C785" s="2" t="s">
        <v>1120</v>
      </c>
      <c r="D785" s="2" t="s">
        <v>1120</v>
      </c>
      <c r="E785" s="3">
        <v>33120</v>
      </c>
      <c r="F785" s="3">
        <v>33120</v>
      </c>
      <c r="G785" s="2" t="s">
        <v>11</v>
      </c>
      <c r="H785" s="2" t="s">
        <v>1145</v>
      </c>
      <c r="I785" s="2" t="s">
        <v>1121</v>
      </c>
    </row>
    <row r="786" spans="1:9" ht="16" x14ac:dyDescent="0.8">
      <c r="A786" s="2" t="s">
        <v>1153</v>
      </c>
      <c r="B786" s="2" t="s">
        <v>1123</v>
      </c>
      <c r="C786" s="2" t="s">
        <v>1124</v>
      </c>
      <c r="D786" s="2" t="s">
        <v>1124</v>
      </c>
      <c r="E786" s="3">
        <v>30576</v>
      </c>
      <c r="F786" s="3">
        <v>30576</v>
      </c>
      <c r="G786" s="2" t="s">
        <v>11</v>
      </c>
      <c r="H786" s="2" t="s">
        <v>1145</v>
      </c>
      <c r="I786" s="2" t="s">
        <v>1125</v>
      </c>
    </row>
    <row r="787" spans="1:9" ht="16" x14ac:dyDescent="0.8">
      <c r="A787" s="2" t="s">
        <v>1153</v>
      </c>
      <c r="B787" s="2" t="s">
        <v>1126</v>
      </c>
      <c r="C787" s="2" t="s">
        <v>1127</v>
      </c>
      <c r="D787" s="2" t="s">
        <v>1127</v>
      </c>
      <c r="E787" s="3">
        <v>32088</v>
      </c>
      <c r="F787" s="3">
        <v>32088</v>
      </c>
      <c r="G787" s="2" t="s">
        <v>11</v>
      </c>
      <c r="H787" s="2" t="s">
        <v>1145</v>
      </c>
      <c r="I787" s="2" t="s">
        <v>1125</v>
      </c>
    </row>
    <row r="788" spans="1:9" ht="16" x14ac:dyDescent="0.8">
      <c r="A788" s="2" t="s">
        <v>1154</v>
      </c>
      <c r="B788" s="2" t="s">
        <v>1123</v>
      </c>
      <c r="C788" s="2" t="s">
        <v>1124</v>
      </c>
      <c r="D788" s="2" t="s">
        <v>1124</v>
      </c>
      <c r="E788" s="3">
        <v>30576</v>
      </c>
      <c r="F788" s="3">
        <v>30576</v>
      </c>
      <c r="G788" s="2" t="s">
        <v>11</v>
      </c>
      <c r="H788" s="2" t="s">
        <v>1145</v>
      </c>
      <c r="I788" s="2" t="s">
        <v>1125</v>
      </c>
    </row>
    <row r="789" spans="1:9" ht="16" x14ac:dyDescent="0.8">
      <c r="A789" s="2" t="s">
        <v>1154</v>
      </c>
      <c r="B789" s="2" t="s">
        <v>1126</v>
      </c>
      <c r="C789" s="2" t="s">
        <v>1127</v>
      </c>
      <c r="D789" s="2" t="s">
        <v>1127</v>
      </c>
      <c r="E789" s="3">
        <v>32088</v>
      </c>
      <c r="F789" s="3">
        <v>32088</v>
      </c>
      <c r="G789" s="2" t="s">
        <v>11</v>
      </c>
      <c r="H789" s="2" t="s">
        <v>1145</v>
      </c>
      <c r="I789" s="2" t="s">
        <v>1125</v>
      </c>
    </row>
    <row r="790" spans="1:9" ht="16" x14ac:dyDescent="0.8">
      <c r="A790" s="2" t="s">
        <v>1155</v>
      </c>
      <c r="B790" s="2" t="s">
        <v>1123</v>
      </c>
      <c r="C790" s="2" t="s">
        <v>1124</v>
      </c>
      <c r="D790" s="2" t="s">
        <v>1124</v>
      </c>
      <c r="E790" s="3">
        <v>26208</v>
      </c>
      <c r="F790" s="3">
        <v>26208</v>
      </c>
      <c r="G790" s="2" t="s">
        <v>11</v>
      </c>
      <c r="H790" s="2" t="s">
        <v>1145</v>
      </c>
      <c r="I790" s="2" t="s">
        <v>1125</v>
      </c>
    </row>
    <row r="791" spans="1:9" ht="16" x14ac:dyDescent="0.8">
      <c r="A791" s="2" t="s">
        <v>1155</v>
      </c>
      <c r="B791" s="2" t="s">
        <v>1126</v>
      </c>
      <c r="C791" s="2" t="s">
        <v>1127</v>
      </c>
      <c r="D791" s="2" t="s">
        <v>1127</v>
      </c>
      <c r="E791" s="3">
        <v>27504</v>
      </c>
      <c r="F791" s="3">
        <v>27504</v>
      </c>
      <c r="G791" s="2" t="s">
        <v>11</v>
      </c>
      <c r="H791" s="2" t="s">
        <v>1145</v>
      </c>
      <c r="I791" s="2" t="s">
        <v>1125</v>
      </c>
    </row>
    <row r="792" spans="1:9" ht="16" x14ac:dyDescent="0.8">
      <c r="A792" s="2" t="s">
        <v>1156</v>
      </c>
      <c r="B792" s="2" t="s">
        <v>1123</v>
      </c>
      <c r="C792" s="2" t="s">
        <v>1124</v>
      </c>
      <c r="D792" s="2" t="s">
        <v>1124</v>
      </c>
      <c r="E792" s="3">
        <v>22568</v>
      </c>
      <c r="F792" s="3">
        <v>22568</v>
      </c>
      <c r="G792" s="2" t="s">
        <v>11</v>
      </c>
      <c r="H792" s="2" t="s">
        <v>1145</v>
      </c>
      <c r="I792" s="2" t="s">
        <v>1125</v>
      </c>
    </row>
    <row r="793" spans="1:9" ht="16" x14ac:dyDescent="0.8">
      <c r="A793" s="2" t="s">
        <v>1156</v>
      </c>
      <c r="B793" s="2" t="s">
        <v>1126</v>
      </c>
      <c r="C793" s="2" t="s">
        <v>1127</v>
      </c>
      <c r="D793" s="2" t="s">
        <v>1127</v>
      </c>
      <c r="E793" s="3">
        <v>26880</v>
      </c>
      <c r="F793" s="3">
        <v>26880</v>
      </c>
      <c r="G793" s="2" t="s">
        <v>11</v>
      </c>
      <c r="H793" s="2" t="s">
        <v>1145</v>
      </c>
      <c r="I793" s="2" t="s">
        <v>1125</v>
      </c>
    </row>
    <row r="794" spans="1:9" ht="16" x14ac:dyDescent="0.8">
      <c r="A794" s="2" t="s">
        <v>1157</v>
      </c>
      <c r="B794" s="2" t="s">
        <v>1123</v>
      </c>
      <c r="C794" s="2" t="s">
        <v>1124</v>
      </c>
      <c r="D794" s="2" t="s">
        <v>1124</v>
      </c>
      <c r="E794" s="3">
        <v>24528</v>
      </c>
      <c r="F794" s="3">
        <v>24528</v>
      </c>
      <c r="G794" s="2" t="s">
        <v>11</v>
      </c>
      <c r="H794" s="2" t="s">
        <v>1145</v>
      </c>
      <c r="I794" s="2" t="s">
        <v>1125</v>
      </c>
    </row>
    <row r="795" spans="1:9" ht="16" x14ac:dyDescent="0.8">
      <c r="A795" s="2" t="s">
        <v>1157</v>
      </c>
      <c r="B795" s="2" t="s">
        <v>1126</v>
      </c>
      <c r="C795" s="2" t="s">
        <v>1127</v>
      </c>
      <c r="D795" s="2" t="s">
        <v>1127</v>
      </c>
      <c r="E795" s="3">
        <v>26880</v>
      </c>
      <c r="F795" s="3">
        <v>26880</v>
      </c>
      <c r="G795" s="2" t="s">
        <v>11</v>
      </c>
      <c r="H795" s="2" t="s">
        <v>1145</v>
      </c>
      <c r="I795" s="2" t="s">
        <v>1125</v>
      </c>
    </row>
    <row r="796" spans="1:9" ht="16" x14ac:dyDescent="0.8">
      <c r="A796" s="2" t="s">
        <v>1158</v>
      </c>
      <c r="B796" s="2" t="s">
        <v>1123</v>
      </c>
      <c r="C796" s="2" t="s">
        <v>1124</v>
      </c>
      <c r="D796" s="2" t="s">
        <v>1124</v>
      </c>
      <c r="E796" s="3">
        <v>24528</v>
      </c>
      <c r="F796" s="3">
        <v>24528</v>
      </c>
      <c r="G796" s="2" t="s">
        <v>11</v>
      </c>
      <c r="H796" s="2" t="s">
        <v>1145</v>
      </c>
      <c r="I796" s="2" t="s">
        <v>1125</v>
      </c>
    </row>
    <row r="797" spans="1:9" ht="16" x14ac:dyDescent="0.8">
      <c r="A797" s="2" t="s">
        <v>1158</v>
      </c>
      <c r="B797" s="2" t="s">
        <v>1126</v>
      </c>
      <c r="C797" s="2" t="s">
        <v>1127</v>
      </c>
      <c r="D797" s="2" t="s">
        <v>1127</v>
      </c>
      <c r="E797" s="3">
        <v>26880</v>
      </c>
      <c r="F797" s="3">
        <v>26880</v>
      </c>
      <c r="G797" s="2" t="s">
        <v>11</v>
      </c>
      <c r="H797" s="2" t="s">
        <v>1145</v>
      </c>
      <c r="I797" s="2" t="s">
        <v>1125</v>
      </c>
    </row>
    <row r="798" spans="1:9" ht="16" x14ac:dyDescent="0.8">
      <c r="A798" s="2" t="s">
        <v>1159</v>
      </c>
      <c r="B798" s="2" t="s">
        <v>1123</v>
      </c>
      <c r="C798" s="2" t="s">
        <v>1124</v>
      </c>
      <c r="D798" s="2" t="s">
        <v>1124</v>
      </c>
      <c r="E798" s="3">
        <v>24528</v>
      </c>
      <c r="F798" s="3">
        <v>24528</v>
      </c>
      <c r="G798" s="2" t="s">
        <v>11</v>
      </c>
      <c r="H798" s="2" t="s">
        <v>1145</v>
      </c>
      <c r="I798" s="2" t="s">
        <v>1125</v>
      </c>
    </row>
    <row r="799" spans="1:9" ht="16" x14ac:dyDescent="0.8">
      <c r="A799" s="2" t="s">
        <v>1159</v>
      </c>
      <c r="B799" s="2" t="s">
        <v>1126</v>
      </c>
      <c r="C799" s="2" t="s">
        <v>1127</v>
      </c>
      <c r="D799" s="2" t="s">
        <v>1127</v>
      </c>
      <c r="E799" s="3">
        <v>26880</v>
      </c>
      <c r="F799" s="3">
        <v>26880</v>
      </c>
      <c r="G799" s="2" t="s">
        <v>11</v>
      </c>
      <c r="H799" s="2" t="s">
        <v>1145</v>
      </c>
      <c r="I799" s="2" t="s">
        <v>1125</v>
      </c>
    </row>
    <row r="800" spans="1:9" ht="16" x14ac:dyDescent="0.8">
      <c r="A800" s="2" t="s">
        <v>1160</v>
      </c>
      <c r="B800" s="2" t="s">
        <v>1123</v>
      </c>
      <c r="C800" s="2" t="s">
        <v>1124</v>
      </c>
      <c r="D800" s="2" t="s">
        <v>1124</v>
      </c>
      <c r="E800" s="3">
        <v>25536</v>
      </c>
      <c r="F800" s="3">
        <v>25536</v>
      </c>
      <c r="G800" s="2" t="s">
        <v>11</v>
      </c>
      <c r="H800" s="2" t="s">
        <v>1145</v>
      </c>
      <c r="I800" s="2" t="s">
        <v>1125</v>
      </c>
    </row>
    <row r="801" spans="1:9" ht="16" x14ac:dyDescent="0.8">
      <c r="A801" s="2" t="s">
        <v>1160</v>
      </c>
      <c r="B801" s="2" t="s">
        <v>1126</v>
      </c>
      <c r="C801" s="2" t="s">
        <v>1127</v>
      </c>
      <c r="D801" s="2" t="s">
        <v>1127</v>
      </c>
      <c r="E801" s="3">
        <v>30720</v>
      </c>
      <c r="F801" s="3">
        <v>30720</v>
      </c>
      <c r="G801" s="2" t="s">
        <v>11</v>
      </c>
      <c r="H801" s="2" t="s">
        <v>1145</v>
      </c>
      <c r="I801" s="2" t="s">
        <v>1125</v>
      </c>
    </row>
    <row r="802" spans="1:9" ht="16" x14ac:dyDescent="0.8">
      <c r="A802" s="2" t="s">
        <v>1161</v>
      </c>
      <c r="B802" s="2" t="s">
        <v>180</v>
      </c>
      <c r="C802" s="2" t="s">
        <v>181</v>
      </c>
      <c r="D802" s="2" t="s">
        <v>181</v>
      </c>
      <c r="E802" s="3">
        <v>1000</v>
      </c>
      <c r="F802" s="3">
        <v>1000</v>
      </c>
      <c r="G802" s="2" t="s">
        <v>11</v>
      </c>
      <c r="H802" s="2" t="s">
        <v>1162</v>
      </c>
      <c r="I802" s="2" t="s">
        <v>168</v>
      </c>
    </row>
    <row r="803" spans="1:9" ht="16" x14ac:dyDescent="0.8">
      <c r="A803" s="2" t="s">
        <v>1161</v>
      </c>
      <c r="B803" s="2" t="s">
        <v>169</v>
      </c>
      <c r="C803" s="2" t="s">
        <v>170</v>
      </c>
      <c r="D803" s="2" t="s">
        <v>170</v>
      </c>
      <c r="E803" s="3">
        <v>4000</v>
      </c>
      <c r="F803" s="3">
        <v>4000</v>
      </c>
      <c r="G803" s="2" t="s">
        <v>11</v>
      </c>
      <c r="H803" s="2" t="s">
        <v>1162</v>
      </c>
      <c r="I803" s="2" t="s">
        <v>168</v>
      </c>
    </row>
    <row r="804" spans="1:9" ht="16" x14ac:dyDescent="0.8">
      <c r="A804" s="2" t="s">
        <v>1161</v>
      </c>
      <c r="B804" s="2" t="s">
        <v>165</v>
      </c>
      <c r="C804" s="2" t="s">
        <v>166</v>
      </c>
      <c r="D804" s="2" t="s">
        <v>166</v>
      </c>
      <c r="E804" s="3">
        <v>15000</v>
      </c>
      <c r="F804" s="3">
        <v>15000</v>
      </c>
      <c r="G804" s="2" t="s">
        <v>11</v>
      </c>
      <c r="H804" s="2" t="s">
        <v>1162</v>
      </c>
      <c r="I804" s="2" t="s">
        <v>168</v>
      </c>
    </row>
    <row r="805" spans="1:9" ht="16" x14ac:dyDescent="0.8">
      <c r="A805" s="2" t="s">
        <v>1164</v>
      </c>
      <c r="B805" s="2" t="s">
        <v>734</v>
      </c>
      <c r="C805" s="2" t="s">
        <v>735</v>
      </c>
      <c r="D805" s="2" t="s">
        <v>735</v>
      </c>
      <c r="E805" s="3">
        <v>1100</v>
      </c>
      <c r="F805" s="3">
        <v>1100</v>
      </c>
      <c r="G805" s="2" t="s">
        <v>11</v>
      </c>
      <c r="H805" s="2" t="s">
        <v>1163</v>
      </c>
      <c r="I805" s="2" t="s">
        <v>733</v>
      </c>
    </row>
    <row r="806" spans="1:9" ht="16" x14ac:dyDescent="0.8">
      <c r="A806" s="2" t="s">
        <v>1130</v>
      </c>
      <c r="B806" s="2" t="s">
        <v>1040</v>
      </c>
      <c r="C806" s="2" t="s">
        <v>1041</v>
      </c>
      <c r="D806" s="2" t="s">
        <v>1041</v>
      </c>
      <c r="E806" s="3">
        <v>11296</v>
      </c>
      <c r="F806" s="3">
        <v>11296</v>
      </c>
      <c r="G806" s="2" t="s">
        <v>11</v>
      </c>
      <c r="H806" s="2" t="s">
        <v>1131</v>
      </c>
      <c r="I806" s="2" t="s">
        <v>256</v>
      </c>
    </row>
    <row r="807" spans="1:9" ht="16" x14ac:dyDescent="0.8">
      <c r="A807" s="2" t="s">
        <v>1130</v>
      </c>
      <c r="B807" s="2" t="s">
        <v>15</v>
      </c>
      <c r="C807" s="2" t="s">
        <v>16</v>
      </c>
      <c r="D807" s="2" t="s">
        <v>16</v>
      </c>
      <c r="E807" s="3">
        <v>4468</v>
      </c>
      <c r="F807" s="3">
        <v>4468</v>
      </c>
      <c r="G807" s="2" t="s">
        <v>11</v>
      </c>
      <c r="H807" s="2" t="s">
        <v>1131</v>
      </c>
      <c r="I807" s="2" t="s">
        <v>256</v>
      </c>
    </row>
    <row r="808" spans="1:9" ht="16" x14ac:dyDescent="0.8">
      <c r="A808" s="2" t="s">
        <v>1165</v>
      </c>
      <c r="B808" s="2" t="s">
        <v>779</v>
      </c>
      <c r="C808" s="2" t="s">
        <v>780</v>
      </c>
      <c r="D808" s="2" t="s">
        <v>780</v>
      </c>
      <c r="E808" s="3">
        <v>60546</v>
      </c>
      <c r="F808" s="3">
        <v>60546</v>
      </c>
      <c r="G808" s="2" t="s">
        <v>11</v>
      </c>
      <c r="H808" s="2" t="s">
        <v>1166</v>
      </c>
      <c r="I808" s="2" t="s">
        <v>201</v>
      </c>
    </row>
    <row r="809" spans="1:9" ht="16" x14ac:dyDescent="0.8">
      <c r="A809" s="2" t="s">
        <v>1165</v>
      </c>
      <c r="B809" s="2" t="s">
        <v>291</v>
      </c>
      <c r="C809" s="2" t="s">
        <v>243</v>
      </c>
      <c r="D809" s="2" t="s">
        <v>243</v>
      </c>
      <c r="E809" s="3">
        <v>116304</v>
      </c>
      <c r="F809" s="3">
        <v>116304</v>
      </c>
      <c r="G809" s="2" t="s">
        <v>11</v>
      </c>
      <c r="H809" s="2" t="s">
        <v>1166</v>
      </c>
      <c r="I809" s="2" t="s">
        <v>201</v>
      </c>
    </row>
    <row r="810" spans="1:9" ht="16" x14ac:dyDescent="0.8">
      <c r="A810" s="2" t="s">
        <v>1165</v>
      </c>
      <c r="B810" s="2" t="s">
        <v>293</v>
      </c>
      <c r="C810" s="2" t="s">
        <v>244</v>
      </c>
      <c r="D810" s="2" t="s">
        <v>244</v>
      </c>
      <c r="E810" s="3">
        <v>59238</v>
      </c>
      <c r="F810" s="3">
        <v>59238</v>
      </c>
      <c r="G810" s="2" t="s">
        <v>11</v>
      </c>
      <c r="H810" s="2" t="s">
        <v>1166</v>
      </c>
      <c r="I810" s="2" t="s">
        <v>201</v>
      </c>
    </row>
    <row r="811" spans="1:9" ht="16" x14ac:dyDescent="0.8">
      <c r="A811" s="2" t="s">
        <v>1168</v>
      </c>
      <c r="B811" s="2" t="s">
        <v>160</v>
      </c>
      <c r="C811" s="2" t="s">
        <v>161</v>
      </c>
      <c r="D811" s="2" t="s">
        <v>161</v>
      </c>
      <c r="E811" s="3">
        <v>1</v>
      </c>
      <c r="F811" s="3">
        <v>0</v>
      </c>
      <c r="G811" s="2" t="s">
        <v>196</v>
      </c>
      <c r="H811" s="2" t="s">
        <v>1169</v>
      </c>
      <c r="I811" s="2" t="s">
        <v>133</v>
      </c>
    </row>
    <row r="812" spans="1:9" ht="16" x14ac:dyDescent="0.8">
      <c r="A812" s="2" t="s">
        <v>1171</v>
      </c>
      <c r="B812" s="2" t="s">
        <v>529</v>
      </c>
      <c r="C812" s="2" t="s">
        <v>530</v>
      </c>
      <c r="D812" s="2" t="s">
        <v>530</v>
      </c>
      <c r="E812" s="3">
        <v>12753216</v>
      </c>
      <c r="F812" s="3">
        <v>12753216</v>
      </c>
      <c r="G812" s="2" t="s">
        <v>11</v>
      </c>
      <c r="H812" s="2" t="s">
        <v>1169</v>
      </c>
      <c r="I812" s="2" t="s">
        <v>23</v>
      </c>
    </row>
    <row r="813" spans="1:9" ht="16" x14ac:dyDescent="0.8">
      <c r="A813" s="2" t="s">
        <v>1172</v>
      </c>
      <c r="B813" s="2" t="s">
        <v>1084</v>
      </c>
      <c r="C813" s="2" t="s">
        <v>1085</v>
      </c>
      <c r="D813" s="2" t="s">
        <v>1085</v>
      </c>
      <c r="E813" s="3">
        <v>10866</v>
      </c>
      <c r="F813" s="3">
        <v>2802</v>
      </c>
      <c r="G813" s="2" t="s">
        <v>11</v>
      </c>
      <c r="H813" s="2" t="s">
        <v>1170</v>
      </c>
      <c r="I813" s="2" t="s">
        <v>17</v>
      </c>
    </row>
    <row r="814" spans="1:9" ht="16" x14ac:dyDescent="0.8">
      <c r="A814" s="2" t="s">
        <v>1172</v>
      </c>
      <c r="B814" s="2" t="s">
        <v>1091</v>
      </c>
      <c r="C814" s="2" t="s">
        <v>1092</v>
      </c>
      <c r="D814" s="2" t="s">
        <v>1092</v>
      </c>
      <c r="E814" s="3">
        <v>8232</v>
      </c>
      <c r="F814" s="3">
        <v>8232</v>
      </c>
      <c r="G814" s="2" t="s">
        <v>11</v>
      </c>
      <c r="H814" s="2" t="s">
        <v>1170</v>
      </c>
      <c r="I814" s="2" t="s">
        <v>17</v>
      </c>
    </row>
    <row r="815" spans="1:9" ht="16" x14ac:dyDescent="0.8">
      <c r="A815" s="2" t="s">
        <v>1173</v>
      </c>
      <c r="B815" s="2" t="s">
        <v>1107</v>
      </c>
      <c r="C815" s="2" t="s">
        <v>1108</v>
      </c>
      <c r="D815" s="2" t="s">
        <v>1108</v>
      </c>
      <c r="E815" s="3">
        <v>4800</v>
      </c>
      <c r="F815" s="3">
        <v>4800</v>
      </c>
      <c r="G815" s="2" t="s">
        <v>11</v>
      </c>
      <c r="H815" s="2" t="s">
        <v>1170</v>
      </c>
      <c r="I815" s="2" t="s">
        <v>201</v>
      </c>
    </row>
    <row r="816" spans="1:9" ht="16" x14ac:dyDescent="0.8">
      <c r="A816" s="2" t="s">
        <v>1173</v>
      </c>
      <c r="B816" s="2" t="s">
        <v>1105</v>
      </c>
      <c r="C816" s="2" t="s">
        <v>1106</v>
      </c>
      <c r="D816" s="2" t="s">
        <v>1106</v>
      </c>
      <c r="E816" s="3">
        <v>4800</v>
      </c>
      <c r="F816" s="3">
        <v>4800</v>
      </c>
      <c r="G816" s="2" t="s">
        <v>11</v>
      </c>
      <c r="H816" s="2" t="s">
        <v>1170</v>
      </c>
      <c r="I816" s="2" t="s">
        <v>201</v>
      </c>
    </row>
    <row r="817" spans="1:9" ht="16" x14ac:dyDescent="0.8">
      <c r="A817" s="2" t="s">
        <v>1174</v>
      </c>
      <c r="B817" s="2" t="s">
        <v>485</v>
      </c>
      <c r="C817" s="2" t="s">
        <v>486</v>
      </c>
      <c r="D817" s="2" t="s">
        <v>486</v>
      </c>
      <c r="E817" s="3">
        <v>972</v>
      </c>
      <c r="F817" s="3">
        <v>972</v>
      </c>
      <c r="G817" s="2" t="s">
        <v>11</v>
      </c>
      <c r="H817" s="2" t="s">
        <v>1170</v>
      </c>
      <c r="I817" s="2" t="s">
        <v>487</v>
      </c>
    </row>
    <row r="818" spans="1:9" ht="16" x14ac:dyDescent="0.8">
      <c r="A818" s="2" t="s">
        <v>1175</v>
      </c>
      <c r="B818" s="2" t="s">
        <v>1176</v>
      </c>
      <c r="C818" s="2" t="s">
        <v>1177</v>
      </c>
      <c r="D818" s="2" t="s">
        <v>1177</v>
      </c>
      <c r="E818" s="3">
        <v>4800</v>
      </c>
      <c r="F818" s="3">
        <v>4800</v>
      </c>
      <c r="G818" s="2" t="s">
        <v>11</v>
      </c>
      <c r="H818" s="2" t="s">
        <v>1170</v>
      </c>
      <c r="I818" s="2" t="s">
        <v>297</v>
      </c>
    </row>
    <row r="819" spans="1:9" ht="16" x14ac:dyDescent="0.8">
      <c r="A819" s="2" t="s">
        <v>1178</v>
      </c>
      <c r="B819" s="2" t="s">
        <v>1040</v>
      </c>
      <c r="C819" s="2" t="s">
        <v>1041</v>
      </c>
      <c r="D819" s="2" t="s">
        <v>1041</v>
      </c>
      <c r="E819" s="3">
        <v>30000</v>
      </c>
      <c r="F819" s="3">
        <v>30000</v>
      </c>
      <c r="G819" s="2" t="s">
        <v>11</v>
      </c>
      <c r="H819" s="2" t="s">
        <v>1167</v>
      </c>
      <c r="I819" s="2" t="s">
        <v>17</v>
      </c>
    </row>
    <row r="820" spans="1:9" ht="16" x14ac:dyDescent="0.8">
      <c r="A820" s="2" t="s">
        <v>1179</v>
      </c>
      <c r="B820" s="2" t="s">
        <v>1052</v>
      </c>
      <c r="C820" s="2" t="s">
        <v>1053</v>
      </c>
      <c r="D820" s="2" t="s">
        <v>1053</v>
      </c>
      <c r="E820" s="3">
        <v>12960</v>
      </c>
      <c r="F820" s="3">
        <v>12960</v>
      </c>
      <c r="G820" s="2" t="s">
        <v>11</v>
      </c>
      <c r="H820" s="2" t="s">
        <v>1180</v>
      </c>
      <c r="I820" s="2" t="s">
        <v>201</v>
      </c>
    </row>
    <row r="821" spans="1:9" ht="16" x14ac:dyDescent="0.8">
      <c r="A821" s="2" t="s">
        <v>1179</v>
      </c>
      <c r="B821" s="2" t="s">
        <v>1054</v>
      </c>
      <c r="C821" s="2" t="s">
        <v>1055</v>
      </c>
      <c r="D821" s="2" t="s">
        <v>1055</v>
      </c>
      <c r="E821" s="3">
        <v>15840</v>
      </c>
      <c r="F821" s="3">
        <v>15840</v>
      </c>
      <c r="G821" s="2" t="s">
        <v>11</v>
      </c>
      <c r="H821" s="2" t="s">
        <v>1180</v>
      </c>
      <c r="I821" s="2" t="s">
        <v>201</v>
      </c>
    </row>
    <row r="822" spans="1:9" ht="16" x14ac:dyDescent="0.8">
      <c r="A822" s="2" t="s">
        <v>1179</v>
      </c>
      <c r="B822" s="2" t="s">
        <v>1056</v>
      </c>
      <c r="C822" s="2" t="s">
        <v>1057</v>
      </c>
      <c r="D822" s="2" t="s">
        <v>1057</v>
      </c>
      <c r="E822" s="3">
        <v>1600</v>
      </c>
      <c r="F822" s="3">
        <v>1600</v>
      </c>
      <c r="G822" s="2" t="s">
        <v>11</v>
      </c>
      <c r="H822" s="2" t="s">
        <v>1180</v>
      </c>
      <c r="I822" s="2" t="s">
        <v>201</v>
      </c>
    </row>
    <row r="823" spans="1:9" ht="16" x14ac:dyDescent="0.8">
      <c r="A823" s="2" t="s">
        <v>1179</v>
      </c>
      <c r="B823" s="2" t="s">
        <v>1058</v>
      </c>
      <c r="C823" s="2" t="s">
        <v>1059</v>
      </c>
      <c r="D823" s="2" t="s">
        <v>1059</v>
      </c>
      <c r="E823" s="3">
        <v>5040</v>
      </c>
      <c r="F823" s="3">
        <v>5040</v>
      </c>
      <c r="G823" s="2" t="s">
        <v>11</v>
      </c>
      <c r="H823" s="2" t="s">
        <v>1180</v>
      </c>
      <c r="I823" s="2" t="s">
        <v>201</v>
      </c>
    </row>
    <row r="824" spans="1:9" ht="16" x14ac:dyDescent="0.8">
      <c r="A824" s="2" t="s">
        <v>1179</v>
      </c>
      <c r="B824" s="2" t="s">
        <v>1062</v>
      </c>
      <c r="C824" s="2" t="s">
        <v>1063</v>
      </c>
      <c r="D824" s="2" t="s">
        <v>1063</v>
      </c>
      <c r="E824" s="3">
        <v>4320</v>
      </c>
      <c r="F824" s="3">
        <v>4320</v>
      </c>
      <c r="G824" s="2" t="s">
        <v>11</v>
      </c>
      <c r="H824" s="2" t="s">
        <v>1180</v>
      </c>
      <c r="I824" s="2" t="s">
        <v>201</v>
      </c>
    </row>
    <row r="825" spans="1:9" ht="16" x14ac:dyDescent="0.8">
      <c r="A825" s="2" t="s">
        <v>1179</v>
      </c>
      <c r="B825" s="2" t="s">
        <v>1064</v>
      </c>
      <c r="C825" s="2" t="s">
        <v>1065</v>
      </c>
      <c r="D825" s="2" t="s">
        <v>1065</v>
      </c>
      <c r="E825" s="3">
        <v>13200</v>
      </c>
      <c r="F825" s="3">
        <v>13200</v>
      </c>
      <c r="G825" s="2" t="s">
        <v>11</v>
      </c>
      <c r="H825" s="2" t="s">
        <v>1180</v>
      </c>
      <c r="I825" s="2" t="s">
        <v>201</v>
      </c>
    </row>
    <row r="826" spans="1:9" ht="16" x14ac:dyDescent="0.8">
      <c r="A826" s="2" t="s">
        <v>1181</v>
      </c>
      <c r="B826" s="2" t="s">
        <v>1070</v>
      </c>
      <c r="C826" s="2" t="s">
        <v>1071</v>
      </c>
      <c r="D826" s="2" t="s">
        <v>1071</v>
      </c>
      <c r="E826" s="3">
        <v>3200</v>
      </c>
      <c r="F826" s="3">
        <v>3200</v>
      </c>
      <c r="G826" s="2" t="s">
        <v>11</v>
      </c>
      <c r="H826" s="2" t="s">
        <v>1167</v>
      </c>
      <c r="I826" s="2" t="s">
        <v>437</v>
      </c>
    </row>
    <row r="827" spans="1:9" ht="16" x14ac:dyDescent="0.8">
      <c r="A827" s="2" t="s">
        <v>1182</v>
      </c>
      <c r="B827" s="2" t="s">
        <v>276</v>
      </c>
      <c r="C827" s="2" t="s">
        <v>277</v>
      </c>
      <c r="D827" s="2" t="s">
        <v>277</v>
      </c>
      <c r="E827" s="3">
        <v>4800</v>
      </c>
      <c r="F827" s="3">
        <v>4800</v>
      </c>
      <c r="G827" s="2" t="s">
        <v>11</v>
      </c>
      <c r="H827" s="2" t="s">
        <v>1183</v>
      </c>
      <c r="I827" s="2" t="s">
        <v>279</v>
      </c>
    </row>
    <row r="828" spans="1:9" ht="16" x14ac:dyDescent="0.8">
      <c r="A828" s="2" t="s">
        <v>1182</v>
      </c>
      <c r="B828" s="2" t="s">
        <v>341</v>
      </c>
      <c r="C828" s="2" t="s">
        <v>342</v>
      </c>
      <c r="D828" s="2" t="s">
        <v>342</v>
      </c>
      <c r="E828" s="3">
        <v>15120</v>
      </c>
      <c r="F828" s="3">
        <v>15084</v>
      </c>
      <c r="G828" s="2" t="s">
        <v>11</v>
      </c>
      <c r="H828" s="2" t="s">
        <v>1183</v>
      </c>
      <c r="I828" s="2" t="s">
        <v>279</v>
      </c>
    </row>
    <row r="829" spans="1:9" ht="16" x14ac:dyDescent="0.8">
      <c r="A829" s="2" t="s">
        <v>1188</v>
      </c>
      <c r="B829" s="2" t="s">
        <v>1185</v>
      </c>
      <c r="C829" s="2" t="s">
        <v>1186</v>
      </c>
      <c r="D829" s="2" t="s">
        <v>1186</v>
      </c>
      <c r="E829" s="3">
        <v>2544</v>
      </c>
      <c r="F829" s="3">
        <v>2544</v>
      </c>
      <c r="G829" s="2" t="s">
        <v>11</v>
      </c>
      <c r="H829" s="2" t="s">
        <v>1187</v>
      </c>
      <c r="I829" s="2" t="s">
        <v>168</v>
      </c>
    </row>
    <row r="830" spans="1:9" ht="16" x14ac:dyDescent="0.8">
      <c r="A830" s="2" t="s">
        <v>1188</v>
      </c>
      <c r="B830" s="2" t="s">
        <v>173</v>
      </c>
      <c r="C830" s="2" t="s">
        <v>174</v>
      </c>
      <c r="D830" s="2" t="s">
        <v>174</v>
      </c>
      <c r="E830" s="3">
        <v>3668</v>
      </c>
      <c r="F830" s="3">
        <v>3668</v>
      </c>
      <c r="G830" s="2" t="s">
        <v>11</v>
      </c>
      <c r="H830" s="2" t="s">
        <v>1187</v>
      </c>
      <c r="I830" s="2" t="s">
        <v>168</v>
      </c>
    </row>
    <row r="831" spans="1:9" ht="16" x14ac:dyDescent="0.8">
      <c r="A831" s="2" t="s">
        <v>1188</v>
      </c>
      <c r="B831" s="2" t="s">
        <v>169</v>
      </c>
      <c r="C831" s="2" t="s">
        <v>170</v>
      </c>
      <c r="D831" s="2" t="s">
        <v>170</v>
      </c>
      <c r="E831" s="3">
        <v>2516</v>
      </c>
      <c r="F831" s="3">
        <v>2516</v>
      </c>
      <c r="G831" s="2" t="s">
        <v>11</v>
      </c>
      <c r="H831" s="2" t="s">
        <v>1187</v>
      </c>
      <c r="I831" s="2" t="s">
        <v>168</v>
      </c>
    </row>
    <row r="832" spans="1:9" ht="16" x14ac:dyDescent="0.8">
      <c r="A832" s="2" t="s">
        <v>1188</v>
      </c>
      <c r="B832" s="2" t="s">
        <v>165</v>
      </c>
      <c r="C832" s="2" t="s">
        <v>166</v>
      </c>
      <c r="D832" s="2" t="s">
        <v>166</v>
      </c>
      <c r="E832" s="3">
        <v>3108</v>
      </c>
      <c r="F832" s="3">
        <v>3108</v>
      </c>
      <c r="G832" s="2" t="s">
        <v>11</v>
      </c>
      <c r="H832" s="2" t="s">
        <v>1187</v>
      </c>
      <c r="I832" s="2" t="s">
        <v>168</v>
      </c>
    </row>
    <row r="833" spans="1:9" ht="16" x14ac:dyDescent="0.8">
      <c r="A833" s="2" t="s">
        <v>1188</v>
      </c>
      <c r="B833" s="2" t="s">
        <v>171</v>
      </c>
      <c r="C833" s="2" t="s">
        <v>172</v>
      </c>
      <c r="D833" s="2" t="s">
        <v>172</v>
      </c>
      <c r="E833" s="3">
        <v>2668</v>
      </c>
      <c r="F833" s="3">
        <v>2668</v>
      </c>
      <c r="G833" s="2" t="s">
        <v>11</v>
      </c>
      <c r="H833" s="2" t="s">
        <v>1187</v>
      </c>
      <c r="I833" s="2" t="s">
        <v>168</v>
      </c>
    </row>
    <row r="834" spans="1:9" ht="16" x14ac:dyDescent="0.8">
      <c r="A834" s="2" t="s">
        <v>1188</v>
      </c>
      <c r="B834" s="2" t="s">
        <v>175</v>
      </c>
      <c r="C834" s="2" t="s">
        <v>176</v>
      </c>
      <c r="D834" s="2" t="s">
        <v>176</v>
      </c>
      <c r="E834" s="3">
        <v>5360</v>
      </c>
      <c r="F834" s="3">
        <v>5360</v>
      </c>
      <c r="G834" s="2" t="s">
        <v>11</v>
      </c>
      <c r="H834" s="2" t="s">
        <v>1187</v>
      </c>
      <c r="I834" s="2" t="s">
        <v>168</v>
      </c>
    </row>
    <row r="835" spans="1:9" ht="16" x14ac:dyDescent="0.8">
      <c r="A835" s="2" t="s">
        <v>1189</v>
      </c>
      <c r="B835" s="2" t="s">
        <v>1190</v>
      </c>
      <c r="C835" s="2" t="s">
        <v>1191</v>
      </c>
      <c r="D835" s="2" t="s">
        <v>1191</v>
      </c>
      <c r="E835" s="3">
        <v>50988000</v>
      </c>
      <c r="F835" s="3">
        <v>60549599</v>
      </c>
      <c r="G835" s="2" t="s">
        <v>11</v>
      </c>
      <c r="H835" s="2" t="s">
        <v>1187</v>
      </c>
      <c r="I835" s="2" t="s">
        <v>550</v>
      </c>
    </row>
    <row r="836" spans="1:9" ht="16" x14ac:dyDescent="0.8">
      <c r="A836" s="2" t="s">
        <v>1189</v>
      </c>
      <c r="B836" s="2" t="s">
        <v>1192</v>
      </c>
      <c r="C836" s="2" t="s">
        <v>1193</v>
      </c>
      <c r="D836" s="2" t="s">
        <v>1193</v>
      </c>
      <c r="E836" s="3">
        <v>5013600</v>
      </c>
      <c r="F836" s="3">
        <v>5013600</v>
      </c>
      <c r="G836" s="2" t="s">
        <v>11</v>
      </c>
      <c r="H836" s="2" t="s">
        <v>1187</v>
      </c>
      <c r="I836" s="2" t="s">
        <v>550</v>
      </c>
    </row>
    <row r="837" spans="1:9" ht="16" x14ac:dyDescent="0.8">
      <c r="A837" s="2" t="s">
        <v>1188</v>
      </c>
      <c r="B837" s="2" t="s">
        <v>177</v>
      </c>
      <c r="C837" s="2" t="s">
        <v>178</v>
      </c>
      <c r="D837" s="2" t="s">
        <v>178</v>
      </c>
      <c r="E837" s="3">
        <v>2544</v>
      </c>
      <c r="F837" s="3">
        <v>2544</v>
      </c>
      <c r="G837" s="2" t="s">
        <v>11</v>
      </c>
      <c r="H837" s="2" t="s">
        <v>1187</v>
      </c>
      <c r="I837" s="2" t="s">
        <v>168</v>
      </c>
    </row>
    <row r="838" spans="1:9" ht="16" x14ac:dyDescent="0.8">
      <c r="A838" s="2" t="s">
        <v>1194</v>
      </c>
      <c r="B838" s="2" t="s">
        <v>180</v>
      </c>
      <c r="C838" s="2" t="s">
        <v>181</v>
      </c>
      <c r="D838" s="2" t="s">
        <v>181</v>
      </c>
      <c r="E838" s="3">
        <v>3000</v>
      </c>
      <c r="F838" s="3">
        <v>3000</v>
      </c>
      <c r="G838" s="2" t="s">
        <v>11</v>
      </c>
      <c r="H838" s="2" t="s">
        <v>1187</v>
      </c>
      <c r="I838" s="2" t="s">
        <v>168</v>
      </c>
    </row>
    <row r="839" spans="1:9" ht="16" x14ac:dyDescent="0.8">
      <c r="A839" s="2" t="s">
        <v>1194</v>
      </c>
      <c r="B839" s="2" t="s">
        <v>169</v>
      </c>
      <c r="C839" s="2" t="s">
        <v>170</v>
      </c>
      <c r="D839" s="2" t="s">
        <v>170</v>
      </c>
      <c r="E839" s="3">
        <v>2000</v>
      </c>
      <c r="F839" s="3">
        <v>2000</v>
      </c>
      <c r="G839" s="2" t="s">
        <v>11</v>
      </c>
      <c r="H839" s="2" t="s">
        <v>1187</v>
      </c>
      <c r="I839" s="2" t="s">
        <v>168</v>
      </c>
    </row>
    <row r="840" spans="1:9" ht="16" x14ac:dyDescent="0.8">
      <c r="A840" s="2" t="s">
        <v>1194</v>
      </c>
      <c r="B840" s="2" t="s">
        <v>171</v>
      </c>
      <c r="C840" s="2" t="s">
        <v>172</v>
      </c>
      <c r="D840" s="2" t="s">
        <v>172</v>
      </c>
      <c r="E840" s="3">
        <v>1000</v>
      </c>
      <c r="F840" s="3">
        <v>1000</v>
      </c>
      <c r="G840" s="2" t="s">
        <v>11</v>
      </c>
      <c r="H840" s="2" t="s">
        <v>1187</v>
      </c>
      <c r="I840" s="2" t="s">
        <v>168</v>
      </c>
    </row>
    <row r="841" spans="1:9" ht="16" x14ac:dyDescent="0.8">
      <c r="A841" s="2" t="s">
        <v>1195</v>
      </c>
      <c r="B841" s="2" t="s">
        <v>628</v>
      </c>
      <c r="C841" s="2" t="s">
        <v>629</v>
      </c>
      <c r="D841" s="2" t="s">
        <v>629</v>
      </c>
      <c r="E841" s="3">
        <v>1</v>
      </c>
      <c r="F841" s="3">
        <v>0</v>
      </c>
      <c r="G841" s="2" t="s">
        <v>11</v>
      </c>
      <c r="H841" s="2" t="s">
        <v>1196</v>
      </c>
      <c r="I841" s="2" t="s">
        <v>663</v>
      </c>
    </row>
    <row r="842" spans="1:9" ht="16" x14ac:dyDescent="0.8">
      <c r="A842" s="2" t="s">
        <v>1195</v>
      </c>
      <c r="B842" s="2" t="s">
        <v>630</v>
      </c>
      <c r="C842" s="2" t="s">
        <v>631</v>
      </c>
      <c r="D842" s="2" t="s">
        <v>631</v>
      </c>
      <c r="E842" s="3">
        <v>1</v>
      </c>
      <c r="F842" s="3">
        <v>0</v>
      </c>
      <c r="G842" s="2" t="s">
        <v>11</v>
      </c>
      <c r="H842" s="2" t="s">
        <v>1196</v>
      </c>
      <c r="I842" s="2" t="s">
        <v>663</v>
      </c>
    </row>
    <row r="843" spans="1:9" ht="16" x14ac:dyDescent="0.8">
      <c r="A843" s="2" t="s">
        <v>1195</v>
      </c>
      <c r="B843" s="2" t="s">
        <v>632</v>
      </c>
      <c r="C843" s="2" t="s">
        <v>633</v>
      </c>
      <c r="D843" s="2" t="s">
        <v>633</v>
      </c>
      <c r="E843" s="3">
        <v>1</v>
      </c>
      <c r="F843" s="3">
        <v>0</v>
      </c>
      <c r="G843" s="2" t="s">
        <v>11</v>
      </c>
      <c r="H843" s="2" t="s">
        <v>1196</v>
      </c>
      <c r="I843" s="2" t="s">
        <v>663</v>
      </c>
    </row>
    <row r="844" spans="1:9" ht="16" x14ac:dyDescent="0.8">
      <c r="A844" s="2" t="s">
        <v>1195</v>
      </c>
      <c r="B844" s="2" t="s">
        <v>634</v>
      </c>
      <c r="C844" s="2" t="s">
        <v>635</v>
      </c>
      <c r="D844" s="2" t="s">
        <v>635</v>
      </c>
      <c r="E844" s="3">
        <v>1</v>
      </c>
      <c r="F844" s="3">
        <v>0</v>
      </c>
      <c r="G844" s="2" t="s">
        <v>11</v>
      </c>
      <c r="H844" s="2" t="s">
        <v>1196</v>
      </c>
      <c r="I844" s="2" t="s">
        <v>663</v>
      </c>
    </row>
    <row r="845" spans="1:9" ht="16" x14ac:dyDescent="0.8">
      <c r="A845" s="2" t="s">
        <v>1195</v>
      </c>
      <c r="B845" s="2" t="s">
        <v>1197</v>
      </c>
      <c r="C845" s="2" t="s">
        <v>1198</v>
      </c>
      <c r="D845" s="2" t="s">
        <v>1198</v>
      </c>
      <c r="E845" s="3">
        <v>1</v>
      </c>
      <c r="F845" s="3">
        <v>0</v>
      </c>
      <c r="G845" s="2" t="s">
        <v>11</v>
      </c>
      <c r="H845" s="2" t="s">
        <v>1196</v>
      </c>
      <c r="I845" s="2" t="s">
        <v>663</v>
      </c>
    </row>
    <row r="846" spans="1:9" ht="16" x14ac:dyDescent="0.8">
      <c r="A846" s="2" t="s">
        <v>1195</v>
      </c>
      <c r="B846" s="2" t="s">
        <v>1199</v>
      </c>
      <c r="C846" s="2" t="s">
        <v>1200</v>
      </c>
      <c r="D846" s="2" t="s">
        <v>1200</v>
      </c>
      <c r="E846" s="3">
        <v>1</v>
      </c>
      <c r="F846" s="3">
        <v>0</v>
      </c>
      <c r="G846" s="2" t="s">
        <v>11</v>
      </c>
      <c r="H846" s="2" t="s">
        <v>1196</v>
      </c>
      <c r="I846" s="2" t="s">
        <v>663</v>
      </c>
    </row>
    <row r="847" spans="1:9" ht="16" x14ac:dyDescent="0.8">
      <c r="A847" s="2" t="s">
        <v>1195</v>
      </c>
      <c r="B847" s="2" t="s">
        <v>224</v>
      </c>
      <c r="C847" s="2" t="s">
        <v>225</v>
      </c>
      <c r="D847" s="2" t="s">
        <v>225</v>
      </c>
      <c r="E847" s="3">
        <v>1</v>
      </c>
      <c r="F847" s="3">
        <v>0</v>
      </c>
      <c r="G847" s="2" t="s">
        <v>11</v>
      </c>
      <c r="H847" s="2" t="s">
        <v>1196</v>
      </c>
      <c r="I847" s="2" t="s">
        <v>663</v>
      </c>
    </row>
    <row r="848" spans="1:9" ht="16" x14ac:dyDescent="0.8">
      <c r="A848" s="2" t="s">
        <v>1201</v>
      </c>
      <c r="B848" s="2" t="s">
        <v>1202</v>
      </c>
      <c r="C848" s="2" t="s">
        <v>1203</v>
      </c>
      <c r="D848" s="2" t="s">
        <v>1203</v>
      </c>
      <c r="E848" s="3">
        <v>1</v>
      </c>
      <c r="F848" s="3">
        <v>1</v>
      </c>
      <c r="G848" s="2" t="s">
        <v>196</v>
      </c>
      <c r="H848" s="2" t="s">
        <v>1196</v>
      </c>
      <c r="I848" s="2" t="s">
        <v>53</v>
      </c>
    </row>
    <row r="849" spans="1:9" ht="16" x14ac:dyDescent="0.8">
      <c r="A849" s="2" t="s">
        <v>1201</v>
      </c>
      <c r="B849" s="2" t="s">
        <v>1204</v>
      </c>
      <c r="C849" s="2" t="s">
        <v>1205</v>
      </c>
      <c r="D849" s="2" t="s">
        <v>1205</v>
      </c>
      <c r="E849" s="3">
        <v>1</v>
      </c>
      <c r="F849" s="3">
        <v>1</v>
      </c>
      <c r="G849" s="2" t="s">
        <v>196</v>
      </c>
      <c r="H849" s="2" t="s">
        <v>1196</v>
      </c>
      <c r="I849" s="2" t="s">
        <v>53</v>
      </c>
    </row>
    <row r="850" spans="1:9" ht="16" x14ac:dyDescent="0.8">
      <c r="A850" s="2" t="s">
        <v>1201</v>
      </c>
      <c r="B850" s="2" t="s">
        <v>1206</v>
      </c>
      <c r="C850" s="2" t="s">
        <v>1207</v>
      </c>
      <c r="D850" s="2" t="s">
        <v>1207</v>
      </c>
      <c r="E850" s="3">
        <v>4</v>
      </c>
      <c r="F850" s="3">
        <v>4</v>
      </c>
      <c r="G850" s="2" t="s">
        <v>196</v>
      </c>
      <c r="H850" s="2" t="s">
        <v>1196</v>
      </c>
      <c r="I850" s="2" t="s">
        <v>53</v>
      </c>
    </row>
    <row r="851" spans="1:9" ht="16" x14ac:dyDescent="0.8">
      <c r="A851" s="2" t="s">
        <v>1201</v>
      </c>
      <c r="B851" s="2" t="s">
        <v>1208</v>
      </c>
      <c r="C851" s="2" t="s">
        <v>1209</v>
      </c>
      <c r="D851" s="2" t="s">
        <v>1209</v>
      </c>
      <c r="E851" s="3">
        <v>2</v>
      </c>
      <c r="F851" s="3">
        <v>2</v>
      </c>
      <c r="G851" s="2" t="s">
        <v>196</v>
      </c>
      <c r="H851" s="2" t="s">
        <v>1196</v>
      </c>
      <c r="I851" s="2" t="s">
        <v>53</v>
      </c>
    </row>
    <row r="852" spans="1:9" ht="16" x14ac:dyDescent="0.8">
      <c r="A852" s="2" t="s">
        <v>1201</v>
      </c>
      <c r="B852" s="2" t="s">
        <v>1210</v>
      </c>
      <c r="C852" s="2" t="s">
        <v>1211</v>
      </c>
      <c r="D852" s="2" t="s">
        <v>1211</v>
      </c>
      <c r="E852" s="3">
        <v>11</v>
      </c>
      <c r="F852" s="3">
        <v>11</v>
      </c>
      <c r="G852" s="2" t="s">
        <v>196</v>
      </c>
      <c r="H852" s="2" t="s">
        <v>1196</v>
      </c>
      <c r="I852" s="2" t="s">
        <v>53</v>
      </c>
    </row>
    <row r="853" spans="1:9" ht="16" x14ac:dyDescent="0.8">
      <c r="A853" s="2" t="s">
        <v>1201</v>
      </c>
      <c r="B853" s="2" t="s">
        <v>1212</v>
      </c>
      <c r="C853" s="2" t="s">
        <v>1213</v>
      </c>
      <c r="D853" s="2" t="s">
        <v>1213</v>
      </c>
      <c r="E853" s="3">
        <v>1</v>
      </c>
      <c r="F853" s="3">
        <v>0</v>
      </c>
      <c r="G853" s="2" t="s">
        <v>196</v>
      </c>
      <c r="H853" s="2" t="s">
        <v>1196</v>
      </c>
      <c r="I853" s="2" t="s">
        <v>53</v>
      </c>
    </row>
    <row r="854" spans="1:9" ht="16" x14ac:dyDescent="0.8">
      <c r="A854" s="2" t="s">
        <v>1201</v>
      </c>
      <c r="B854" s="2" t="s">
        <v>1214</v>
      </c>
      <c r="C854" s="2" t="s">
        <v>1215</v>
      </c>
      <c r="D854" s="2" t="s">
        <v>1215</v>
      </c>
      <c r="E854" s="3">
        <v>1</v>
      </c>
      <c r="F854" s="3">
        <v>1</v>
      </c>
      <c r="G854" s="2" t="s">
        <v>196</v>
      </c>
      <c r="H854" s="2" t="s">
        <v>1196</v>
      </c>
      <c r="I854" s="2" t="s">
        <v>53</v>
      </c>
    </row>
    <row r="855" spans="1:9" ht="16" x14ac:dyDescent="0.8">
      <c r="A855" s="2" t="s">
        <v>1201</v>
      </c>
      <c r="B855" s="2" t="s">
        <v>1216</v>
      </c>
      <c r="C855" s="2" t="s">
        <v>1217</v>
      </c>
      <c r="D855" s="2" t="s">
        <v>1217</v>
      </c>
      <c r="E855" s="3">
        <v>7</v>
      </c>
      <c r="F855" s="3">
        <v>7</v>
      </c>
      <c r="G855" s="2" t="s">
        <v>196</v>
      </c>
      <c r="H855" s="2" t="s">
        <v>1196</v>
      </c>
      <c r="I855" s="2" t="s">
        <v>53</v>
      </c>
    </row>
    <row r="856" spans="1:9" ht="16" x14ac:dyDescent="0.8">
      <c r="A856" s="2" t="s">
        <v>1201</v>
      </c>
      <c r="B856" s="2" t="s">
        <v>1218</v>
      </c>
      <c r="C856" s="2" t="s">
        <v>1219</v>
      </c>
      <c r="D856" s="2" t="s">
        <v>1219</v>
      </c>
      <c r="E856" s="3">
        <v>1</v>
      </c>
      <c r="F856" s="3">
        <v>0</v>
      </c>
      <c r="G856" s="2" t="s">
        <v>196</v>
      </c>
      <c r="H856" s="2" t="s">
        <v>1196</v>
      </c>
      <c r="I856" s="2" t="s">
        <v>53</v>
      </c>
    </row>
    <row r="857" spans="1:9" ht="16" x14ac:dyDescent="0.8">
      <c r="A857" s="2" t="s">
        <v>1220</v>
      </c>
      <c r="B857" s="2" t="s">
        <v>632</v>
      </c>
      <c r="C857" s="2" t="s">
        <v>633</v>
      </c>
      <c r="D857" s="2" t="s">
        <v>633</v>
      </c>
      <c r="E857" s="3">
        <v>15702</v>
      </c>
      <c r="F857" s="3">
        <v>15702</v>
      </c>
      <c r="G857" s="2" t="s">
        <v>11</v>
      </c>
      <c r="H857" s="2" t="s">
        <v>1184</v>
      </c>
      <c r="I857" s="2" t="s">
        <v>663</v>
      </c>
    </row>
    <row r="858" spans="1:9" ht="16" x14ac:dyDescent="0.8">
      <c r="A858" s="2" t="s">
        <v>1221</v>
      </c>
      <c r="B858" s="2" t="s">
        <v>1222</v>
      </c>
      <c r="C858" s="2" t="s">
        <v>1223</v>
      </c>
      <c r="D858" s="2" t="s">
        <v>1223</v>
      </c>
      <c r="E858" s="3">
        <v>13</v>
      </c>
      <c r="F858" s="3">
        <v>0</v>
      </c>
      <c r="G858" s="2" t="s">
        <v>11</v>
      </c>
      <c r="H858" s="2" t="s">
        <v>1196</v>
      </c>
      <c r="I858" s="2" t="s">
        <v>1224</v>
      </c>
    </row>
    <row r="859" spans="1:9" ht="16" x14ac:dyDescent="0.8">
      <c r="A859" s="2" t="s">
        <v>1221</v>
      </c>
      <c r="B859" s="2" t="s">
        <v>1225</v>
      </c>
      <c r="C859" s="2" t="s">
        <v>1226</v>
      </c>
      <c r="D859" s="2" t="s">
        <v>1226</v>
      </c>
      <c r="E859" s="3">
        <v>4</v>
      </c>
      <c r="F859" s="3">
        <v>0</v>
      </c>
      <c r="G859" s="2" t="s">
        <v>11</v>
      </c>
      <c r="H859" s="2" t="s">
        <v>1196</v>
      </c>
      <c r="I859" s="2" t="s">
        <v>1224</v>
      </c>
    </row>
    <row r="860" spans="1:9" ht="16" x14ac:dyDescent="0.8">
      <c r="A860" s="2" t="s">
        <v>1221</v>
      </c>
      <c r="B860" s="2" t="s">
        <v>1227</v>
      </c>
      <c r="C860" s="2" t="s">
        <v>1228</v>
      </c>
      <c r="D860" s="2" t="s">
        <v>1228</v>
      </c>
      <c r="E860" s="3">
        <v>6</v>
      </c>
      <c r="F860" s="3">
        <v>0</v>
      </c>
      <c r="G860" s="2" t="s">
        <v>11</v>
      </c>
      <c r="H860" s="2" t="s">
        <v>1196</v>
      </c>
      <c r="I860" s="2" t="s">
        <v>1224</v>
      </c>
    </row>
    <row r="861" spans="1:9" ht="16" x14ac:dyDescent="0.8">
      <c r="A861" s="2" t="s">
        <v>1221</v>
      </c>
      <c r="B861" s="2" t="s">
        <v>1229</v>
      </c>
      <c r="C861" s="2" t="s">
        <v>1230</v>
      </c>
      <c r="D861" s="2" t="s">
        <v>1230</v>
      </c>
      <c r="E861" s="3">
        <v>1</v>
      </c>
      <c r="F861" s="3">
        <v>0</v>
      </c>
      <c r="G861" s="2" t="s">
        <v>11</v>
      </c>
      <c r="H861" s="2" t="s">
        <v>1196</v>
      </c>
      <c r="I861" s="2" t="s">
        <v>1224</v>
      </c>
    </row>
    <row r="862" spans="1:9" ht="16" x14ac:dyDescent="0.8">
      <c r="A862" s="2" t="s">
        <v>1231</v>
      </c>
      <c r="B862" s="2" t="s">
        <v>1232</v>
      </c>
      <c r="C862" s="2" t="s">
        <v>1233</v>
      </c>
      <c r="D862" s="2" t="s">
        <v>1233</v>
      </c>
      <c r="E862" s="3">
        <v>5</v>
      </c>
      <c r="F862" s="3">
        <v>5</v>
      </c>
      <c r="G862" s="2" t="s">
        <v>11</v>
      </c>
      <c r="H862" s="2" t="s">
        <v>1184</v>
      </c>
      <c r="I862" s="2" t="s">
        <v>1234</v>
      </c>
    </row>
    <row r="863" spans="1:9" ht="16" x14ac:dyDescent="0.8">
      <c r="A863" s="2" t="s">
        <v>1231</v>
      </c>
      <c r="B863" s="2" t="s">
        <v>1235</v>
      </c>
      <c r="C863" s="2" t="s">
        <v>1236</v>
      </c>
      <c r="D863" s="2" t="s">
        <v>1236</v>
      </c>
      <c r="E863" s="3">
        <v>1</v>
      </c>
      <c r="F863" s="3">
        <v>1</v>
      </c>
      <c r="G863" s="2" t="s">
        <v>11</v>
      </c>
      <c r="H863" s="2" t="s">
        <v>1184</v>
      </c>
      <c r="I863" s="2" t="s">
        <v>1234</v>
      </c>
    </row>
    <row r="864" spans="1:9" ht="16" x14ac:dyDescent="0.8">
      <c r="A864" s="2" t="s">
        <v>1237</v>
      </c>
      <c r="B864" s="2" t="s">
        <v>1238</v>
      </c>
      <c r="C864" s="2" t="s">
        <v>1239</v>
      </c>
      <c r="D864" s="2" t="s">
        <v>1239</v>
      </c>
      <c r="E864" s="3">
        <v>1</v>
      </c>
      <c r="F864" s="3">
        <v>1</v>
      </c>
      <c r="G864" s="2" t="s">
        <v>11</v>
      </c>
      <c r="H864" s="2" t="s">
        <v>1184</v>
      </c>
      <c r="I864" s="2" t="s">
        <v>1240</v>
      </c>
    </row>
    <row r="865" spans="1:9" ht="16" x14ac:dyDescent="0.8">
      <c r="A865" s="2" t="s">
        <v>1241</v>
      </c>
      <c r="B865" s="2" t="s">
        <v>1242</v>
      </c>
      <c r="C865" s="2" t="s">
        <v>161</v>
      </c>
      <c r="D865" s="2" t="s">
        <v>161</v>
      </c>
      <c r="E865" s="3">
        <v>1</v>
      </c>
      <c r="F865" s="3">
        <v>1</v>
      </c>
      <c r="G865" s="2" t="s">
        <v>11</v>
      </c>
      <c r="H865" s="2" t="s">
        <v>1184</v>
      </c>
      <c r="I865" s="2" t="s">
        <v>63</v>
      </c>
    </row>
    <row r="866" spans="1:9" ht="16" x14ac:dyDescent="0.8">
      <c r="A866" s="2" t="s">
        <v>1241</v>
      </c>
      <c r="B866" s="2" t="s">
        <v>1243</v>
      </c>
      <c r="C866" s="2" t="s">
        <v>1244</v>
      </c>
      <c r="D866" s="2" t="s">
        <v>1244</v>
      </c>
      <c r="E866" s="3">
        <v>1</v>
      </c>
      <c r="F866" s="3">
        <v>1</v>
      </c>
      <c r="G866" s="2" t="s">
        <v>11</v>
      </c>
      <c r="H866" s="2" t="s">
        <v>1184</v>
      </c>
      <c r="I866" s="2" t="s">
        <v>63</v>
      </c>
    </row>
    <row r="867" spans="1:9" ht="16" x14ac:dyDescent="0.8">
      <c r="A867" s="2" t="s">
        <v>1241</v>
      </c>
      <c r="B867" s="2" t="s">
        <v>1245</v>
      </c>
      <c r="C867" s="2" t="s">
        <v>1246</v>
      </c>
      <c r="D867" s="2" t="s">
        <v>1246</v>
      </c>
      <c r="E867" s="3">
        <v>1</v>
      </c>
      <c r="F867" s="3">
        <v>1</v>
      </c>
      <c r="G867" s="2" t="s">
        <v>11</v>
      </c>
      <c r="H867" s="2" t="s">
        <v>1184</v>
      </c>
      <c r="I867" s="2" t="s">
        <v>63</v>
      </c>
    </row>
    <row r="868" spans="1:9" ht="16" x14ac:dyDescent="0.8">
      <c r="A868" s="2" t="s">
        <v>1241</v>
      </c>
      <c r="B868" s="2" t="s">
        <v>1247</v>
      </c>
      <c r="C868" s="2" t="s">
        <v>1248</v>
      </c>
      <c r="D868" s="2" t="s">
        <v>1248</v>
      </c>
      <c r="E868" s="3">
        <v>1</v>
      </c>
      <c r="F868" s="3">
        <v>1</v>
      </c>
      <c r="G868" s="2" t="s">
        <v>11</v>
      </c>
      <c r="H868" s="2" t="s">
        <v>1184</v>
      </c>
      <c r="I868" s="2" t="s">
        <v>63</v>
      </c>
    </row>
    <row r="869" spans="1:9" ht="16" x14ac:dyDescent="0.8">
      <c r="A869" s="2" t="s">
        <v>1241</v>
      </c>
      <c r="B869" s="2" t="s">
        <v>1249</v>
      </c>
      <c r="C869" s="2" t="s">
        <v>1250</v>
      </c>
      <c r="D869" s="2" t="s">
        <v>1250</v>
      </c>
      <c r="E869" s="3">
        <v>1</v>
      </c>
      <c r="F869" s="3">
        <v>1</v>
      </c>
      <c r="G869" s="2" t="s">
        <v>11</v>
      </c>
      <c r="H869" s="2" t="s">
        <v>1184</v>
      </c>
      <c r="I869" s="2" t="s">
        <v>63</v>
      </c>
    </row>
    <row r="870" spans="1:9" ht="16" x14ac:dyDescent="0.8">
      <c r="A870" s="2" t="s">
        <v>1241</v>
      </c>
      <c r="B870" s="2" t="s">
        <v>1251</v>
      </c>
      <c r="C870" s="2" t="s">
        <v>1252</v>
      </c>
      <c r="D870" s="2" t="s">
        <v>1252</v>
      </c>
      <c r="E870" s="3">
        <v>1</v>
      </c>
      <c r="F870" s="3">
        <v>1</v>
      </c>
      <c r="G870" s="2" t="s">
        <v>11</v>
      </c>
      <c r="H870" s="2" t="s">
        <v>1184</v>
      </c>
      <c r="I870" s="2" t="s">
        <v>63</v>
      </c>
    </row>
    <row r="871" spans="1:9" ht="16" x14ac:dyDescent="0.8">
      <c r="A871" s="2" t="s">
        <v>1241</v>
      </c>
      <c r="B871" s="2" t="s">
        <v>1253</v>
      </c>
      <c r="C871" s="2" t="s">
        <v>1254</v>
      </c>
      <c r="D871" s="2" t="s">
        <v>1254</v>
      </c>
      <c r="E871" s="3">
        <v>1</v>
      </c>
      <c r="F871" s="3">
        <v>1</v>
      </c>
      <c r="G871" s="2" t="s">
        <v>11</v>
      </c>
      <c r="H871" s="2" t="s">
        <v>1184</v>
      </c>
      <c r="I871" s="2" t="s">
        <v>63</v>
      </c>
    </row>
    <row r="872" spans="1:9" ht="16" x14ac:dyDescent="0.8">
      <c r="A872" s="2" t="s">
        <v>1241</v>
      </c>
      <c r="B872" s="2" t="s">
        <v>1255</v>
      </c>
      <c r="C872" s="2" t="s">
        <v>1256</v>
      </c>
      <c r="D872" s="2" t="s">
        <v>1256</v>
      </c>
      <c r="E872" s="3">
        <v>1</v>
      </c>
      <c r="F872" s="3">
        <v>1</v>
      </c>
      <c r="G872" s="2" t="s">
        <v>11</v>
      </c>
      <c r="H872" s="2" t="s">
        <v>1184</v>
      </c>
      <c r="I872" s="2" t="s">
        <v>63</v>
      </c>
    </row>
    <row r="873" spans="1:9" ht="16" x14ac:dyDescent="0.8">
      <c r="A873" s="2" t="s">
        <v>1241</v>
      </c>
      <c r="B873" s="2" t="s">
        <v>1257</v>
      </c>
      <c r="C873" s="2" t="s">
        <v>1258</v>
      </c>
      <c r="D873" s="2" t="s">
        <v>1258</v>
      </c>
      <c r="E873" s="3">
        <v>1</v>
      </c>
      <c r="F873" s="3">
        <v>1</v>
      </c>
      <c r="G873" s="2" t="s">
        <v>11</v>
      </c>
      <c r="H873" s="2" t="s">
        <v>1184</v>
      </c>
      <c r="I873" s="2" t="s">
        <v>63</v>
      </c>
    </row>
    <row r="874" spans="1:9" ht="16" x14ac:dyDescent="0.8">
      <c r="A874" s="2" t="s">
        <v>1259</v>
      </c>
      <c r="B874" s="2" t="s">
        <v>1260</v>
      </c>
      <c r="C874" s="2" t="s">
        <v>1261</v>
      </c>
      <c r="D874" s="2" t="s">
        <v>1261</v>
      </c>
      <c r="E874" s="3">
        <v>5</v>
      </c>
      <c r="F874" s="3">
        <v>5</v>
      </c>
      <c r="G874" s="2" t="s">
        <v>11</v>
      </c>
      <c r="H874" s="2" t="s">
        <v>1184</v>
      </c>
      <c r="I874" s="2" t="s">
        <v>1262</v>
      </c>
    </row>
    <row r="875" spans="1:9" ht="16" x14ac:dyDescent="0.8">
      <c r="A875" s="2" t="s">
        <v>1259</v>
      </c>
      <c r="B875" s="2" t="s">
        <v>1263</v>
      </c>
      <c r="C875" s="2" t="s">
        <v>1264</v>
      </c>
      <c r="D875" s="2" t="s">
        <v>1264</v>
      </c>
      <c r="E875" s="3">
        <v>1</v>
      </c>
      <c r="F875" s="3">
        <v>1</v>
      </c>
      <c r="G875" s="2" t="s">
        <v>11</v>
      </c>
      <c r="H875" s="2" t="s">
        <v>1184</v>
      </c>
      <c r="I875" s="2" t="s">
        <v>1262</v>
      </c>
    </row>
    <row r="876" spans="1:9" ht="16" x14ac:dyDescent="0.8">
      <c r="A876" s="2" t="s">
        <v>1259</v>
      </c>
      <c r="B876" s="2" t="s">
        <v>1265</v>
      </c>
      <c r="C876" s="2" t="s">
        <v>1266</v>
      </c>
      <c r="D876" s="2" t="s">
        <v>1266</v>
      </c>
      <c r="E876" s="3">
        <v>1</v>
      </c>
      <c r="F876" s="3">
        <v>1</v>
      </c>
      <c r="G876" s="2" t="s">
        <v>11</v>
      </c>
      <c r="H876" s="2" t="s">
        <v>1184</v>
      </c>
      <c r="I876" s="2" t="s">
        <v>1262</v>
      </c>
    </row>
    <row r="877" spans="1:9" ht="16" x14ac:dyDescent="0.8">
      <c r="A877" s="2" t="s">
        <v>1259</v>
      </c>
      <c r="B877" s="2" t="s">
        <v>1267</v>
      </c>
      <c r="C877" s="2" t="s">
        <v>1268</v>
      </c>
      <c r="D877" s="2" t="s">
        <v>1268</v>
      </c>
      <c r="E877" s="3">
        <v>1</v>
      </c>
      <c r="F877" s="3">
        <v>1</v>
      </c>
      <c r="G877" s="2" t="s">
        <v>11</v>
      </c>
      <c r="H877" s="2" t="s">
        <v>1184</v>
      </c>
      <c r="I877" s="2" t="s">
        <v>1262</v>
      </c>
    </row>
    <row r="878" spans="1:9" ht="16" x14ac:dyDescent="0.8">
      <c r="A878" s="2" t="s">
        <v>1259</v>
      </c>
      <c r="B878" s="2" t="s">
        <v>1269</v>
      </c>
      <c r="C878" s="2" t="s">
        <v>1270</v>
      </c>
      <c r="D878" s="2" t="s">
        <v>1270</v>
      </c>
      <c r="E878" s="3">
        <v>2</v>
      </c>
      <c r="F878" s="3">
        <v>2</v>
      </c>
      <c r="G878" s="2" t="s">
        <v>11</v>
      </c>
      <c r="H878" s="2" t="s">
        <v>1184</v>
      </c>
      <c r="I878" s="2" t="s">
        <v>1262</v>
      </c>
    </row>
    <row r="879" spans="1:9" ht="16" x14ac:dyDescent="0.8">
      <c r="A879" s="2" t="s">
        <v>1271</v>
      </c>
      <c r="B879" s="2" t="s">
        <v>1272</v>
      </c>
      <c r="C879" s="2" t="s">
        <v>1273</v>
      </c>
      <c r="D879" s="2" t="s">
        <v>1273</v>
      </c>
      <c r="E879" s="3">
        <v>1</v>
      </c>
      <c r="F879" s="3">
        <v>1</v>
      </c>
      <c r="G879" s="2" t="s">
        <v>11</v>
      </c>
      <c r="H879" s="2" t="s">
        <v>1184</v>
      </c>
      <c r="I879" s="2" t="s">
        <v>1274</v>
      </c>
    </row>
    <row r="880" spans="1:9" ht="16" x14ac:dyDescent="0.8">
      <c r="A880" s="2" t="s">
        <v>1271</v>
      </c>
      <c r="B880" s="2" t="s">
        <v>1275</v>
      </c>
      <c r="C880" s="2" t="s">
        <v>1276</v>
      </c>
      <c r="D880" s="2" t="s">
        <v>1276</v>
      </c>
      <c r="E880" s="3">
        <v>3</v>
      </c>
      <c r="F880" s="3">
        <v>3</v>
      </c>
      <c r="G880" s="2" t="s">
        <v>11</v>
      </c>
      <c r="H880" s="2" t="s">
        <v>1184</v>
      </c>
      <c r="I880" s="2" t="s">
        <v>1274</v>
      </c>
    </row>
    <row r="881" spans="1:9" ht="16" x14ac:dyDescent="0.8">
      <c r="A881" s="2" t="s">
        <v>1271</v>
      </c>
      <c r="B881" s="2" t="s">
        <v>1277</v>
      </c>
      <c r="C881" s="2" t="s">
        <v>1278</v>
      </c>
      <c r="D881" s="2" t="s">
        <v>1278</v>
      </c>
      <c r="E881" s="3">
        <v>3</v>
      </c>
      <c r="F881" s="3">
        <v>3</v>
      </c>
      <c r="G881" s="2" t="s">
        <v>11</v>
      </c>
      <c r="H881" s="2" t="s">
        <v>1184</v>
      </c>
      <c r="I881" s="2" t="s">
        <v>1274</v>
      </c>
    </row>
    <row r="882" spans="1:9" ht="16" x14ac:dyDescent="0.8">
      <c r="A882" s="2" t="s">
        <v>1271</v>
      </c>
      <c r="B882" s="2" t="s">
        <v>1279</v>
      </c>
      <c r="C882" s="2" t="s">
        <v>1280</v>
      </c>
      <c r="D882" s="2" t="s">
        <v>1280</v>
      </c>
      <c r="E882" s="3">
        <v>3</v>
      </c>
      <c r="F882" s="3">
        <v>3</v>
      </c>
      <c r="G882" s="2" t="s">
        <v>11</v>
      </c>
      <c r="H882" s="2" t="s">
        <v>1184</v>
      </c>
      <c r="I882" s="2" t="s">
        <v>1274</v>
      </c>
    </row>
    <row r="883" spans="1:9" ht="16" x14ac:dyDescent="0.8">
      <c r="A883" s="2" t="s">
        <v>1271</v>
      </c>
      <c r="B883" s="2" t="s">
        <v>1281</v>
      </c>
      <c r="C883" s="2" t="s">
        <v>1282</v>
      </c>
      <c r="D883" s="2" t="s">
        <v>1282</v>
      </c>
      <c r="E883" s="3">
        <v>1</v>
      </c>
      <c r="F883" s="3">
        <v>1</v>
      </c>
      <c r="G883" s="2" t="s">
        <v>11</v>
      </c>
      <c r="H883" s="2" t="s">
        <v>1184</v>
      </c>
      <c r="I883" s="2" t="s">
        <v>1274</v>
      </c>
    </row>
    <row r="884" spans="1:9" ht="16" x14ac:dyDescent="0.8">
      <c r="A884" s="2" t="s">
        <v>1271</v>
      </c>
      <c r="B884" s="2" t="s">
        <v>1283</v>
      </c>
      <c r="C884" s="2" t="s">
        <v>1284</v>
      </c>
      <c r="D884" s="2" t="s">
        <v>1284</v>
      </c>
      <c r="E884" s="3">
        <v>1</v>
      </c>
      <c r="F884" s="3">
        <v>1</v>
      </c>
      <c r="G884" s="2" t="s">
        <v>11</v>
      </c>
      <c r="H884" s="2" t="s">
        <v>1184</v>
      </c>
      <c r="I884" s="2" t="s">
        <v>1274</v>
      </c>
    </row>
    <row r="885" spans="1:9" ht="16" x14ac:dyDescent="0.8">
      <c r="A885" s="2" t="s">
        <v>1271</v>
      </c>
      <c r="B885" s="2" t="s">
        <v>1285</v>
      </c>
      <c r="C885" s="2" t="s">
        <v>1286</v>
      </c>
      <c r="D885" s="2" t="s">
        <v>1286</v>
      </c>
      <c r="E885" s="3">
        <v>1</v>
      </c>
      <c r="F885" s="3">
        <v>1</v>
      </c>
      <c r="G885" s="2" t="s">
        <v>11</v>
      </c>
      <c r="H885" s="2" t="s">
        <v>1184</v>
      </c>
      <c r="I885" s="2" t="s">
        <v>1274</v>
      </c>
    </row>
    <row r="886" spans="1:9" ht="16" x14ac:dyDescent="0.8">
      <c r="A886" s="2" t="s">
        <v>1271</v>
      </c>
      <c r="B886" s="2" t="s">
        <v>1287</v>
      </c>
      <c r="C886" s="2" t="s">
        <v>1288</v>
      </c>
      <c r="D886" s="2" t="s">
        <v>1288</v>
      </c>
      <c r="E886" s="3">
        <v>2</v>
      </c>
      <c r="F886" s="3">
        <v>2</v>
      </c>
      <c r="G886" s="2" t="s">
        <v>11</v>
      </c>
      <c r="H886" s="2" t="s">
        <v>1184</v>
      </c>
      <c r="I886" s="2" t="s">
        <v>1274</v>
      </c>
    </row>
    <row r="887" spans="1:9" ht="16" x14ac:dyDescent="0.8">
      <c r="A887" s="2" t="s">
        <v>1271</v>
      </c>
      <c r="B887" s="2" t="s">
        <v>1289</v>
      </c>
      <c r="C887" s="2" t="s">
        <v>1290</v>
      </c>
      <c r="D887" s="2" t="s">
        <v>1290</v>
      </c>
      <c r="E887" s="3">
        <v>6</v>
      </c>
      <c r="F887" s="3">
        <v>6</v>
      </c>
      <c r="G887" s="2" t="s">
        <v>11</v>
      </c>
      <c r="H887" s="2" t="s">
        <v>1184</v>
      </c>
      <c r="I887" s="2" t="s">
        <v>1274</v>
      </c>
    </row>
    <row r="888" spans="1:9" ht="16" x14ac:dyDescent="0.8">
      <c r="A888" s="2" t="s">
        <v>1271</v>
      </c>
      <c r="B888" s="2" t="s">
        <v>1291</v>
      </c>
      <c r="C888" s="2" t="s">
        <v>1292</v>
      </c>
      <c r="D888" s="2" t="s">
        <v>1292</v>
      </c>
      <c r="E888" s="3">
        <v>1</v>
      </c>
      <c r="F888" s="3">
        <v>1</v>
      </c>
      <c r="G888" s="2" t="s">
        <v>11</v>
      </c>
      <c r="H888" s="2" t="s">
        <v>1184</v>
      </c>
      <c r="I888" s="2" t="s">
        <v>1274</v>
      </c>
    </row>
    <row r="889" spans="1:9" ht="16" x14ac:dyDescent="0.8">
      <c r="A889" s="2" t="s">
        <v>1293</v>
      </c>
      <c r="B889" s="2" t="s">
        <v>276</v>
      </c>
      <c r="C889" s="2" t="s">
        <v>277</v>
      </c>
      <c r="D889" s="2" t="s">
        <v>277</v>
      </c>
      <c r="E889" s="3">
        <v>2560</v>
      </c>
      <c r="F889" s="3">
        <v>2560</v>
      </c>
      <c r="G889" s="2" t="s">
        <v>11</v>
      </c>
      <c r="H889" s="2" t="s">
        <v>1184</v>
      </c>
      <c r="I889" s="2" t="s">
        <v>279</v>
      </c>
    </row>
    <row r="890" spans="1:9" ht="16" x14ac:dyDescent="0.8">
      <c r="A890" s="2" t="s">
        <v>1295</v>
      </c>
      <c r="B890" s="2" t="s">
        <v>639</v>
      </c>
      <c r="C890" s="2" t="s">
        <v>206</v>
      </c>
      <c r="D890" s="2" t="s">
        <v>206</v>
      </c>
      <c r="E890" s="3">
        <v>1004</v>
      </c>
      <c r="F890" s="3">
        <v>1004</v>
      </c>
      <c r="G890" s="2" t="s">
        <v>11</v>
      </c>
      <c r="H890" s="2" t="s">
        <v>1296</v>
      </c>
      <c r="I890" s="2" t="s">
        <v>641</v>
      </c>
    </row>
    <row r="891" spans="1:9" ht="16" x14ac:dyDescent="0.8">
      <c r="A891" s="2" t="s">
        <v>1295</v>
      </c>
      <c r="B891" s="2" t="s">
        <v>642</v>
      </c>
      <c r="C891" s="2" t="s">
        <v>643</v>
      </c>
      <c r="D891" s="2" t="s">
        <v>643</v>
      </c>
      <c r="E891" s="3">
        <v>3388</v>
      </c>
      <c r="F891" s="3">
        <v>3388</v>
      </c>
      <c r="G891" s="2" t="s">
        <v>11</v>
      </c>
      <c r="H891" s="2" t="s">
        <v>1296</v>
      </c>
      <c r="I891" s="2" t="s">
        <v>641</v>
      </c>
    </row>
    <row r="892" spans="1:9" ht="16" x14ac:dyDescent="0.8">
      <c r="A892" s="2" t="s">
        <v>1295</v>
      </c>
      <c r="B892" s="2" t="s">
        <v>644</v>
      </c>
      <c r="C892" s="2" t="s">
        <v>645</v>
      </c>
      <c r="D892" s="2" t="s">
        <v>645</v>
      </c>
      <c r="E892" s="3">
        <v>1256</v>
      </c>
      <c r="F892" s="3">
        <v>1264</v>
      </c>
      <c r="G892" s="2" t="s">
        <v>11</v>
      </c>
      <c r="H892" s="2" t="s">
        <v>1296</v>
      </c>
      <c r="I892" s="2" t="s">
        <v>641</v>
      </c>
    </row>
    <row r="893" spans="1:9" ht="16" x14ac:dyDescent="0.8">
      <c r="A893" s="2" t="s">
        <v>1295</v>
      </c>
      <c r="B893" s="2" t="s">
        <v>646</v>
      </c>
      <c r="C893" s="2" t="s">
        <v>647</v>
      </c>
      <c r="D893" s="2" t="s">
        <v>647</v>
      </c>
      <c r="E893" s="3">
        <v>3136</v>
      </c>
      <c r="F893" s="3">
        <v>3144</v>
      </c>
      <c r="G893" s="2" t="s">
        <v>11</v>
      </c>
      <c r="H893" s="2" t="s">
        <v>1296</v>
      </c>
      <c r="I893" s="2" t="s">
        <v>641</v>
      </c>
    </row>
    <row r="894" spans="1:9" ht="16" x14ac:dyDescent="0.8">
      <c r="A894" s="2" t="s">
        <v>1295</v>
      </c>
      <c r="B894" s="2" t="s">
        <v>648</v>
      </c>
      <c r="C894" s="2" t="s">
        <v>649</v>
      </c>
      <c r="D894" s="2" t="s">
        <v>649</v>
      </c>
      <c r="E894" s="3">
        <v>1632</v>
      </c>
      <c r="F894" s="3">
        <v>1640</v>
      </c>
      <c r="G894" s="2" t="s">
        <v>11</v>
      </c>
      <c r="H894" s="2" t="s">
        <v>1296</v>
      </c>
      <c r="I894" s="2" t="s">
        <v>641</v>
      </c>
    </row>
    <row r="895" spans="1:9" ht="16" x14ac:dyDescent="0.8">
      <c r="A895" s="2" t="s">
        <v>1295</v>
      </c>
      <c r="B895" s="2" t="s">
        <v>650</v>
      </c>
      <c r="C895" s="2" t="s">
        <v>651</v>
      </c>
      <c r="D895" s="2" t="s">
        <v>651</v>
      </c>
      <c r="E895" s="3">
        <v>2132</v>
      </c>
      <c r="F895" s="3">
        <v>2132</v>
      </c>
      <c r="G895" s="2" t="s">
        <v>11</v>
      </c>
      <c r="H895" s="2" t="s">
        <v>1296</v>
      </c>
      <c r="I895" s="2" t="s">
        <v>641</v>
      </c>
    </row>
    <row r="896" spans="1:9" ht="16" x14ac:dyDescent="0.8">
      <c r="A896" s="2" t="s">
        <v>1297</v>
      </c>
      <c r="B896" s="2" t="s">
        <v>1298</v>
      </c>
      <c r="C896" s="2" t="s">
        <v>1299</v>
      </c>
      <c r="D896" s="2" t="s">
        <v>1299</v>
      </c>
      <c r="E896" s="3">
        <v>16</v>
      </c>
      <c r="F896" s="3">
        <v>16</v>
      </c>
      <c r="G896" s="2" t="s">
        <v>11</v>
      </c>
      <c r="H896" s="2" t="s">
        <v>1296</v>
      </c>
      <c r="I896" s="2" t="s">
        <v>1262</v>
      </c>
    </row>
    <row r="897" spans="1:9" ht="16" x14ac:dyDescent="0.8">
      <c r="A897" s="2" t="s">
        <v>1300</v>
      </c>
      <c r="B897" s="2" t="s">
        <v>1301</v>
      </c>
      <c r="C897" s="2" t="s">
        <v>1302</v>
      </c>
      <c r="D897" s="2" t="s">
        <v>1302</v>
      </c>
      <c r="E897" s="3">
        <v>6</v>
      </c>
      <c r="F897" s="3">
        <v>6</v>
      </c>
      <c r="G897" s="2" t="s">
        <v>11</v>
      </c>
      <c r="H897" s="2" t="s">
        <v>1296</v>
      </c>
      <c r="I897" s="2" t="s">
        <v>1274</v>
      </c>
    </row>
    <row r="898" spans="1:9" ht="16" x14ac:dyDescent="0.8">
      <c r="A898" s="2" t="s">
        <v>1303</v>
      </c>
      <c r="B898" s="2" t="s">
        <v>442</v>
      </c>
      <c r="C898" s="2" t="s">
        <v>443</v>
      </c>
      <c r="D898" s="2" t="s">
        <v>443</v>
      </c>
      <c r="E898" s="3">
        <v>5962</v>
      </c>
      <c r="F898" s="3">
        <v>6120</v>
      </c>
      <c r="G898" s="2" t="s">
        <v>11</v>
      </c>
      <c r="H898" s="2" t="s">
        <v>1304</v>
      </c>
      <c r="I898" s="2" t="s">
        <v>441</v>
      </c>
    </row>
    <row r="899" spans="1:9" ht="16" x14ac:dyDescent="0.8">
      <c r="A899" s="2" t="s">
        <v>1303</v>
      </c>
      <c r="B899" s="2" t="s">
        <v>439</v>
      </c>
      <c r="C899" s="2" t="s">
        <v>440</v>
      </c>
      <c r="D899" s="2" t="s">
        <v>440</v>
      </c>
      <c r="E899" s="3">
        <v>9441</v>
      </c>
      <c r="F899" s="3">
        <v>9504</v>
      </c>
      <c r="G899" s="2" t="s">
        <v>11</v>
      </c>
      <c r="H899" s="2" t="s">
        <v>1304</v>
      </c>
      <c r="I899" s="2" t="s">
        <v>441</v>
      </c>
    </row>
    <row r="900" spans="1:9" ht="16" x14ac:dyDescent="0.8">
      <c r="A900" s="2" t="s">
        <v>1305</v>
      </c>
      <c r="B900" s="2" t="s">
        <v>371</v>
      </c>
      <c r="C900" s="2" t="s">
        <v>372</v>
      </c>
      <c r="D900" s="2" t="s">
        <v>372</v>
      </c>
      <c r="E900" s="3">
        <v>1002</v>
      </c>
      <c r="F900" s="3">
        <v>1002</v>
      </c>
      <c r="G900" s="2" t="s">
        <v>11</v>
      </c>
      <c r="H900" s="2" t="s">
        <v>1306</v>
      </c>
      <c r="I900" s="2" t="s">
        <v>201</v>
      </c>
    </row>
    <row r="901" spans="1:9" ht="16" x14ac:dyDescent="0.8">
      <c r="A901" s="2" t="s">
        <v>1305</v>
      </c>
      <c r="B901" s="2" t="s">
        <v>368</v>
      </c>
      <c r="C901" s="2" t="s">
        <v>199</v>
      </c>
      <c r="D901" s="2" t="s">
        <v>199</v>
      </c>
      <c r="E901" s="3">
        <v>1002</v>
      </c>
      <c r="F901" s="3">
        <v>1002</v>
      </c>
      <c r="G901" s="2" t="s">
        <v>11</v>
      </c>
      <c r="H901" s="2" t="s">
        <v>1306</v>
      </c>
      <c r="I901" s="2" t="s">
        <v>201</v>
      </c>
    </row>
    <row r="902" spans="1:9" ht="16" x14ac:dyDescent="0.8">
      <c r="A902" s="2" t="s">
        <v>1305</v>
      </c>
      <c r="B902" s="2" t="s">
        <v>369</v>
      </c>
      <c r="C902" s="2" t="s">
        <v>370</v>
      </c>
      <c r="D902" s="2" t="s">
        <v>370</v>
      </c>
      <c r="E902" s="3">
        <v>1002</v>
      </c>
      <c r="F902" s="3">
        <v>1002</v>
      </c>
      <c r="G902" s="2" t="s">
        <v>11</v>
      </c>
      <c r="H902" s="2" t="s">
        <v>1306</v>
      </c>
      <c r="I902" s="2" t="s">
        <v>201</v>
      </c>
    </row>
    <row r="903" spans="1:9" ht="16" x14ac:dyDescent="0.8">
      <c r="A903" s="2" t="s">
        <v>1309</v>
      </c>
      <c r="B903" s="2" t="s">
        <v>1310</v>
      </c>
      <c r="C903" s="2" t="s">
        <v>1311</v>
      </c>
      <c r="D903" s="2" t="s">
        <v>1311</v>
      </c>
      <c r="E903" s="3">
        <v>1</v>
      </c>
      <c r="F903" s="3">
        <v>1</v>
      </c>
      <c r="G903" s="2" t="s">
        <v>11</v>
      </c>
      <c r="H903" s="2" t="s">
        <v>1312</v>
      </c>
      <c r="I903" s="2" t="s">
        <v>63</v>
      </c>
    </row>
    <row r="904" spans="1:9" ht="16" x14ac:dyDescent="0.8">
      <c r="A904" s="2" t="s">
        <v>1313</v>
      </c>
      <c r="B904" s="2" t="s">
        <v>1314</v>
      </c>
      <c r="C904" s="2" t="s">
        <v>277</v>
      </c>
      <c r="D904" s="2" t="s">
        <v>277</v>
      </c>
      <c r="E904" s="3">
        <v>5190</v>
      </c>
      <c r="F904" s="3">
        <v>5190</v>
      </c>
      <c r="G904" s="2" t="s">
        <v>11</v>
      </c>
      <c r="H904" s="2" t="s">
        <v>1180</v>
      </c>
      <c r="I904" s="2" t="s">
        <v>279</v>
      </c>
    </row>
    <row r="905" spans="1:9" ht="16" x14ac:dyDescent="0.8">
      <c r="A905" s="2" t="s">
        <v>1313</v>
      </c>
      <c r="B905" s="2" t="s">
        <v>348</v>
      </c>
      <c r="C905" s="2" t="s">
        <v>349</v>
      </c>
      <c r="D905" s="2" t="s">
        <v>349</v>
      </c>
      <c r="E905" s="3">
        <v>13920</v>
      </c>
      <c r="F905" s="3">
        <v>13920</v>
      </c>
      <c r="G905" s="2" t="s">
        <v>11</v>
      </c>
      <c r="H905" s="2" t="s">
        <v>1180</v>
      </c>
      <c r="I905" s="2" t="s">
        <v>279</v>
      </c>
    </row>
    <row r="906" spans="1:9" ht="16" x14ac:dyDescent="0.8">
      <c r="A906" s="2" t="s">
        <v>1315</v>
      </c>
      <c r="B906" s="2" t="s">
        <v>786</v>
      </c>
      <c r="C906" s="2" t="s">
        <v>199</v>
      </c>
      <c r="D906" s="2" t="s">
        <v>199</v>
      </c>
      <c r="E906" s="3">
        <v>2760</v>
      </c>
      <c r="F906" s="3">
        <v>1938</v>
      </c>
      <c r="G906" s="2" t="s">
        <v>11</v>
      </c>
      <c r="H906" s="2" t="s">
        <v>1180</v>
      </c>
      <c r="I906" s="2" t="s">
        <v>201</v>
      </c>
    </row>
    <row r="907" spans="1:9" ht="16" x14ac:dyDescent="0.8">
      <c r="A907" s="2" t="s">
        <v>1316</v>
      </c>
      <c r="B907" s="2" t="s">
        <v>1317</v>
      </c>
      <c r="C907" s="2" t="s">
        <v>1318</v>
      </c>
      <c r="D907" s="2" t="s">
        <v>1318</v>
      </c>
      <c r="E907" s="3">
        <v>728</v>
      </c>
      <c r="F907" s="3">
        <v>728</v>
      </c>
      <c r="G907" s="2" t="s">
        <v>11</v>
      </c>
      <c r="H907" s="2" t="s">
        <v>1180</v>
      </c>
      <c r="I907" s="2" t="s">
        <v>279</v>
      </c>
    </row>
    <row r="908" spans="1:9" ht="16" x14ac:dyDescent="0.8">
      <c r="A908" s="2" t="s">
        <v>1319</v>
      </c>
      <c r="B908" s="2" t="s">
        <v>1136</v>
      </c>
      <c r="C908" s="2" t="s">
        <v>1137</v>
      </c>
      <c r="D908" s="2" t="s">
        <v>1137</v>
      </c>
      <c r="E908" s="3">
        <v>15188</v>
      </c>
      <c r="F908" s="3">
        <v>15188</v>
      </c>
      <c r="G908" s="2" t="s">
        <v>11</v>
      </c>
      <c r="H908" s="2" t="s">
        <v>1180</v>
      </c>
      <c r="I908" s="2" t="s">
        <v>208</v>
      </c>
    </row>
    <row r="909" spans="1:9" ht="16" x14ac:dyDescent="0.8">
      <c r="A909" s="2" t="s">
        <v>1319</v>
      </c>
      <c r="B909" s="2" t="s">
        <v>1320</v>
      </c>
      <c r="C909" s="2" t="s">
        <v>210</v>
      </c>
      <c r="D909" s="2" t="s">
        <v>210</v>
      </c>
      <c r="E909" s="3">
        <v>13200</v>
      </c>
      <c r="F909" s="3">
        <v>13200</v>
      </c>
      <c r="G909" s="2" t="s">
        <v>11</v>
      </c>
      <c r="H909" s="2" t="s">
        <v>1180</v>
      </c>
      <c r="I909" s="2" t="s">
        <v>208</v>
      </c>
    </row>
    <row r="910" spans="1:9" ht="16" x14ac:dyDescent="0.8">
      <c r="A910" s="2" t="s">
        <v>1319</v>
      </c>
      <c r="B910" s="2" t="s">
        <v>1321</v>
      </c>
      <c r="C910" s="2" t="s">
        <v>216</v>
      </c>
      <c r="D910" s="2" t="s">
        <v>216</v>
      </c>
      <c r="E910" s="3">
        <v>15724</v>
      </c>
      <c r="F910" s="3">
        <v>15724</v>
      </c>
      <c r="G910" s="2" t="s">
        <v>11</v>
      </c>
      <c r="H910" s="2" t="s">
        <v>1180</v>
      </c>
      <c r="I910" s="2" t="s">
        <v>208</v>
      </c>
    </row>
    <row r="911" spans="1:9" ht="16" x14ac:dyDescent="0.8">
      <c r="A911" s="2" t="s">
        <v>1319</v>
      </c>
      <c r="B911" s="2" t="s">
        <v>1138</v>
      </c>
      <c r="C911" s="2" t="s">
        <v>218</v>
      </c>
      <c r="D911" s="2" t="s">
        <v>218</v>
      </c>
      <c r="E911" s="3">
        <v>21092</v>
      </c>
      <c r="F911" s="3">
        <v>21092</v>
      </c>
      <c r="G911" s="2" t="s">
        <v>11</v>
      </c>
      <c r="H911" s="2" t="s">
        <v>1180</v>
      </c>
      <c r="I911" s="2" t="s">
        <v>208</v>
      </c>
    </row>
    <row r="912" spans="1:9" ht="16" x14ac:dyDescent="0.8">
      <c r="A912" s="2" t="s">
        <v>1322</v>
      </c>
      <c r="B912" s="2" t="s">
        <v>1052</v>
      </c>
      <c r="C912" s="2" t="s">
        <v>1053</v>
      </c>
      <c r="D912" s="2" t="s">
        <v>1053</v>
      </c>
      <c r="E912" s="3">
        <v>13680</v>
      </c>
      <c r="F912" s="3">
        <v>13680</v>
      </c>
      <c r="G912" s="2" t="s">
        <v>11</v>
      </c>
      <c r="H912" s="2" t="s">
        <v>1308</v>
      </c>
      <c r="I912" s="2" t="s">
        <v>201</v>
      </c>
    </row>
    <row r="913" spans="1:9" ht="16" x14ac:dyDescent="0.8">
      <c r="A913" s="2" t="s">
        <v>1322</v>
      </c>
      <c r="B913" s="2" t="s">
        <v>1054</v>
      </c>
      <c r="C913" s="2" t="s">
        <v>1055</v>
      </c>
      <c r="D913" s="2" t="s">
        <v>1055</v>
      </c>
      <c r="E913" s="3">
        <v>11880</v>
      </c>
      <c r="F913" s="3">
        <v>11880</v>
      </c>
      <c r="G913" s="2" t="s">
        <v>11</v>
      </c>
      <c r="H913" s="2" t="s">
        <v>1308</v>
      </c>
      <c r="I913" s="2" t="s">
        <v>201</v>
      </c>
    </row>
    <row r="914" spans="1:9" ht="16" x14ac:dyDescent="0.8">
      <c r="A914" s="2" t="s">
        <v>1322</v>
      </c>
      <c r="B914" s="2" t="s">
        <v>1056</v>
      </c>
      <c r="C914" s="2" t="s">
        <v>1057</v>
      </c>
      <c r="D914" s="2" t="s">
        <v>1057</v>
      </c>
      <c r="E914" s="3">
        <v>2240</v>
      </c>
      <c r="F914" s="3">
        <v>2240</v>
      </c>
      <c r="G914" s="2" t="s">
        <v>11</v>
      </c>
      <c r="H914" s="2" t="s">
        <v>1308</v>
      </c>
      <c r="I914" s="2" t="s">
        <v>201</v>
      </c>
    </row>
    <row r="915" spans="1:9" ht="16" x14ac:dyDescent="0.8">
      <c r="A915" s="2" t="s">
        <v>1322</v>
      </c>
      <c r="B915" s="2" t="s">
        <v>1058</v>
      </c>
      <c r="C915" s="2" t="s">
        <v>1059</v>
      </c>
      <c r="D915" s="2" t="s">
        <v>1059</v>
      </c>
      <c r="E915" s="3">
        <v>5040</v>
      </c>
      <c r="F915" s="3">
        <v>5040</v>
      </c>
      <c r="G915" s="2" t="s">
        <v>11</v>
      </c>
      <c r="H915" s="2" t="s">
        <v>1308</v>
      </c>
      <c r="I915" s="2" t="s">
        <v>201</v>
      </c>
    </row>
    <row r="916" spans="1:9" ht="16" x14ac:dyDescent="0.8">
      <c r="A916" s="2" t="s">
        <v>1322</v>
      </c>
      <c r="B916" s="2" t="s">
        <v>1062</v>
      </c>
      <c r="C916" s="2" t="s">
        <v>1063</v>
      </c>
      <c r="D916" s="2" t="s">
        <v>1063</v>
      </c>
      <c r="E916" s="3">
        <v>6480</v>
      </c>
      <c r="F916" s="3">
        <v>6480</v>
      </c>
      <c r="G916" s="2" t="s">
        <v>11</v>
      </c>
      <c r="H916" s="2" t="s">
        <v>1308</v>
      </c>
      <c r="I916" s="2" t="s">
        <v>201</v>
      </c>
    </row>
    <row r="917" spans="1:9" ht="16" x14ac:dyDescent="0.8">
      <c r="A917" s="2" t="s">
        <v>1322</v>
      </c>
      <c r="B917" s="2" t="s">
        <v>1064</v>
      </c>
      <c r="C917" s="2" t="s">
        <v>1065</v>
      </c>
      <c r="D917" s="2" t="s">
        <v>1065</v>
      </c>
      <c r="E917" s="3">
        <v>13602</v>
      </c>
      <c r="F917" s="3">
        <v>13602</v>
      </c>
      <c r="G917" s="2" t="s">
        <v>11</v>
      </c>
      <c r="H917" s="2" t="s">
        <v>1308</v>
      </c>
      <c r="I917" s="2" t="s">
        <v>201</v>
      </c>
    </row>
    <row r="918" spans="1:9" ht="16" x14ac:dyDescent="0.8">
      <c r="A918" s="2" t="s">
        <v>1323</v>
      </c>
      <c r="B918" s="2" t="s">
        <v>1070</v>
      </c>
      <c r="C918" s="2" t="s">
        <v>1071</v>
      </c>
      <c r="D918" s="2" t="s">
        <v>1071</v>
      </c>
      <c r="E918" s="3">
        <v>2240</v>
      </c>
      <c r="F918" s="3">
        <v>2240</v>
      </c>
      <c r="G918" s="2" t="s">
        <v>11</v>
      </c>
      <c r="H918" s="2" t="s">
        <v>1180</v>
      </c>
      <c r="I918" s="2" t="s">
        <v>437</v>
      </c>
    </row>
    <row r="919" spans="1:9" ht="16" x14ac:dyDescent="0.8">
      <c r="A919" s="2" t="s">
        <v>1324</v>
      </c>
      <c r="B919" s="2" t="s">
        <v>1070</v>
      </c>
      <c r="C919" s="2" t="s">
        <v>1071</v>
      </c>
      <c r="D919" s="2" t="s">
        <v>1071</v>
      </c>
      <c r="E919" s="3">
        <v>5376</v>
      </c>
      <c r="F919" s="3">
        <v>5376</v>
      </c>
      <c r="G919" s="2" t="s">
        <v>11</v>
      </c>
      <c r="H919" s="2" t="s">
        <v>1308</v>
      </c>
      <c r="I919" s="2" t="s">
        <v>437</v>
      </c>
    </row>
    <row r="920" spans="1:9" ht="16" x14ac:dyDescent="0.8">
      <c r="A920" s="2" t="s">
        <v>1325</v>
      </c>
      <c r="B920" s="2" t="s">
        <v>1020</v>
      </c>
      <c r="C920" s="2" t="s">
        <v>1021</v>
      </c>
      <c r="D920" s="2" t="s">
        <v>1021</v>
      </c>
      <c r="E920" s="3">
        <v>11016</v>
      </c>
      <c r="F920" s="3">
        <v>11016</v>
      </c>
      <c r="G920" s="2" t="s">
        <v>11</v>
      </c>
      <c r="H920" s="2" t="s">
        <v>1326</v>
      </c>
      <c r="I920" s="2" t="s">
        <v>17</v>
      </c>
    </row>
    <row r="921" spans="1:9" ht="16" x14ac:dyDescent="0.8">
      <c r="A921" s="2" t="s">
        <v>1325</v>
      </c>
      <c r="B921" s="2" t="s">
        <v>1026</v>
      </c>
      <c r="C921" s="2" t="s">
        <v>1027</v>
      </c>
      <c r="D921" s="2" t="s">
        <v>1027</v>
      </c>
      <c r="E921" s="3">
        <v>7080</v>
      </c>
      <c r="F921" s="3">
        <v>7080</v>
      </c>
      <c r="G921" s="2" t="s">
        <v>11</v>
      </c>
      <c r="H921" s="2" t="s">
        <v>1326</v>
      </c>
      <c r="I921" s="2" t="s">
        <v>17</v>
      </c>
    </row>
    <row r="922" spans="1:9" ht="16" x14ac:dyDescent="0.8">
      <c r="A922" s="2" t="s">
        <v>1325</v>
      </c>
      <c r="B922" s="2" t="s">
        <v>1028</v>
      </c>
      <c r="C922" s="2" t="s">
        <v>1029</v>
      </c>
      <c r="D922" s="2" t="s">
        <v>1029</v>
      </c>
      <c r="E922" s="3">
        <v>4224</v>
      </c>
      <c r="F922" s="3">
        <v>4224</v>
      </c>
      <c r="G922" s="2" t="s">
        <v>11</v>
      </c>
      <c r="H922" s="2" t="s">
        <v>1326</v>
      </c>
      <c r="I922" s="2" t="s">
        <v>17</v>
      </c>
    </row>
    <row r="923" spans="1:9" ht="16" x14ac:dyDescent="0.8">
      <c r="A923" s="2" t="s">
        <v>1327</v>
      </c>
      <c r="B923" s="2" t="s">
        <v>1020</v>
      </c>
      <c r="C923" s="2" t="s">
        <v>1021</v>
      </c>
      <c r="D923" s="2" t="s">
        <v>1021</v>
      </c>
      <c r="E923" s="3">
        <v>10368</v>
      </c>
      <c r="F923" s="3">
        <v>10368</v>
      </c>
      <c r="G923" s="2" t="s">
        <v>11</v>
      </c>
      <c r="H923" s="2" t="s">
        <v>1326</v>
      </c>
      <c r="I923" s="2" t="s">
        <v>17</v>
      </c>
    </row>
    <row r="924" spans="1:9" ht="16" x14ac:dyDescent="0.8">
      <c r="A924" s="2" t="s">
        <v>1327</v>
      </c>
      <c r="B924" s="2" t="s">
        <v>1022</v>
      </c>
      <c r="C924" s="2" t="s">
        <v>1023</v>
      </c>
      <c r="D924" s="2" t="s">
        <v>1023</v>
      </c>
      <c r="E924" s="3">
        <v>4128</v>
      </c>
      <c r="F924" s="3">
        <v>-768</v>
      </c>
      <c r="G924" s="2" t="s">
        <v>11</v>
      </c>
      <c r="H924" s="2" t="s">
        <v>1326</v>
      </c>
      <c r="I924" s="2" t="s">
        <v>17</v>
      </c>
    </row>
    <row r="925" spans="1:9" ht="16" x14ac:dyDescent="0.8">
      <c r="A925" s="2" t="s">
        <v>1327</v>
      </c>
      <c r="B925" s="2" t="s">
        <v>1024</v>
      </c>
      <c r="C925" s="2" t="s">
        <v>1025</v>
      </c>
      <c r="D925" s="2" t="s">
        <v>1025</v>
      </c>
      <c r="E925" s="3">
        <v>3600</v>
      </c>
      <c r="F925" s="3">
        <v>3600</v>
      </c>
      <c r="G925" s="2" t="s">
        <v>11</v>
      </c>
      <c r="H925" s="2" t="s">
        <v>1326</v>
      </c>
      <c r="I925" s="2" t="s">
        <v>17</v>
      </c>
    </row>
    <row r="926" spans="1:9" ht="16" x14ac:dyDescent="0.8">
      <c r="A926" s="2" t="s">
        <v>1327</v>
      </c>
      <c r="B926" s="2" t="s">
        <v>1026</v>
      </c>
      <c r="C926" s="2" t="s">
        <v>1027</v>
      </c>
      <c r="D926" s="2" t="s">
        <v>1027</v>
      </c>
      <c r="E926" s="3">
        <v>2520</v>
      </c>
      <c r="F926" s="3">
        <v>52</v>
      </c>
      <c r="G926" s="2" t="s">
        <v>11</v>
      </c>
      <c r="H926" s="2" t="s">
        <v>1326</v>
      </c>
      <c r="I926" s="2" t="s">
        <v>17</v>
      </c>
    </row>
    <row r="927" spans="1:9" ht="16" x14ac:dyDescent="0.8">
      <c r="A927" s="2" t="s">
        <v>1327</v>
      </c>
      <c r="B927" s="2" t="s">
        <v>1028</v>
      </c>
      <c r="C927" s="2" t="s">
        <v>1029</v>
      </c>
      <c r="D927" s="2" t="s">
        <v>1029</v>
      </c>
      <c r="E927" s="3">
        <v>2496</v>
      </c>
      <c r="F927" s="3">
        <v>2496</v>
      </c>
      <c r="G927" s="2" t="s">
        <v>11</v>
      </c>
      <c r="H927" s="2" t="s">
        <v>1326</v>
      </c>
      <c r="I927" s="2" t="s">
        <v>17</v>
      </c>
    </row>
    <row r="928" spans="1:9" ht="16" x14ac:dyDescent="0.8">
      <c r="A928" s="2" t="s">
        <v>1328</v>
      </c>
      <c r="B928" s="2" t="s">
        <v>1020</v>
      </c>
      <c r="C928" s="2" t="s">
        <v>1021</v>
      </c>
      <c r="D928" s="2" t="s">
        <v>1021</v>
      </c>
      <c r="E928" s="3">
        <v>4320</v>
      </c>
      <c r="F928" s="3">
        <v>4320</v>
      </c>
      <c r="G928" s="2" t="s">
        <v>11</v>
      </c>
      <c r="H928" s="2" t="s">
        <v>1326</v>
      </c>
      <c r="I928" s="2" t="s">
        <v>17</v>
      </c>
    </row>
    <row r="929" spans="1:9" ht="16" x14ac:dyDescent="0.8">
      <c r="A929" s="2" t="s">
        <v>1328</v>
      </c>
      <c r="B929" s="2" t="s">
        <v>1022</v>
      </c>
      <c r="C929" s="2" t="s">
        <v>1023</v>
      </c>
      <c r="D929" s="2" t="s">
        <v>1023</v>
      </c>
      <c r="E929" s="3">
        <v>1440</v>
      </c>
      <c r="F929" s="3">
        <v>1440</v>
      </c>
      <c r="G929" s="2" t="s">
        <v>11</v>
      </c>
      <c r="H929" s="2" t="s">
        <v>1326</v>
      </c>
      <c r="I929" s="2" t="s">
        <v>17</v>
      </c>
    </row>
    <row r="930" spans="1:9" ht="16" x14ac:dyDescent="0.8">
      <c r="A930" s="2" t="s">
        <v>1328</v>
      </c>
      <c r="B930" s="2" t="s">
        <v>1024</v>
      </c>
      <c r="C930" s="2" t="s">
        <v>1025</v>
      </c>
      <c r="D930" s="2" t="s">
        <v>1025</v>
      </c>
      <c r="E930" s="3">
        <v>1152</v>
      </c>
      <c r="F930" s="3">
        <v>1152</v>
      </c>
      <c r="G930" s="2" t="s">
        <v>11</v>
      </c>
      <c r="H930" s="2" t="s">
        <v>1326</v>
      </c>
      <c r="I930" s="2" t="s">
        <v>17</v>
      </c>
    </row>
    <row r="931" spans="1:9" ht="16" x14ac:dyDescent="0.8">
      <c r="A931" s="2" t="s">
        <v>1328</v>
      </c>
      <c r="B931" s="2" t="s">
        <v>1026</v>
      </c>
      <c r="C931" s="2" t="s">
        <v>1027</v>
      </c>
      <c r="D931" s="2" t="s">
        <v>1027</v>
      </c>
      <c r="E931" s="3">
        <v>1200</v>
      </c>
      <c r="F931" s="3">
        <v>0</v>
      </c>
      <c r="G931" s="2" t="s">
        <v>11</v>
      </c>
      <c r="H931" s="2" t="s">
        <v>1326</v>
      </c>
      <c r="I931" s="2" t="s">
        <v>17</v>
      </c>
    </row>
    <row r="932" spans="1:9" ht="16" x14ac:dyDescent="0.8">
      <c r="A932" s="2" t="s">
        <v>1328</v>
      </c>
      <c r="B932" s="2" t="s">
        <v>1028</v>
      </c>
      <c r="C932" s="2" t="s">
        <v>1029</v>
      </c>
      <c r="D932" s="2" t="s">
        <v>1029</v>
      </c>
      <c r="E932" s="3">
        <v>960</v>
      </c>
      <c r="F932" s="3">
        <v>960</v>
      </c>
      <c r="G932" s="2" t="s">
        <v>11</v>
      </c>
      <c r="H932" s="2" t="s">
        <v>1326</v>
      </c>
      <c r="I932" s="2" t="s">
        <v>17</v>
      </c>
    </row>
    <row r="933" spans="1:9" ht="16" x14ac:dyDescent="0.8">
      <c r="A933" s="2" t="s">
        <v>1329</v>
      </c>
      <c r="B933" s="2" t="s">
        <v>1020</v>
      </c>
      <c r="C933" s="2" t="s">
        <v>1021</v>
      </c>
      <c r="D933" s="2" t="s">
        <v>1021</v>
      </c>
      <c r="E933" s="3">
        <v>7560</v>
      </c>
      <c r="F933" s="3">
        <v>7560</v>
      </c>
      <c r="G933" s="2" t="s">
        <v>11</v>
      </c>
      <c r="H933" s="2" t="s">
        <v>1326</v>
      </c>
      <c r="I933" s="2" t="s">
        <v>17</v>
      </c>
    </row>
    <row r="934" spans="1:9" ht="16" x14ac:dyDescent="0.8">
      <c r="A934" s="2" t="s">
        <v>1329</v>
      </c>
      <c r="B934" s="2" t="s">
        <v>1022</v>
      </c>
      <c r="C934" s="2" t="s">
        <v>1023</v>
      </c>
      <c r="D934" s="2" t="s">
        <v>1023</v>
      </c>
      <c r="E934" s="3">
        <v>2016</v>
      </c>
      <c r="F934" s="3">
        <v>2400</v>
      </c>
      <c r="G934" s="2" t="s">
        <v>11</v>
      </c>
      <c r="H934" s="2" t="s">
        <v>1326</v>
      </c>
      <c r="I934" s="2" t="s">
        <v>17</v>
      </c>
    </row>
    <row r="935" spans="1:9" ht="16" x14ac:dyDescent="0.8">
      <c r="A935" s="2" t="s">
        <v>1329</v>
      </c>
      <c r="B935" s="2" t="s">
        <v>1024</v>
      </c>
      <c r="C935" s="2" t="s">
        <v>1025</v>
      </c>
      <c r="D935" s="2" t="s">
        <v>1025</v>
      </c>
      <c r="E935" s="3">
        <v>3024</v>
      </c>
      <c r="F935" s="3">
        <v>3024</v>
      </c>
      <c r="G935" s="2" t="s">
        <v>11</v>
      </c>
      <c r="H935" s="2" t="s">
        <v>1326</v>
      </c>
      <c r="I935" s="2" t="s">
        <v>17</v>
      </c>
    </row>
    <row r="936" spans="1:9" ht="16" x14ac:dyDescent="0.8">
      <c r="A936" s="2" t="s">
        <v>1329</v>
      </c>
      <c r="B936" s="2" t="s">
        <v>1026</v>
      </c>
      <c r="C936" s="2" t="s">
        <v>1027</v>
      </c>
      <c r="D936" s="2" t="s">
        <v>1027</v>
      </c>
      <c r="E936" s="3">
        <v>2880</v>
      </c>
      <c r="F936" s="3">
        <v>720</v>
      </c>
      <c r="G936" s="2" t="s">
        <v>11</v>
      </c>
      <c r="H936" s="2" t="s">
        <v>1326</v>
      </c>
      <c r="I936" s="2" t="s">
        <v>17</v>
      </c>
    </row>
    <row r="937" spans="1:9" ht="16" x14ac:dyDescent="0.8">
      <c r="A937" s="2" t="s">
        <v>1329</v>
      </c>
      <c r="B937" s="2" t="s">
        <v>1028</v>
      </c>
      <c r="C937" s="2" t="s">
        <v>1029</v>
      </c>
      <c r="D937" s="2" t="s">
        <v>1029</v>
      </c>
      <c r="E937" s="3">
        <v>1920</v>
      </c>
      <c r="F937" s="3">
        <v>1920</v>
      </c>
      <c r="G937" s="2" t="s">
        <v>11</v>
      </c>
      <c r="H937" s="2" t="s">
        <v>1326</v>
      </c>
      <c r="I937" s="2" t="s">
        <v>17</v>
      </c>
    </row>
    <row r="938" spans="1:9" ht="16" x14ac:dyDescent="0.8">
      <c r="A938" s="2" t="s">
        <v>1330</v>
      </c>
      <c r="B938" s="2" t="s">
        <v>1022</v>
      </c>
      <c r="C938" s="2" t="s">
        <v>1023</v>
      </c>
      <c r="D938" s="2" t="s">
        <v>1023</v>
      </c>
      <c r="E938" s="3">
        <v>2976</v>
      </c>
      <c r="F938" s="3">
        <v>864</v>
      </c>
      <c r="G938" s="2" t="s">
        <v>11</v>
      </c>
      <c r="H938" s="2" t="s">
        <v>1326</v>
      </c>
      <c r="I938" s="2" t="s">
        <v>17</v>
      </c>
    </row>
    <row r="939" spans="1:9" ht="16" x14ac:dyDescent="0.8">
      <c r="A939" s="2" t="s">
        <v>1330</v>
      </c>
      <c r="B939" s="2" t="s">
        <v>1026</v>
      </c>
      <c r="C939" s="2" t="s">
        <v>1027</v>
      </c>
      <c r="D939" s="2" t="s">
        <v>1027</v>
      </c>
      <c r="E939" s="3">
        <v>2400</v>
      </c>
      <c r="F939" s="3">
        <v>0</v>
      </c>
      <c r="G939" s="2" t="s">
        <v>11</v>
      </c>
      <c r="H939" s="2" t="s">
        <v>1326</v>
      </c>
      <c r="I939" s="2" t="s">
        <v>17</v>
      </c>
    </row>
    <row r="940" spans="1:9" ht="16" x14ac:dyDescent="0.8">
      <c r="A940" s="2" t="s">
        <v>1330</v>
      </c>
      <c r="B940" s="2" t="s">
        <v>1028</v>
      </c>
      <c r="C940" s="2" t="s">
        <v>1029</v>
      </c>
      <c r="D940" s="2" t="s">
        <v>1029</v>
      </c>
      <c r="E940" s="3">
        <v>2880</v>
      </c>
      <c r="F940" s="3">
        <v>2880</v>
      </c>
      <c r="G940" s="2" t="s">
        <v>11</v>
      </c>
      <c r="H940" s="2" t="s">
        <v>1326</v>
      </c>
      <c r="I940" s="2" t="s">
        <v>17</v>
      </c>
    </row>
    <row r="941" spans="1:9" ht="16" x14ac:dyDescent="0.8">
      <c r="A941" s="2" t="s">
        <v>1331</v>
      </c>
      <c r="B941" s="2" t="s">
        <v>1332</v>
      </c>
      <c r="C941" s="2" t="s">
        <v>1333</v>
      </c>
      <c r="D941" s="2" t="s">
        <v>1333</v>
      </c>
      <c r="E941" s="3">
        <v>46992</v>
      </c>
      <c r="F941" s="3">
        <v>0</v>
      </c>
      <c r="G941" s="2" t="s">
        <v>11</v>
      </c>
      <c r="H941" s="2" t="s">
        <v>1307</v>
      </c>
      <c r="I941" s="2" t="s">
        <v>238</v>
      </c>
    </row>
    <row r="942" spans="1:9" ht="16" x14ac:dyDescent="0.8">
      <c r="A942" s="2" t="s">
        <v>1331</v>
      </c>
      <c r="B942" s="2" t="s">
        <v>1334</v>
      </c>
      <c r="C942" s="2" t="s">
        <v>1335</v>
      </c>
      <c r="D942" s="2" t="s">
        <v>1335</v>
      </c>
      <c r="E942" s="3">
        <v>46740</v>
      </c>
      <c r="F942" s="3">
        <v>0</v>
      </c>
      <c r="G942" s="2" t="s">
        <v>11</v>
      </c>
      <c r="H942" s="2" t="s">
        <v>1307</v>
      </c>
      <c r="I942" s="2" t="s">
        <v>238</v>
      </c>
    </row>
    <row r="943" spans="1:9" ht="16" x14ac:dyDescent="0.8">
      <c r="A943" s="2" t="s">
        <v>1331</v>
      </c>
      <c r="B943" s="2" t="s">
        <v>1336</v>
      </c>
      <c r="C943" s="2" t="s">
        <v>1337</v>
      </c>
      <c r="D943" s="2" t="s">
        <v>1337</v>
      </c>
      <c r="E943" s="3">
        <v>53664</v>
      </c>
      <c r="F943" s="3">
        <v>0</v>
      </c>
      <c r="G943" s="2" t="s">
        <v>11</v>
      </c>
      <c r="H943" s="2" t="s">
        <v>1307</v>
      </c>
      <c r="I943" s="2" t="s">
        <v>238</v>
      </c>
    </row>
    <row r="944" spans="1:9" ht="16" x14ac:dyDescent="0.8">
      <c r="A944" s="2" t="s">
        <v>1331</v>
      </c>
      <c r="B944" s="2" t="s">
        <v>1338</v>
      </c>
      <c r="C944" s="2" t="s">
        <v>1339</v>
      </c>
      <c r="D944" s="2" t="s">
        <v>1339</v>
      </c>
      <c r="E944" s="3">
        <v>44880</v>
      </c>
      <c r="F944" s="3">
        <v>0</v>
      </c>
      <c r="G944" s="2" t="s">
        <v>11</v>
      </c>
      <c r="H944" s="2" t="s">
        <v>1307</v>
      </c>
      <c r="I944" s="2" t="s">
        <v>238</v>
      </c>
    </row>
    <row r="945" spans="1:9" ht="16" x14ac:dyDescent="0.8">
      <c r="A945" s="2" t="s">
        <v>1331</v>
      </c>
      <c r="B945" s="2" t="s">
        <v>1340</v>
      </c>
      <c r="C945" s="2" t="s">
        <v>1341</v>
      </c>
      <c r="D945" s="2" t="s">
        <v>1341</v>
      </c>
      <c r="E945" s="3">
        <v>38208</v>
      </c>
      <c r="F945" s="3">
        <v>0</v>
      </c>
      <c r="G945" s="2" t="s">
        <v>11</v>
      </c>
      <c r="H945" s="2" t="s">
        <v>1307</v>
      </c>
      <c r="I945" s="2" t="s">
        <v>238</v>
      </c>
    </row>
    <row r="946" spans="1:9" ht="16" x14ac:dyDescent="0.8">
      <c r="A946" s="2" t="s">
        <v>1331</v>
      </c>
      <c r="B946" s="2" t="s">
        <v>1342</v>
      </c>
      <c r="C946" s="2" t="s">
        <v>1343</v>
      </c>
      <c r="D946" s="2" t="s">
        <v>1343</v>
      </c>
      <c r="E946" s="3">
        <v>40000</v>
      </c>
      <c r="F946" s="3">
        <v>0</v>
      </c>
      <c r="G946" s="2" t="s">
        <v>11</v>
      </c>
      <c r="H946" s="2" t="s">
        <v>1307</v>
      </c>
      <c r="I946" s="2" t="s">
        <v>238</v>
      </c>
    </row>
    <row r="947" spans="1:9" ht="16" x14ac:dyDescent="0.8">
      <c r="A947" s="2" t="s">
        <v>1331</v>
      </c>
      <c r="B947" s="2" t="s">
        <v>1344</v>
      </c>
      <c r="C947" s="2" t="s">
        <v>1345</v>
      </c>
      <c r="D947" s="2" t="s">
        <v>1345</v>
      </c>
      <c r="E947" s="3">
        <v>62976</v>
      </c>
      <c r="F947" s="3">
        <v>0</v>
      </c>
      <c r="G947" s="2" t="s">
        <v>11</v>
      </c>
      <c r="H947" s="2" t="s">
        <v>1307</v>
      </c>
      <c r="I947" s="2" t="s">
        <v>238</v>
      </c>
    </row>
    <row r="948" spans="1:9" ht="16" x14ac:dyDescent="0.8">
      <c r="A948" s="2" t="s">
        <v>1331</v>
      </c>
      <c r="B948" s="2" t="s">
        <v>1346</v>
      </c>
      <c r="C948" s="2" t="s">
        <v>1347</v>
      </c>
      <c r="D948" s="2" t="s">
        <v>1347</v>
      </c>
      <c r="E948" s="3">
        <v>80768</v>
      </c>
      <c r="F948" s="3">
        <v>0</v>
      </c>
      <c r="G948" s="2" t="s">
        <v>11</v>
      </c>
      <c r="H948" s="2" t="s">
        <v>1307</v>
      </c>
      <c r="I948" s="2" t="s">
        <v>238</v>
      </c>
    </row>
    <row r="949" spans="1:9" ht="16" x14ac:dyDescent="0.8">
      <c r="A949" s="2" t="s">
        <v>1331</v>
      </c>
      <c r="B949" s="2" t="s">
        <v>1348</v>
      </c>
      <c r="C949" s="2" t="s">
        <v>1349</v>
      </c>
      <c r="D949" s="2" t="s">
        <v>1349</v>
      </c>
      <c r="E949" s="3">
        <v>75600</v>
      </c>
      <c r="F949" s="3">
        <v>0</v>
      </c>
      <c r="G949" s="2" t="s">
        <v>11</v>
      </c>
      <c r="H949" s="2" t="s">
        <v>1307</v>
      </c>
      <c r="I949" s="2" t="s">
        <v>238</v>
      </c>
    </row>
    <row r="950" spans="1:9" ht="16" x14ac:dyDescent="0.8">
      <c r="A950" s="2" t="s">
        <v>1350</v>
      </c>
      <c r="B950" s="2" t="s">
        <v>1351</v>
      </c>
      <c r="C950" s="2" t="s">
        <v>1352</v>
      </c>
      <c r="D950" s="2" t="s">
        <v>1352</v>
      </c>
      <c r="E950" s="3">
        <v>6192</v>
      </c>
      <c r="F950" s="3">
        <v>6192</v>
      </c>
      <c r="G950" s="2" t="s">
        <v>11</v>
      </c>
      <c r="H950" s="2" t="s">
        <v>1307</v>
      </c>
      <c r="I950" s="2" t="s">
        <v>1353</v>
      </c>
    </row>
    <row r="951" spans="1:9" ht="16" x14ac:dyDescent="0.8">
      <c r="A951" s="2" t="s">
        <v>1350</v>
      </c>
      <c r="B951" s="2" t="s">
        <v>1354</v>
      </c>
      <c r="C951" s="2" t="s">
        <v>1355</v>
      </c>
      <c r="D951" s="2" t="s">
        <v>1355</v>
      </c>
      <c r="E951" s="3">
        <v>8256</v>
      </c>
      <c r="F951" s="3">
        <v>8256</v>
      </c>
      <c r="G951" s="2" t="s">
        <v>11</v>
      </c>
      <c r="H951" s="2" t="s">
        <v>1307</v>
      </c>
      <c r="I951" s="2" t="s">
        <v>1353</v>
      </c>
    </row>
    <row r="952" spans="1:9" ht="16" x14ac:dyDescent="0.8">
      <c r="A952" s="2" t="s">
        <v>1356</v>
      </c>
      <c r="B952" s="2" t="s">
        <v>1351</v>
      </c>
      <c r="C952" s="2" t="s">
        <v>1352</v>
      </c>
      <c r="D952" s="2" t="s">
        <v>1352</v>
      </c>
      <c r="E952" s="3">
        <v>4752</v>
      </c>
      <c r="F952" s="3">
        <v>4752</v>
      </c>
      <c r="G952" s="2" t="s">
        <v>11</v>
      </c>
      <c r="H952" s="2" t="s">
        <v>1307</v>
      </c>
      <c r="I952" s="2" t="s">
        <v>1353</v>
      </c>
    </row>
    <row r="953" spans="1:9" ht="16" x14ac:dyDescent="0.8">
      <c r="A953" s="2" t="s">
        <v>1356</v>
      </c>
      <c r="B953" s="2" t="s">
        <v>1354</v>
      </c>
      <c r="C953" s="2" t="s">
        <v>1355</v>
      </c>
      <c r="D953" s="2" t="s">
        <v>1355</v>
      </c>
      <c r="E953" s="3">
        <v>5040</v>
      </c>
      <c r="F953" s="3">
        <v>5040</v>
      </c>
      <c r="G953" s="2" t="s">
        <v>11</v>
      </c>
      <c r="H953" s="2" t="s">
        <v>1307</v>
      </c>
      <c r="I953" s="2" t="s">
        <v>1353</v>
      </c>
    </row>
    <row r="954" spans="1:9" ht="16" x14ac:dyDescent="0.8">
      <c r="A954" s="2" t="s">
        <v>1357</v>
      </c>
      <c r="B954" s="2" t="s">
        <v>1123</v>
      </c>
      <c r="C954" s="2" t="s">
        <v>1124</v>
      </c>
      <c r="D954" s="2" t="s">
        <v>1124</v>
      </c>
      <c r="E954" s="3">
        <v>13440</v>
      </c>
      <c r="F954" s="3">
        <v>13440</v>
      </c>
      <c r="G954" s="2" t="s">
        <v>11</v>
      </c>
      <c r="H954" s="2" t="s">
        <v>1358</v>
      </c>
      <c r="I954" s="2" t="s">
        <v>1125</v>
      </c>
    </row>
    <row r="955" spans="1:9" ht="16" x14ac:dyDescent="0.8">
      <c r="A955" s="2" t="s">
        <v>1357</v>
      </c>
      <c r="B955" s="2" t="s">
        <v>1126</v>
      </c>
      <c r="C955" s="2" t="s">
        <v>1127</v>
      </c>
      <c r="D955" s="2" t="s">
        <v>1127</v>
      </c>
      <c r="E955" s="3">
        <v>34560</v>
      </c>
      <c r="F955" s="3">
        <v>34560</v>
      </c>
      <c r="G955" s="2" t="s">
        <v>11</v>
      </c>
      <c r="H955" s="2" t="s">
        <v>1358</v>
      </c>
      <c r="I955" s="2" t="s">
        <v>1125</v>
      </c>
    </row>
    <row r="956" spans="1:9" ht="16" x14ac:dyDescent="0.8">
      <c r="A956" s="2" t="s">
        <v>1359</v>
      </c>
      <c r="B956" s="2" t="s">
        <v>792</v>
      </c>
      <c r="C956" s="2" t="s">
        <v>793</v>
      </c>
      <c r="D956" s="2" t="s">
        <v>793</v>
      </c>
      <c r="E956" s="3">
        <v>768</v>
      </c>
      <c r="F956" s="3">
        <v>768</v>
      </c>
      <c r="G956" s="2" t="s">
        <v>11</v>
      </c>
      <c r="H956" s="2" t="s">
        <v>1360</v>
      </c>
      <c r="I956" s="2" t="s">
        <v>794</v>
      </c>
    </row>
    <row r="957" spans="1:9" ht="16" x14ac:dyDescent="0.8">
      <c r="A957" s="2" t="s">
        <v>1361</v>
      </c>
      <c r="B957" s="2" t="s">
        <v>1362</v>
      </c>
      <c r="C957" s="2" t="s">
        <v>1362</v>
      </c>
      <c r="D957" s="2" t="s">
        <v>1362</v>
      </c>
      <c r="E957" s="3">
        <v>8500</v>
      </c>
      <c r="F957" s="3">
        <v>8500</v>
      </c>
      <c r="G957" s="2" t="s">
        <v>11</v>
      </c>
      <c r="H957" s="2" t="s">
        <v>1360</v>
      </c>
      <c r="I957" s="2" t="s">
        <v>238</v>
      </c>
    </row>
    <row r="958" spans="1:9" ht="16" x14ac:dyDescent="0.8">
      <c r="A958" s="2" t="s">
        <v>1361</v>
      </c>
      <c r="B958" s="2" t="s">
        <v>1363</v>
      </c>
      <c r="C958" s="2" t="s">
        <v>1363</v>
      </c>
      <c r="D958" s="2" t="s">
        <v>1363</v>
      </c>
      <c r="E958" s="3">
        <v>8500</v>
      </c>
      <c r="F958" s="3">
        <v>8500</v>
      </c>
      <c r="G958" s="2" t="s">
        <v>11</v>
      </c>
      <c r="H958" s="2" t="s">
        <v>1360</v>
      </c>
      <c r="I958" s="2" t="s">
        <v>238</v>
      </c>
    </row>
    <row r="959" spans="1:9" ht="16" x14ac:dyDescent="0.8">
      <c r="A959" s="2" t="s">
        <v>1361</v>
      </c>
      <c r="B959" s="2" t="s">
        <v>1364</v>
      </c>
      <c r="C959" s="2" t="s">
        <v>1364</v>
      </c>
      <c r="D959" s="2" t="s">
        <v>1364</v>
      </c>
      <c r="E959" s="3">
        <v>1000</v>
      </c>
      <c r="F959" s="3">
        <v>1000</v>
      </c>
      <c r="G959" s="2" t="s">
        <v>11</v>
      </c>
      <c r="H959" s="2" t="s">
        <v>1360</v>
      </c>
      <c r="I959" s="2" t="s">
        <v>238</v>
      </c>
    </row>
    <row r="960" spans="1:9" ht="16" x14ac:dyDescent="0.8">
      <c r="A960" s="2" t="s">
        <v>1361</v>
      </c>
      <c r="B960" s="2" t="s">
        <v>1365</v>
      </c>
      <c r="C960" s="2" t="s">
        <v>1365</v>
      </c>
      <c r="D960" s="2" t="s">
        <v>1365</v>
      </c>
      <c r="E960" s="3">
        <v>3500</v>
      </c>
      <c r="F960" s="3">
        <v>3500</v>
      </c>
      <c r="G960" s="2" t="s">
        <v>11</v>
      </c>
      <c r="H960" s="2" t="s">
        <v>1360</v>
      </c>
      <c r="I960" s="2" t="s">
        <v>238</v>
      </c>
    </row>
    <row r="961" spans="1:9" ht="16" x14ac:dyDescent="0.8">
      <c r="A961" s="2" t="s">
        <v>1361</v>
      </c>
      <c r="B961" s="2" t="s">
        <v>1366</v>
      </c>
      <c r="C961" s="2" t="s">
        <v>1366</v>
      </c>
      <c r="D961" s="2" t="s">
        <v>1366</v>
      </c>
      <c r="E961" s="3">
        <v>3500</v>
      </c>
      <c r="F961" s="3">
        <v>3500</v>
      </c>
      <c r="G961" s="2" t="s">
        <v>11</v>
      </c>
      <c r="H961" s="2" t="s">
        <v>1360</v>
      </c>
      <c r="I961" s="2" t="s">
        <v>238</v>
      </c>
    </row>
    <row r="962" spans="1:9" ht="16" x14ac:dyDescent="0.8">
      <c r="A962" s="2" t="s">
        <v>1361</v>
      </c>
      <c r="B962" s="2" t="s">
        <v>1367</v>
      </c>
      <c r="C962" s="2" t="s">
        <v>1367</v>
      </c>
      <c r="D962" s="2" t="s">
        <v>1367</v>
      </c>
      <c r="E962" s="3">
        <v>5000</v>
      </c>
      <c r="F962" s="3">
        <v>5000</v>
      </c>
      <c r="G962" s="2" t="s">
        <v>11</v>
      </c>
      <c r="H962" s="2" t="s">
        <v>1360</v>
      </c>
      <c r="I962" s="2" t="s">
        <v>238</v>
      </c>
    </row>
    <row r="963" spans="1:9" ht="16" x14ac:dyDescent="0.8">
      <c r="A963" s="2" t="s">
        <v>1361</v>
      </c>
      <c r="B963" s="2" t="s">
        <v>1368</v>
      </c>
      <c r="C963" s="2" t="s">
        <v>1368</v>
      </c>
      <c r="D963" s="2" t="s">
        <v>1368</v>
      </c>
      <c r="E963" s="3">
        <v>5000</v>
      </c>
      <c r="F963" s="3">
        <v>5000</v>
      </c>
      <c r="G963" s="2" t="s">
        <v>11</v>
      </c>
      <c r="H963" s="2" t="s">
        <v>1360</v>
      </c>
      <c r="I963" s="2" t="s">
        <v>238</v>
      </c>
    </row>
    <row r="964" spans="1:9" ht="16" x14ac:dyDescent="0.8">
      <c r="A964" s="2" t="s">
        <v>1370</v>
      </c>
      <c r="B964" s="2" t="s">
        <v>970</v>
      </c>
      <c r="C964" s="2" t="s">
        <v>971</v>
      </c>
      <c r="D964" s="2" t="s">
        <v>971</v>
      </c>
      <c r="E964" s="3">
        <v>82344</v>
      </c>
      <c r="F964" s="3">
        <v>82344</v>
      </c>
      <c r="G964" s="2" t="s">
        <v>11</v>
      </c>
      <c r="H964" s="2" t="s">
        <v>1371</v>
      </c>
      <c r="I964" s="2" t="s">
        <v>262</v>
      </c>
    </row>
    <row r="965" spans="1:9" ht="16" x14ac:dyDescent="0.8">
      <c r="A965" s="2" t="s">
        <v>1370</v>
      </c>
      <c r="B965" s="2" t="s">
        <v>972</v>
      </c>
      <c r="C965" s="2" t="s">
        <v>973</v>
      </c>
      <c r="D965" s="2" t="s">
        <v>973</v>
      </c>
      <c r="E965" s="3">
        <v>143118</v>
      </c>
      <c r="F965" s="3">
        <v>143118</v>
      </c>
      <c r="G965" s="2" t="s">
        <v>11</v>
      </c>
      <c r="H965" s="2" t="s">
        <v>1371</v>
      </c>
      <c r="I965" s="2" t="s">
        <v>262</v>
      </c>
    </row>
    <row r="966" spans="1:9" ht="16" x14ac:dyDescent="0.8">
      <c r="A966" s="2" t="s">
        <v>1370</v>
      </c>
      <c r="B966" s="2" t="s">
        <v>974</v>
      </c>
      <c r="C966" s="2" t="s">
        <v>975</v>
      </c>
      <c r="D966" s="2" t="s">
        <v>975</v>
      </c>
      <c r="E966" s="3">
        <v>88722</v>
      </c>
      <c r="F966" s="3">
        <v>88722</v>
      </c>
      <c r="G966" s="2" t="s">
        <v>11</v>
      </c>
      <c r="H966" s="2" t="s">
        <v>1371</v>
      </c>
      <c r="I966" s="2" t="s">
        <v>262</v>
      </c>
    </row>
    <row r="967" spans="1:9" ht="16" x14ac:dyDescent="0.8">
      <c r="A967" s="2" t="s">
        <v>1372</v>
      </c>
      <c r="B967" s="2" t="s">
        <v>977</v>
      </c>
      <c r="C967" s="2" t="s">
        <v>978</v>
      </c>
      <c r="D967" s="2" t="s">
        <v>978</v>
      </c>
      <c r="E967" s="3">
        <v>133008</v>
      </c>
      <c r="F967" s="3">
        <v>133008</v>
      </c>
      <c r="G967" s="2" t="s">
        <v>11</v>
      </c>
      <c r="H967" s="2" t="s">
        <v>1371</v>
      </c>
      <c r="I967" s="2" t="s">
        <v>407</v>
      </c>
    </row>
    <row r="968" spans="1:9" ht="16" x14ac:dyDescent="0.8">
      <c r="A968" s="2" t="s">
        <v>1373</v>
      </c>
      <c r="B968" s="2" t="s">
        <v>980</v>
      </c>
      <c r="C968" s="2" t="s">
        <v>981</v>
      </c>
      <c r="D968" s="2" t="s">
        <v>981</v>
      </c>
      <c r="E968" s="3">
        <v>27648</v>
      </c>
      <c r="F968" s="3">
        <v>27648</v>
      </c>
      <c r="G968" s="2" t="s">
        <v>11</v>
      </c>
      <c r="H968" s="2" t="s">
        <v>1371</v>
      </c>
      <c r="I968" s="2" t="s">
        <v>23</v>
      </c>
    </row>
    <row r="969" spans="1:9" ht="16" x14ac:dyDescent="0.8">
      <c r="A969" s="2" t="s">
        <v>1373</v>
      </c>
      <c r="B969" s="2" t="s">
        <v>982</v>
      </c>
      <c r="C969" s="2" t="s">
        <v>983</v>
      </c>
      <c r="D969" s="2" t="s">
        <v>983</v>
      </c>
      <c r="E969" s="3">
        <v>27648</v>
      </c>
      <c r="F969" s="3">
        <v>27648</v>
      </c>
      <c r="G969" s="2" t="s">
        <v>11</v>
      </c>
      <c r="H969" s="2" t="s">
        <v>1371</v>
      </c>
      <c r="I969" s="2" t="s">
        <v>23</v>
      </c>
    </row>
    <row r="970" spans="1:9" ht="16" x14ac:dyDescent="0.8">
      <c r="A970" s="2" t="s">
        <v>1374</v>
      </c>
      <c r="B970" s="2" t="s">
        <v>985</v>
      </c>
      <c r="C970" s="2" t="s">
        <v>986</v>
      </c>
      <c r="D970" s="2" t="s">
        <v>986</v>
      </c>
      <c r="E970" s="3">
        <v>84996</v>
      </c>
      <c r="F970" s="3">
        <v>84996</v>
      </c>
      <c r="G970" s="2" t="s">
        <v>11</v>
      </c>
      <c r="H970" s="2" t="s">
        <v>1371</v>
      </c>
      <c r="I970" s="2" t="s">
        <v>412</v>
      </c>
    </row>
    <row r="971" spans="1:9" ht="16" x14ac:dyDescent="0.8">
      <c r="A971" s="2" t="s">
        <v>1375</v>
      </c>
      <c r="B971" s="2" t="s">
        <v>1376</v>
      </c>
      <c r="C971" s="2" t="s">
        <v>1377</v>
      </c>
      <c r="D971" s="2" t="s">
        <v>1377</v>
      </c>
      <c r="E971" s="3">
        <v>11088</v>
      </c>
      <c r="F971" s="3">
        <v>11088</v>
      </c>
      <c r="G971" s="2" t="s">
        <v>11</v>
      </c>
      <c r="H971" s="2" t="s">
        <v>1369</v>
      </c>
      <c r="I971" s="2" t="s">
        <v>256</v>
      </c>
    </row>
    <row r="972" spans="1:9" ht="16" x14ac:dyDescent="0.8">
      <c r="A972" s="2" t="s">
        <v>1378</v>
      </c>
      <c r="B972" s="2" t="s">
        <v>1376</v>
      </c>
      <c r="C972" s="2" t="s">
        <v>1377</v>
      </c>
      <c r="D972" s="2" t="s">
        <v>1377</v>
      </c>
      <c r="E972" s="3">
        <v>11088</v>
      </c>
      <c r="F972" s="3">
        <v>11088</v>
      </c>
      <c r="G972" s="2" t="s">
        <v>11</v>
      </c>
      <c r="H972" s="2" t="s">
        <v>1369</v>
      </c>
      <c r="I972" s="2" t="s">
        <v>256</v>
      </c>
    </row>
    <row r="973" spans="1:9" ht="16" x14ac:dyDescent="0.8">
      <c r="A973" s="2" t="s">
        <v>1379</v>
      </c>
      <c r="B973" s="2" t="s">
        <v>1376</v>
      </c>
      <c r="C973" s="2" t="s">
        <v>1377</v>
      </c>
      <c r="D973" s="2" t="s">
        <v>1377</v>
      </c>
      <c r="E973" s="3">
        <v>11088</v>
      </c>
      <c r="F973" s="3">
        <v>11088</v>
      </c>
      <c r="G973" s="2" t="s">
        <v>11</v>
      </c>
      <c r="H973" s="2" t="s">
        <v>1369</v>
      </c>
      <c r="I973" s="2" t="s">
        <v>256</v>
      </c>
    </row>
    <row r="974" spans="1:9" ht="16" x14ac:dyDescent="0.8">
      <c r="A974" s="2" t="s">
        <v>1380</v>
      </c>
      <c r="B974" s="2" t="s">
        <v>1376</v>
      </c>
      <c r="C974" s="2" t="s">
        <v>1377</v>
      </c>
      <c r="D974" s="2" t="s">
        <v>1377</v>
      </c>
      <c r="E974" s="3">
        <v>11088</v>
      </c>
      <c r="F974" s="3">
        <v>11088</v>
      </c>
      <c r="G974" s="2" t="s">
        <v>11</v>
      </c>
      <c r="H974" s="2" t="s">
        <v>1369</v>
      </c>
      <c r="I974" s="2" t="s">
        <v>256</v>
      </c>
    </row>
    <row r="975" spans="1:9" ht="16" x14ac:dyDescent="0.8">
      <c r="A975" s="2" t="s">
        <v>1381</v>
      </c>
      <c r="B975" s="2" t="s">
        <v>1376</v>
      </c>
      <c r="C975" s="2" t="s">
        <v>1377</v>
      </c>
      <c r="D975" s="2" t="s">
        <v>1377</v>
      </c>
      <c r="E975" s="3">
        <v>11088</v>
      </c>
      <c r="F975" s="3">
        <v>11088</v>
      </c>
      <c r="G975" s="2" t="s">
        <v>11</v>
      </c>
      <c r="H975" s="2" t="s">
        <v>1369</v>
      </c>
      <c r="I975" s="2" t="s">
        <v>256</v>
      </c>
    </row>
    <row r="976" spans="1:9" ht="16" x14ac:dyDescent="0.8">
      <c r="A976" s="2" t="s">
        <v>1382</v>
      </c>
      <c r="B976" s="2" t="s">
        <v>1376</v>
      </c>
      <c r="C976" s="2" t="s">
        <v>1377</v>
      </c>
      <c r="D976" s="2" t="s">
        <v>1377</v>
      </c>
      <c r="E976" s="3">
        <v>256</v>
      </c>
      <c r="F976" s="3">
        <v>258</v>
      </c>
      <c r="G976" s="2" t="s">
        <v>11</v>
      </c>
      <c r="H976" s="2" t="s">
        <v>1369</v>
      </c>
      <c r="I976" s="2" t="s">
        <v>256</v>
      </c>
    </row>
    <row r="977" spans="1:9" ht="16" x14ac:dyDescent="0.8">
      <c r="A977" s="2" t="s">
        <v>1383</v>
      </c>
      <c r="B977" s="2" t="s">
        <v>1384</v>
      </c>
      <c r="C977" s="2" t="s">
        <v>1385</v>
      </c>
      <c r="D977" s="2" t="s">
        <v>1385</v>
      </c>
      <c r="E977" s="3">
        <v>24</v>
      </c>
      <c r="F977" s="3">
        <v>24</v>
      </c>
      <c r="G977" s="2" t="s">
        <v>11</v>
      </c>
      <c r="H977" s="2" t="s">
        <v>1369</v>
      </c>
      <c r="I977" s="2" t="s">
        <v>1386</v>
      </c>
    </row>
    <row r="978" spans="1:9" ht="16" x14ac:dyDescent="0.8">
      <c r="A978" s="2" t="s">
        <v>1383</v>
      </c>
      <c r="B978" s="2" t="s">
        <v>1387</v>
      </c>
      <c r="C978" s="2" t="s">
        <v>1388</v>
      </c>
      <c r="D978" s="2" t="s">
        <v>1388</v>
      </c>
      <c r="E978" s="3">
        <v>24</v>
      </c>
      <c r="F978" s="3">
        <v>24</v>
      </c>
      <c r="G978" s="2" t="s">
        <v>11</v>
      </c>
      <c r="H978" s="2" t="s">
        <v>1369</v>
      </c>
      <c r="I978" s="2" t="s">
        <v>1386</v>
      </c>
    </row>
    <row r="979" spans="1:9" ht="16" x14ac:dyDescent="0.8">
      <c r="A979" s="2" t="s">
        <v>1383</v>
      </c>
      <c r="B979" s="2" t="s">
        <v>1389</v>
      </c>
      <c r="C979" s="2" t="s">
        <v>1390</v>
      </c>
      <c r="D979" s="2" t="s">
        <v>1390</v>
      </c>
      <c r="E979" s="3">
        <v>24</v>
      </c>
      <c r="F979" s="3">
        <v>24</v>
      </c>
      <c r="G979" s="2" t="s">
        <v>11</v>
      </c>
      <c r="H979" s="2" t="s">
        <v>1369</v>
      </c>
      <c r="I979" s="2" t="s">
        <v>1386</v>
      </c>
    </row>
    <row r="980" spans="1:9" ht="16" x14ac:dyDescent="0.8">
      <c r="A980" s="2" t="s">
        <v>1383</v>
      </c>
      <c r="B980" s="2" t="s">
        <v>1391</v>
      </c>
      <c r="C980" s="2" t="s">
        <v>1392</v>
      </c>
      <c r="D980" s="2" t="s">
        <v>1392</v>
      </c>
      <c r="E980" s="3">
        <v>24</v>
      </c>
      <c r="F980" s="3">
        <v>24</v>
      </c>
      <c r="G980" s="2" t="s">
        <v>11</v>
      </c>
      <c r="H980" s="2" t="s">
        <v>1369</v>
      </c>
      <c r="I980" s="2" t="s">
        <v>1386</v>
      </c>
    </row>
    <row r="981" spans="1:9" ht="16" x14ac:dyDescent="0.8">
      <c r="A981" s="2" t="s">
        <v>1383</v>
      </c>
      <c r="B981" s="2" t="s">
        <v>1393</v>
      </c>
      <c r="C981" s="2" t="s">
        <v>1394</v>
      </c>
      <c r="D981" s="2" t="s">
        <v>1394</v>
      </c>
      <c r="E981" s="3">
        <v>24</v>
      </c>
      <c r="F981" s="3">
        <v>24</v>
      </c>
      <c r="G981" s="2" t="s">
        <v>11</v>
      </c>
      <c r="H981" s="2" t="s">
        <v>1369</v>
      </c>
      <c r="I981" s="2" t="s">
        <v>1386</v>
      </c>
    </row>
    <row r="982" spans="1:9" ht="16" x14ac:dyDescent="0.8">
      <c r="A982" s="2" t="s">
        <v>1383</v>
      </c>
      <c r="B982" s="2" t="s">
        <v>1395</v>
      </c>
      <c r="C982" s="2" t="s">
        <v>1396</v>
      </c>
      <c r="D982" s="2" t="s">
        <v>1396</v>
      </c>
      <c r="E982" s="3">
        <v>24</v>
      </c>
      <c r="F982" s="3">
        <v>24</v>
      </c>
      <c r="G982" s="2" t="s">
        <v>11</v>
      </c>
      <c r="H982" s="2" t="s">
        <v>1369</v>
      </c>
      <c r="I982" s="2" t="s">
        <v>1386</v>
      </c>
    </row>
    <row r="983" spans="1:9" ht="16" x14ac:dyDescent="0.8">
      <c r="A983" s="2" t="s">
        <v>1383</v>
      </c>
      <c r="B983" s="2" t="s">
        <v>1397</v>
      </c>
      <c r="C983" s="2" t="s">
        <v>1398</v>
      </c>
      <c r="D983" s="2" t="s">
        <v>1398</v>
      </c>
      <c r="E983" s="3">
        <v>12</v>
      </c>
      <c r="F983" s="3">
        <v>12</v>
      </c>
      <c r="G983" s="2" t="s">
        <v>11</v>
      </c>
      <c r="H983" s="2" t="s">
        <v>1369</v>
      </c>
      <c r="I983" s="2" t="s">
        <v>1386</v>
      </c>
    </row>
    <row r="984" spans="1:9" ht="16" x14ac:dyDescent="0.8">
      <c r="A984" s="2" t="s">
        <v>1383</v>
      </c>
      <c r="B984" s="2" t="s">
        <v>1399</v>
      </c>
      <c r="C984" s="2" t="s">
        <v>1400</v>
      </c>
      <c r="D984" s="2" t="s">
        <v>1400</v>
      </c>
      <c r="E984" s="3">
        <v>12</v>
      </c>
      <c r="F984" s="3">
        <v>12</v>
      </c>
      <c r="G984" s="2" t="s">
        <v>11</v>
      </c>
      <c r="H984" s="2" t="s">
        <v>1369</v>
      </c>
      <c r="I984" s="2" t="s">
        <v>1386</v>
      </c>
    </row>
    <row r="985" spans="1:9" ht="16" x14ac:dyDescent="0.8">
      <c r="A985" s="2" t="s">
        <v>1383</v>
      </c>
      <c r="B985" s="2" t="s">
        <v>1401</v>
      </c>
      <c r="C985" s="2" t="s">
        <v>1402</v>
      </c>
      <c r="D985" s="2" t="s">
        <v>1402</v>
      </c>
      <c r="E985" s="3">
        <v>12</v>
      </c>
      <c r="F985" s="3">
        <v>12</v>
      </c>
      <c r="G985" s="2" t="s">
        <v>11</v>
      </c>
      <c r="H985" s="2" t="s">
        <v>1369</v>
      </c>
      <c r="I985" s="2" t="s">
        <v>1386</v>
      </c>
    </row>
    <row r="986" spans="1:9" ht="16" x14ac:dyDescent="0.8">
      <c r="A986" s="2" t="s">
        <v>1383</v>
      </c>
      <c r="B986" s="2" t="s">
        <v>1403</v>
      </c>
      <c r="C986" s="2" t="s">
        <v>1404</v>
      </c>
      <c r="D986" s="2" t="s">
        <v>1404</v>
      </c>
      <c r="E986" s="3">
        <v>12</v>
      </c>
      <c r="F986" s="3">
        <v>12</v>
      </c>
      <c r="G986" s="2" t="s">
        <v>11</v>
      </c>
      <c r="H986" s="2" t="s">
        <v>1369</v>
      </c>
      <c r="I986" s="2" t="s">
        <v>1386</v>
      </c>
    </row>
    <row r="987" spans="1:9" ht="16" x14ac:dyDescent="0.8">
      <c r="A987" s="2" t="s">
        <v>1383</v>
      </c>
      <c r="B987" s="2" t="s">
        <v>1405</v>
      </c>
      <c r="C987" s="2" t="s">
        <v>1406</v>
      </c>
      <c r="D987" s="2" t="s">
        <v>1406</v>
      </c>
      <c r="E987" s="3">
        <v>12</v>
      </c>
      <c r="F987" s="3">
        <v>12</v>
      </c>
      <c r="G987" s="2" t="s">
        <v>11</v>
      </c>
      <c r="H987" s="2" t="s">
        <v>1369</v>
      </c>
      <c r="I987" s="2" t="s">
        <v>1386</v>
      </c>
    </row>
    <row r="988" spans="1:9" ht="16" x14ac:dyDescent="0.8">
      <c r="A988" s="2" t="s">
        <v>1407</v>
      </c>
      <c r="B988" s="2" t="s">
        <v>1351</v>
      </c>
      <c r="C988" s="2" t="s">
        <v>1352</v>
      </c>
      <c r="D988" s="2" t="s">
        <v>1352</v>
      </c>
      <c r="E988" s="3">
        <v>12096</v>
      </c>
      <c r="F988" s="3">
        <v>12096</v>
      </c>
      <c r="G988" s="2" t="s">
        <v>11</v>
      </c>
      <c r="H988" s="2" t="s">
        <v>1408</v>
      </c>
      <c r="I988" s="2" t="s">
        <v>1353</v>
      </c>
    </row>
    <row r="989" spans="1:9" ht="16" x14ac:dyDescent="0.8">
      <c r="A989" s="2" t="s">
        <v>1407</v>
      </c>
      <c r="B989" s="2" t="s">
        <v>1354</v>
      </c>
      <c r="C989" s="2" t="s">
        <v>1355</v>
      </c>
      <c r="D989" s="2" t="s">
        <v>1355</v>
      </c>
      <c r="E989" s="3">
        <v>16128</v>
      </c>
      <c r="F989" s="3">
        <v>16128</v>
      </c>
      <c r="G989" s="2" t="s">
        <v>11</v>
      </c>
      <c r="H989" s="2" t="s">
        <v>1408</v>
      </c>
      <c r="I989" s="2" t="s">
        <v>1353</v>
      </c>
    </row>
    <row r="990" spans="1:9" ht="16" x14ac:dyDescent="0.8">
      <c r="A990" s="2" t="s">
        <v>1409</v>
      </c>
      <c r="B990" s="2" t="s">
        <v>1351</v>
      </c>
      <c r="C990" s="2" t="s">
        <v>1352</v>
      </c>
      <c r="D990" s="2" t="s">
        <v>1352</v>
      </c>
      <c r="E990" s="3">
        <v>4752</v>
      </c>
      <c r="F990" s="3">
        <v>4752</v>
      </c>
      <c r="G990" s="2" t="s">
        <v>11</v>
      </c>
      <c r="H990" s="2" t="s">
        <v>1408</v>
      </c>
      <c r="I990" s="2" t="s">
        <v>1353</v>
      </c>
    </row>
    <row r="991" spans="1:9" ht="16" x14ac:dyDescent="0.8">
      <c r="A991" s="2" t="s">
        <v>1409</v>
      </c>
      <c r="B991" s="2" t="s">
        <v>1354</v>
      </c>
      <c r="C991" s="2" t="s">
        <v>1355</v>
      </c>
      <c r="D991" s="2" t="s">
        <v>1355</v>
      </c>
      <c r="E991" s="3">
        <v>3696</v>
      </c>
      <c r="F991" s="3">
        <v>3696</v>
      </c>
      <c r="G991" s="2" t="s">
        <v>11</v>
      </c>
      <c r="H991" s="2" t="s">
        <v>1408</v>
      </c>
      <c r="I991" s="2" t="s">
        <v>1353</v>
      </c>
    </row>
    <row r="992" spans="1:9" ht="16" x14ac:dyDescent="0.8">
      <c r="A992" s="2" t="s">
        <v>1410</v>
      </c>
      <c r="B992" s="2" t="s">
        <v>1351</v>
      </c>
      <c r="C992" s="2" t="s">
        <v>1352</v>
      </c>
      <c r="D992" s="2" t="s">
        <v>1352</v>
      </c>
      <c r="E992" s="3">
        <v>9504</v>
      </c>
      <c r="F992" s="3">
        <v>9504</v>
      </c>
      <c r="G992" s="2" t="s">
        <v>11</v>
      </c>
      <c r="H992" s="2" t="s">
        <v>1408</v>
      </c>
      <c r="I992" s="2" t="s">
        <v>1353</v>
      </c>
    </row>
    <row r="993" spans="1:9" ht="16" x14ac:dyDescent="0.8">
      <c r="A993" s="2" t="s">
        <v>1410</v>
      </c>
      <c r="B993" s="2" t="s">
        <v>1354</v>
      </c>
      <c r="C993" s="2" t="s">
        <v>1355</v>
      </c>
      <c r="D993" s="2" t="s">
        <v>1355</v>
      </c>
      <c r="E993" s="3">
        <v>3696</v>
      </c>
      <c r="F993" s="3">
        <v>3696</v>
      </c>
      <c r="G993" s="2" t="s">
        <v>11</v>
      </c>
      <c r="H993" s="2" t="s">
        <v>1408</v>
      </c>
      <c r="I993" s="2" t="s">
        <v>1353</v>
      </c>
    </row>
    <row r="994" spans="1:9" ht="16" x14ac:dyDescent="0.8">
      <c r="A994" s="2" t="s">
        <v>1411</v>
      </c>
      <c r="B994" s="2" t="s">
        <v>1351</v>
      </c>
      <c r="C994" s="2" t="s">
        <v>1352</v>
      </c>
      <c r="D994" s="2" t="s">
        <v>1352</v>
      </c>
      <c r="E994" s="3">
        <v>7920</v>
      </c>
      <c r="F994" s="3">
        <v>7920</v>
      </c>
      <c r="G994" s="2" t="s">
        <v>11</v>
      </c>
      <c r="H994" s="2" t="s">
        <v>1408</v>
      </c>
      <c r="I994" s="2" t="s">
        <v>1353</v>
      </c>
    </row>
    <row r="995" spans="1:9" ht="16" x14ac:dyDescent="0.8">
      <c r="A995" s="2" t="s">
        <v>1411</v>
      </c>
      <c r="B995" s="2" t="s">
        <v>1354</v>
      </c>
      <c r="C995" s="2" t="s">
        <v>1355</v>
      </c>
      <c r="D995" s="2" t="s">
        <v>1355</v>
      </c>
      <c r="E995" s="3">
        <v>3168</v>
      </c>
      <c r="F995" s="3">
        <v>3168</v>
      </c>
      <c r="G995" s="2" t="s">
        <v>11</v>
      </c>
      <c r="H995" s="2" t="s">
        <v>1408</v>
      </c>
      <c r="I995" s="2" t="s">
        <v>1353</v>
      </c>
    </row>
    <row r="996" spans="1:9" ht="16" x14ac:dyDescent="0.8">
      <c r="A996" s="2" t="s">
        <v>1412</v>
      </c>
      <c r="B996" s="2" t="s">
        <v>1351</v>
      </c>
      <c r="C996" s="2" t="s">
        <v>1352</v>
      </c>
      <c r="D996" s="2" t="s">
        <v>1352</v>
      </c>
      <c r="E996" s="3">
        <v>9504</v>
      </c>
      <c r="F996" s="3">
        <v>9504</v>
      </c>
      <c r="G996" s="2" t="s">
        <v>11</v>
      </c>
      <c r="H996" s="2" t="s">
        <v>1408</v>
      </c>
      <c r="I996" s="2" t="s">
        <v>1353</v>
      </c>
    </row>
    <row r="997" spans="1:9" ht="16" x14ac:dyDescent="0.8">
      <c r="A997" s="2" t="s">
        <v>1412</v>
      </c>
      <c r="B997" s="2" t="s">
        <v>1354</v>
      </c>
      <c r="C997" s="2" t="s">
        <v>1355</v>
      </c>
      <c r="D997" s="2" t="s">
        <v>1355</v>
      </c>
      <c r="E997" s="3">
        <v>5712</v>
      </c>
      <c r="F997" s="3">
        <v>5712</v>
      </c>
      <c r="G997" s="2" t="s">
        <v>11</v>
      </c>
      <c r="H997" s="2" t="s">
        <v>1408</v>
      </c>
      <c r="I997" s="2" t="s">
        <v>1353</v>
      </c>
    </row>
    <row r="998" spans="1:9" ht="16" x14ac:dyDescent="0.8">
      <c r="A998" s="2" t="s">
        <v>1413</v>
      </c>
      <c r="B998" s="2" t="s">
        <v>1351</v>
      </c>
      <c r="C998" s="2" t="s">
        <v>1352</v>
      </c>
      <c r="D998" s="2" t="s">
        <v>1352</v>
      </c>
      <c r="E998" s="3">
        <v>19008</v>
      </c>
      <c r="F998" s="3">
        <v>19008</v>
      </c>
      <c r="G998" s="2" t="s">
        <v>11</v>
      </c>
      <c r="H998" s="2" t="s">
        <v>1408</v>
      </c>
      <c r="I998" s="2" t="s">
        <v>1353</v>
      </c>
    </row>
    <row r="999" spans="1:9" ht="16" x14ac:dyDescent="0.8">
      <c r="A999" s="2" t="s">
        <v>1413</v>
      </c>
      <c r="B999" s="2" t="s">
        <v>1354</v>
      </c>
      <c r="C999" s="2" t="s">
        <v>1355</v>
      </c>
      <c r="D999" s="2" t="s">
        <v>1355</v>
      </c>
      <c r="E999" s="3">
        <v>5040</v>
      </c>
      <c r="F999" s="3">
        <v>5040</v>
      </c>
      <c r="G999" s="2" t="s">
        <v>11</v>
      </c>
      <c r="H999" s="2" t="s">
        <v>1408</v>
      </c>
      <c r="I999" s="2" t="s">
        <v>1353</v>
      </c>
    </row>
    <row r="1000" spans="1:9" ht="16" x14ac:dyDescent="0.8">
      <c r="A1000" s="2" t="s">
        <v>1414</v>
      </c>
      <c r="B1000" s="2" t="s">
        <v>1351</v>
      </c>
      <c r="C1000" s="2" t="s">
        <v>1352</v>
      </c>
      <c r="D1000" s="2" t="s">
        <v>1352</v>
      </c>
      <c r="E1000" s="3">
        <v>14256</v>
      </c>
      <c r="F1000" s="3">
        <v>14256</v>
      </c>
      <c r="G1000" s="2" t="s">
        <v>11</v>
      </c>
      <c r="H1000" s="2" t="s">
        <v>1408</v>
      </c>
      <c r="I1000" s="2" t="s">
        <v>1353</v>
      </c>
    </row>
    <row r="1001" spans="1:9" ht="16" x14ac:dyDescent="0.8">
      <c r="A1001" s="2" t="s">
        <v>1414</v>
      </c>
      <c r="B1001" s="2" t="s">
        <v>1354</v>
      </c>
      <c r="C1001" s="2" t="s">
        <v>1355</v>
      </c>
      <c r="D1001" s="2" t="s">
        <v>1355</v>
      </c>
      <c r="E1001" s="3">
        <v>8232</v>
      </c>
      <c r="F1001" s="3">
        <v>8232</v>
      </c>
      <c r="G1001" s="2" t="s">
        <v>11</v>
      </c>
      <c r="H1001" s="2" t="s">
        <v>1408</v>
      </c>
      <c r="I1001" s="2" t="s">
        <v>1353</v>
      </c>
    </row>
    <row r="1002" spans="1:9" ht="16" x14ac:dyDescent="0.8">
      <c r="A1002" s="2" t="s">
        <v>1415</v>
      </c>
      <c r="B1002" s="2" t="s">
        <v>336</v>
      </c>
      <c r="C1002" s="2" t="s">
        <v>337</v>
      </c>
      <c r="D1002" s="2" t="s">
        <v>337</v>
      </c>
      <c r="E1002" s="3">
        <v>3888</v>
      </c>
      <c r="F1002" s="3">
        <v>3888</v>
      </c>
      <c r="G1002" s="2" t="s">
        <v>11</v>
      </c>
      <c r="H1002" s="2" t="s">
        <v>1416</v>
      </c>
      <c r="I1002" s="2" t="s">
        <v>201</v>
      </c>
    </row>
    <row r="1003" spans="1:9" ht="16" x14ac:dyDescent="0.8">
      <c r="A1003" s="2" t="s">
        <v>1417</v>
      </c>
      <c r="B1003" s="2" t="s">
        <v>1418</v>
      </c>
      <c r="C1003" s="2" t="s">
        <v>1419</v>
      </c>
      <c r="D1003" s="2" t="s">
        <v>1419</v>
      </c>
      <c r="E1003" s="3">
        <v>48150</v>
      </c>
      <c r="F1003" s="3">
        <v>28800</v>
      </c>
      <c r="G1003" s="2" t="s">
        <v>196</v>
      </c>
      <c r="H1003" s="2" t="s">
        <v>1416</v>
      </c>
      <c r="I1003" s="2" t="s">
        <v>390</v>
      </c>
    </row>
    <row r="1004" spans="1:9" ht="16" x14ac:dyDescent="0.8">
      <c r="A1004" s="2" t="s">
        <v>1417</v>
      </c>
      <c r="B1004" s="2" t="s">
        <v>1420</v>
      </c>
      <c r="C1004" s="2" t="s">
        <v>1421</v>
      </c>
      <c r="D1004" s="2" t="s">
        <v>1421</v>
      </c>
      <c r="E1004" s="3">
        <v>53088</v>
      </c>
      <c r="F1004" s="3">
        <v>38976</v>
      </c>
      <c r="G1004" s="2" t="s">
        <v>196</v>
      </c>
      <c r="H1004" s="2" t="s">
        <v>1416</v>
      </c>
      <c r="I1004" s="2" t="s">
        <v>390</v>
      </c>
    </row>
    <row r="1005" spans="1:9" ht="16" x14ac:dyDescent="0.8">
      <c r="A1005" s="2" t="s">
        <v>1417</v>
      </c>
      <c r="B1005" s="2" t="s">
        <v>1422</v>
      </c>
      <c r="C1005" s="2" t="s">
        <v>1423</v>
      </c>
      <c r="D1005" s="2" t="s">
        <v>1423</v>
      </c>
      <c r="E1005" s="3">
        <v>22356</v>
      </c>
      <c r="F1005" s="3">
        <v>20520</v>
      </c>
      <c r="G1005" s="2" t="s">
        <v>196</v>
      </c>
      <c r="H1005" s="2" t="s">
        <v>1416</v>
      </c>
      <c r="I1005" s="2" t="s">
        <v>390</v>
      </c>
    </row>
    <row r="1006" spans="1:9" ht="16" x14ac:dyDescent="0.8">
      <c r="A1006" s="2" t="s">
        <v>1424</v>
      </c>
      <c r="B1006" s="2" t="s">
        <v>336</v>
      </c>
      <c r="C1006" s="2" t="s">
        <v>337</v>
      </c>
      <c r="D1006" s="2" t="s">
        <v>337</v>
      </c>
      <c r="E1006" s="3">
        <v>11106</v>
      </c>
      <c r="F1006" s="3">
        <v>11106</v>
      </c>
      <c r="G1006" s="2" t="s">
        <v>11</v>
      </c>
      <c r="H1006" s="2" t="s">
        <v>1416</v>
      </c>
      <c r="I1006" s="2" t="s">
        <v>201</v>
      </c>
    </row>
    <row r="1007" spans="1:9" ht="16" x14ac:dyDescent="0.8">
      <c r="A1007" s="2" t="s">
        <v>1431</v>
      </c>
      <c r="B1007" s="2" t="s">
        <v>1432</v>
      </c>
      <c r="C1007" s="2" t="s">
        <v>1433</v>
      </c>
      <c r="D1007" s="2" t="s">
        <v>1433</v>
      </c>
      <c r="E1007" s="3">
        <v>10000</v>
      </c>
      <c r="F1007" s="3">
        <v>10000</v>
      </c>
      <c r="G1007" s="2" t="s">
        <v>11</v>
      </c>
      <c r="H1007" s="2" t="s">
        <v>1434</v>
      </c>
      <c r="I1007" s="2" t="s">
        <v>1435</v>
      </c>
    </row>
    <row r="1008" spans="1:9" ht="16" x14ac:dyDescent="0.8">
      <c r="A1008" s="2" t="s">
        <v>1436</v>
      </c>
      <c r="B1008" s="2" t="s">
        <v>1437</v>
      </c>
      <c r="C1008" s="2" t="s">
        <v>1438</v>
      </c>
      <c r="D1008" s="2" t="s">
        <v>1438</v>
      </c>
      <c r="E1008" s="3">
        <v>64200</v>
      </c>
      <c r="F1008" s="3">
        <v>64200</v>
      </c>
      <c r="G1008" s="2" t="s">
        <v>11</v>
      </c>
      <c r="H1008" s="2" t="s">
        <v>1434</v>
      </c>
      <c r="I1008" s="2" t="s">
        <v>407</v>
      </c>
    </row>
    <row r="1009" spans="1:9" ht="16" x14ac:dyDescent="0.8">
      <c r="A1009" s="2" t="s">
        <v>1439</v>
      </c>
      <c r="B1009" s="2" t="s">
        <v>1440</v>
      </c>
      <c r="C1009" s="2" t="s">
        <v>1441</v>
      </c>
      <c r="D1009" s="2" t="s">
        <v>1441</v>
      </c>
      <c r="E1009" s="3">
        <v>79200</v>
      </c>
      <c r="F1009" s="3">
        <v>79200</v>
      </c>
      <c r="G1009" s="2" t="s">
        <v>11</v>
      </c>
      <c r="H1009" s="2" t="s">
        <v>1434</v>
      </c>
      <c r="I1009" s="2" t="s">
        <v>1386</v>
      </c>
    </row>
    <row r="1010" spans="1:9" ht="16" x14ac:dyDescent="0.8">
      <c r="A1010" s="2" t="s">
        <v>1442</v>
      </c>
      <c r="B1010" s="2" t="s">
        <v>1443</v>
      </c>
      <c r="C1010" s="2" t="s">
        <v>1425</v>
      </c>
      <c r="D1010" s="2" t="s">
        <v>1425</v>
      </c>
      <c r="E1010" s="3">
        <v>103572</v>
      </c>
      <c r="F1010" s="3">
        <v>103572</v>
      </c>
      <c r="G1010" s="2" t="s">
        <v>11</v>
      </c>
      <c r="H1010" s="2" t="s">
        <v>1434</v>
      </c>
      <c r="I1010" s="2" t="s">
        <v>1444</v>
      </c>
    </row>
    <row r="1011" spans="1:9" ht="16" x14ac:dyDescent="0.8">
      <c r="A1011" s="2" t="s">
        <v>1442</v>
      </c>
      <c r="B1011" s="2" t="s">
        <v>1445</v>
      </c>
      <c r="C1011" s="2" t="s">
        <v>1446</v>
      </c>
      <c r="D1011" s="2" t="s">
        <v>1446</v>
      </c>
      <c r="E1011" s="3">
        <v>85320</v>
      </c>
      <c r="F1011" s="3">
        <v>85320</v>
      </c>
      <c r="G1011" s="2" t="s">
        <v>11</v>
      </c>
      <c r="H1011" s="2" t="s">
        <v>1434</v>
      </c>
      <c r="I1011" s="2" t="s">
        <v>1444</v>
      </c>
    </row>
    <row r="1012" spans="1:9" ht="16" x14ac:dyDescent="0.8">
      <c r="A1012" s="2" t="s">
        <v>1442</v>
      </c>
      <c r="B1012" s="2" t="s">
        <v>1447</v>
      </c>
      <c r="C1012" s="2" t="s">
        <v>1448</v>
      </c>
      <c r="D1012" s="2" t="s">
        <v>1448</v>
      </c>
      <c r="E1012" s="3">
        <v>73152</v>
      </c>
      <c r="F1012" s="3">
        <v>73152</v>
      </c>
      <c r="G1012" s="2" t="s">
        <v>11</v>
      </c>
      <c r="H1012" s="2" t="s">
        <v>1434</v>
      </c>
      <c r="I1012" s="2" t="s">
        <v>1444</v>
      </c>
    </row>
    <row r="1013" spans="1:9" ht="16" x14ac:dyDescent="0.8">
      <c r="A1013" s="2" t="s">
        <v>1442</v>
      </c>
      <c r="B1013" s="2" t="s">
        <v>1449</v>
      </c>
      <c r="C1013" s="2" t="s">
        <v>1450</v>
      </c>
      <c r="D1013" s="2" t="s">
        <v>1450</v>
      </c>
      <c r="E1013" s="3">
        <v>61824</v>
      </c>
      <c r="F1013" s="3">
        <v>61824</v>
      </c>
      <c r="G1013" s="2" t="s">
        <v>11</v>
      </c>
      <c r="H1013" s="2" t="s">
        <v>1434</v>
      </c>
      <c r="I1013" s="2" t="s">
        <v>1444</v>
      </c>
    </row>
    <row r="1014" spans="1:9" ht="16" x14ac:dyDescent="0.8">
      <c r="A1014" s="2" t="s">
        <v>1451</v>
      </c>
      <c r="B1014" s="2" t="s">
        <v>1452</v>
      </c>
      <c r="C1014" s="2" t="s">
        <v>1453</v>
      </c>
      <c r="D1014" s="2" t="s">
        <v>1453</v>
      </c>
      <c r="E1014" s="3">
        <v>84270</v>
      </c>
      <c r="F1014" s="3">
        <v>84270</v>
      </c>
      <c r="G1014" s="2" t="s">
        <v>11</v>
      </c>
      <c r="H1014" s="2" t="s">
        <v>1434</v>
      </c>
      <c r="I1014" s="2" t="s">
        <v>23</v>
      </c>
    </row>
    <row r="1015" spans="1:9" ht="16" x14ac:dyDescent="0.8">
      <c r="A1015" s="2" t="s">
        <v>1454</v>
      </c>
      <c r="B1015" s="2" t="s">
        <v>1455</v>
      </c>
      <c r="C1015" s="2" t="s">
        <v>1456</v>
      </c>
      <c r="D1015" s="2" t="s">
        <v>1456</v>
      </c>
      <c r="E1015" s="3">
        <v>64008</v>
      </c>
      <c r="F1015" s="3">
        <v>64002</v>
      </c>
      <c r="G1015" s="2" t="s">
        <v>11</v>
      </c>
      <c r="H1015" s="2" t="s">
        <v>1434</v>
      </c>
      <c r="I1015" s="2" t="s">
        <v>1457</v>
      </c>
    </row>
    <row r="1016" spans="1:9" ht="16" x14ac:dyDescent="0.8">
      <c r="A1016" s="2" t="s">
        <v>1458</v>
      </c>
      <c r="B1016" s="2" t="s">
        <v>1437</v>
      </c>
      <c r="C1016" s="2" t="s">
        <v>1438</v>
      </c>
      <c r="D1016" s="2" t="s">
        <v>1438</v>
      </c>
      <c r="E1016" s="3">
        <v>36000</v>
      </c>
      <c r="F1016" s="3">
        <v>36000</v>
      </c>
      <c r="G1016" s="2" t="s">
        <v>11</v>
      </c>
      <c r="H1016" s="2" t="s">
        <v>1434</v>
      </c>
      <c r="I1016" s="2" t="s">
        <v>407</v>
      </c>
    </row>
    <row r="1017" spans="1:9" ht="16" x14ac:dyDescent="0.8">
      <c r="A1017" s="2" t="s">
        <v>1459</v>
      </c>
      <c r="B1017" s="2" t="s">
        <v>1440</v>
      </c>
      <c r="C1017" s="2" t="s">
        <v>1441</v>
      </c>
      <c r="D1017" s="2" t="s">
        <v>1441</v>
      </c>
      <c r="E1017" s="3">
        <v>44160</v>
      </c>
      <c r="F1017" s="3">
        <v>44160</v>
      </c>
      <c r="G1017" s="2" t="s">
        <v>11</v>
      </c>
      <c r="H1017" s="2" t="s">
        <v>1434</v>
      </c>
      <c r="I1017" s="2" t="s">
        <v>1386</v>
      </c>
    </row>
    <row r="1018" spans="1:9" ht="16" x14ac:dyDescent="0.8">
      <c r="A1018" s="2" t="s">
        <v>1460</v>
      </c>
      <c r="B1018" s="2" t="s">
        <v>1443</v>
      </c>
      <c r="C1018" s="2" t="s">
        <v>1425</v>
      </c>
      <c r="D1018" s="2" t="s">
        <v>1425</v>
      </c>
      <c r="E1018" s="3">
        <v>57564</v>
      </c>
      <c r="F1018" s="3">
        <v>57564</v>
      </c>
      <c r="G1018" s="2" t="s">
        <v>11</v>
      </c>
      <c r="H1018" s="2" t="s">
        <v>1434</v>
      </c>
      <c r="I1018" s="2" t="s">
        <v>1444</v>
      </c>
    </row>
    <row r="1019" spans="1:9" ht="16" x14ac:dyDescent="0.8">
      <c r="A1019" s="2" t="s">
        <v>1460</v>
      </c>
      <c r="B1019" s="2" t="s">
        <v>1445</v>
      </c>
      <c r="C1019" s="2" t="s">
        <v>1446</v>
      </c>
      <c r="D1019" s="2" t="s">
        <v>1446</v>
      </c>
      <c r="E1019" s="3">
        <v>47520</v>
      </c>
      <c r="F1019" s="3">
        <v>47520</v>
      </c>
      <c r="G1019" s="2" t="s">
        <v>11</v>
      </c>
      <c r="H1019" s="2" t="s">
        <v>1434</v>
      </c>
      <c r="I1019" s="2" t="s">
        <v>1444</v>
      </c>
    </row>
    <row r="1020" spans="1:9" ht="16" x14ac:dyDescent="0.8">
      <c r="A1020" s="2" t="s">
        <v>1460</v>
      </c>
      <c r="B1020" s="2" t="s">
        <v>1447</v>
      </c>
      <c r="C1020" s="2" t="s">
        <v>1448</v>
      </c>
      <c r="D1020" s="2" t="s">
        <v>1448</v>
      </c>
      <c r="E1020" s="3">
        <v>40608</v>
      </c>
      <c r="F1020" s="3">
        <v>40608</v>
      </c>
      <c r="G1020" s="2" t="s">
        <v>11</v>
      </c>
      <c r="H1020" s="2" t="s">
        <v>1434</v>
      </c>
      <c r="I1020" s="2" t="s">
        <v>1444</v>
      </c>
    </row>
    <row r="1021" spans="1:9" ht="16" x14ac:dyDescent="0.8">
      <c r="A1021" s="2" t="s">
        <v>1460</v>
      </c>
      <c r="B1021" s="2" t="s">
        <v>1449</v>
      </c>
      <c r="C1021" s="2" t="s">
        <v>1450</v>
      </c>
      <c r="D1021" s="2" t="s">
        <v>1450</v>
      </c>
      <c r="E1021" s="3">
        <v>34944</v>
      </c>
      <c r="F1021" s="3">
        <v>34944</v>
      </c>
      <c r="G1021" s="2" t="s">
        <v>11</v>
      </c>
      <c r="H1021" s="2" t="s">
        <v>1434</v>
      </c>
      <c r="I1021" s="2" t="s">
        <v>1444</v>
      </c>
    </row>
    <row r="1022" spans="1:9" ht="16" x14ac:dyDescent="0.8">
      <c r="A1022" s="2" t="s">
        <v>1461</v>
      </c>
      <c r="B1022" s="2" t="s">
        <v>1452</v>
      </c>
      <c r="C1022" s="2" t="s">
        <v>1453</v>
      </c>
      <c r="D1022" s="2" t="s">
        <v>1453</v>
      </c>
      <c r="E1022" s="3">
        <v>42630</v>
      </c>
      <c r="F1022" s="3">
        <v>42630</v>
      </c>
      <c r="G1022" s="2" t="s">
        <v>11</v>
      </c>
      <c r="H1022" s="2" t="s">
        <v>1434</v>
      </c>
      <c r="I1022" s="2" t="s">
        <v>23</v>
      </c>
    </row>
    <row r="1023" spans="1:9" ht="16" x14ac:dyDescent="0.8">
      <c r="A1023" s="2" t="s">
        <v>1462</v>
      </c>
      <c r="B1023" s="2" t="s">
        <v>1455</v>
      </c>
      <c r="C1023" s="2" t="s">
        <v>1456</v>
      </c>
      <c r="D1023" s="2" t="s">
        <v>1456</v>
      </c>
      <c r="E1023" s="3">
        <v>35784</v>
      </c>
      <c r="F1023" s="3">
        <v>35994</v>
      </c>
      <c r="G1023" s="2" t="s">
        <v>11</v>
      </c>
      <c r="H1023" s="2" t="s">
        <v>1434</v>
      </c>
      <c r="I1023" s="2" t="s">
        <v>1457</v>
      </c>
    </row>
    <row r="1024" spans="1:9" ht="16" x14ac:dyDescent="0.8">
      <c r="A1024" s="2" t="s">
        <v>1463</v>
      </c>
      <c r="B1024" s="2" t="s">
        <v>339</v>
      </c>
      <c r="C1024" s="2" t="s">
        <v>340</v>
      </c>
      <c r="D1024" s="2" t="s">
        <v>340</v>
      </c>
      <c r="E1024" s="3">
        <v>2000</v>
      </c>
      <c r="F1024" s="3">
        <v>2000</v>
      </c>
      <c r="G1024" s="2" t="s">
        <v>11</v>
      </c>
      <c r="H1024" s="2" t="s">
        <v>1464</v>
      </c>
      <c r="I1024" s="2" t="s">
        <v>437</v>
      </c>
    </row>
    <row r="1025" spans="1:9" ht="16" x14ac:dyDescent="0.8">
      <c r="A1025" s="2" t="s">
        <v>1465</v>
      </c>
      <c r="B1025" s="2" t="s">
        <v>692</v>
      </c>
      <c r="C1025" s="2" t="s">
        <v>693</v>
      </c>
      <c r="D1025" s="2" t="s">
        <v>693</v>
      </c>
      <c r="E1025" s="3">
        <v>8724</v>
      </c>
      <c r="F1025" s="3">
        <v>8724</v>
      </c>
      <c r="G1025" s="2" t="s">
        <v>11</v>
      </c>
      <c r="H1025" s="2" t="s">
        <v>1464</v>
      </c>
      <c r="I1025" s="2" t="s">
        <v>695</v>
      </c>
    </row>
    <row r="1026" spans="1:9" ht="16" x14ac:dyDescent="0.8">
      <c r="A1026" s="2" t="s">
        <v>1467</v>
      </c>
      <c r="B1026" s="2" t="s">
        <v>1427</v>
      </c>
      <c r="C1026" s="2" t="s">
        <v>1428</v>
      </c>
      <c r="D1026" s="2" t="s">
        <v>1428</v>
      </c>
      <c r="E1026" s="3">
        <v>12453</v>
      </c>
      <c r="F1026" s="3">
        <v>9991</v>
      </c>
      <c r="G1026" s="2" t="s">
        <v>11</v>
      </c>
      <c r="H1026" s="2" t="s">
        <v>1468</v>
      </c>
      <c r="I1026" s="2" t="s">
        <v>1469</v>
      </c>
    </row>
    <row r="1027" spans="1:9" ht="16" x14ac:dyDescent="0.8">
      <c r="A1027" s="2" t="s">
        <v>1467</v>
      </c>
      <c r="B1027" s="2" t="s">
        <v>1429</v>
      </c>
      <c r="C1027" s="2" t="s">
        <v>1430</v>
      </c>
      <c r="D1027" s="2" t="s">
        <v>1430</v>
      </c>
      <c r="E1027" s="3">
        <v>1</v>
      </c>
      <c r="F1027" s="3">
        <v>0</v>
      </c>
      <c r="G1027" s="2" t="s">
        <v>11</v>
      </c>
      <c r="H1027" s="2" t="s">
        <v>1468</v>
      </c>
      <c r="I1027" s="2" t="s">
        <v>1469</v>
      </c>
    </row>
    <row r="1028" spans="1:9" ht="16" x14ac:dyDescent="0.8">
      <c r="A1028" s="2" t="s">
        <v>1470</v>
      </c>
      <c r="B1028" s="2" t="s">
        <v>334</v>
      </c>
      <c r="C1028" s="2" t="s">
        <v>335</v>
      </c>
      <c r="D1028" s="2" t="s">
        <v>335</v>
      </c>
      <c r="E1028" s="3">
        <v>40002</v>
      </c>
      <c r="F1028" s="3">
        <v>40002</v>
      </c>
      <c r="G1028" s="2" t="s">
        <v>11</v>
      </c>
      <c r="H1028" s="2" t="s">
        <v>1466</v>
      </c>
      <c r="I1028" s="2" t="s">
        <v>201</v>
      </c>
    </row>
    <row r="1029" spans="1:9" ht="16" x14ac:dyDescent="0.8">
      <c r="A1029" s="2" t="s">
        <v>1470</v>
      </c>
      <c r="B1029" s="2" t="s">
        <v>338</v>
      </c>
      <c r="C1029" s="2" t="s">
        <v>246</v>
      </c>
      <c r="D1029" s="2" t="s">
        <v>246</v>
      </c>
      <c r="E1029" s="3">
        <v>14004</v>
      </c>
      <c r="F1029" s="3">
        <v>14004</v>
      </c>
      <c r="G1029" s="2" t="s">
        <v>11</v>
      </c>
      <c r="H1029" s="2" t="s">
        <v>1466</v>
      </c>
      <c r="I1029" s="2" t="s">
        <v>201</v>
      </c>
    </row>
    <row r="1030" spans="1:9" ht="16" x14ac:dyDescent="0.8">
      <c r="A1030" s="2" t="s">
        <v>1472</v>
      </c>
      <c r="B1030" s="2" t="s">
        <v>58</v>
      </c>
      <c r="C1030" s="2" t="s">
        <v>59</v>
      </c>
      <c r="D1030" s="2" t="s">
        <v>59</v>
      </c>
      <c r="E1030" s="3">
        <v>2</v>
      </c>
      <c r="F1030" s="3">
        <v>2</v>
      </c>
      <c r="G1030" s="2" t="s">
        <v>11</v>
      </c>
      <c r="H1030" s="2" t="s">
        <v>1473</v>
      </c>
      <c r="I1030" s="2" t="s">
        <v>53</v>
      </c>
    </row>
    <row r="1031" spans="1:9" ht="16" x14ac:dyDescent="0.8">
      <c r="A1031" s="2" t="s">
        <v>1472</v>
      </c>
      <c r="B1031" s="2" t="s">
        <v>56</v>
      </c>
      <c r="C1031" s="2" t="s">
        <v>57</v>
      </c>
      <c r="D1031" s="2" t="s">
        <v>57</v>
      </c>
      <c r="E1031" s="3">
        <v>2</v>
      </c>
      <c r="F1031" s="3">
        <v>2</v>
      </c>
      <c r="G1031" s="2" t="s">
        <v>11</v>
      </c>
      <c r="H1031" s="2" t="s">
        <v>1473</v>
      </c>
      <c r="I1031" s="2" t="s">
        <v>53</v>
      </c>
    </row>
    <row r="1032" spans="1:9" ht="16" x14ac:dyDescent="0.8">
      <c r="A1032" s="2" t="s">
        <v>1474</v>
      </c>
      <c r="B1032" s="2" t="s">
        <v>404</v>
      </c>
      <c r="C1032" s="2" t="s">
        <v>405</v>
      </c>
      <c r="D1032" s="2" t="s">
        <v>405</v>
      </c>
      <c r="E1032" s="3">
        <v>1</v>
      </c>
      <c r="F1032" s="3">
        <v>0</v>
      </c>
      <c r="G1032" s="2" t="s">
        <v>11</v>
      </c>
      <c r="H1032" s="2" t="s">
        <v>1426</v>
      </c>
      <c r="I1032" s="2" t="s">
        <v>534</v>
      </c>
    </row>
    <row r="1033" spans="1:9" ht="16" x14ac:dyDescent="0.8">
      <c r="A1033" s="2" t="s">
        <v>1475</v>
      </c>
      <c r="B1033" s="2" t="s">
        <v>435</v>
      </c>
      <c r="C1033" s="2" t="s">
        <v>436</v>
      </c>
      <c r="D1033" s="2" t="s">
        <v>436</v>
      </c>
      <c r="E1033" s="3">
        <v>31416</v>
      </c>
      <c r="F1033" s="3">
        <v>31416</v>
      </c>
      <c r="G1033" s="2" t="s">
        <v>11</v>
      </c>
      <c r="H1033" s="2" t="s">
        <v>1426</v>
      </c>
      <c r="I1033" s="2" t="s">
        <v>437</v>
      </c>
    </row>
    <row r="1034" spans="1:9" ht="16" x14ac:dyDescent="0.8">
      <c r="A1034" s="2" t="s">
        <v>1476</v>
      </c>
      <c r="B1034" s="2" t="s">
        <v>446</v>
      </c>
      <c r="C1034" s="2" t="s">
        <v>447</v>
      </c>
      <c r="D1034" s="2" t="s">
        <v>447</v>
      </c>
      <c r="E1034" s="3">
        <v>1</v>
      </c>
      <c r="F1034" s="3">
        <v>0</v>
      </c>
      <c r="G1034" s="2" t="s">
        <v>11</v>
      </c>
      <c r="H1034" s="2" t="s">
        <v>1426</v>
      </c>
      <c r="I1034" s="2" t="s">
        <v>1477</v>
      </c>
    </row>
    <row r="1035" spans="1:9" ht="16" x14ac:dyDescent="0.8">
      <c r="A1035" s="2" t="s">
        <v>1478</v>
      </c>
      <c r="B1035" s="2" t="s">
        <v>450</v>
      </c>
      <c r="C1035" s="2" t="s">
        <v>451</v>
      </c>
      <c r="D1035" s="2" t="s">
        <v>451</v>
      </c>
      <c r="E1035" s="3">
        <v>1</v>
      </c>
      <c r="F1035" s="3">
        <v>0</v>
      </c>
      <c r="G1035" s="2" t="s">
        <v>11</v>
      </c>
      <c r="H1035" s="2" t="s">
        <v>1426</v>
      </c>
      <c r="I1035" s="2" t="s">
        <v>23</v>
      </c>
    </row>
    <row r="1036" spans="1:9" ht="16" x14ac:dyDescent="0.8">
      <c r="A1036" s="2" t="s">
        <v>1479</v>
      </c>
      <c r="B1036" s="2" t="s">
        <v>410</v>
      </c>
      <c r="C1036" s="2" t="s">
        <v>411</v>
      </c>
      <c r="D1036" s="2" t="s">
        <v>411</v>
      </c>
      <c r="E1036" s="3">
        <v>1002</v>
      </c>
      <c r="F1036" s="3">
        <v>1002</v>
      </c>
      <c r="G1036" s="2" t="s">
        <v>11</v>
      </c>
      <c r="H1036" s="2" t="s">
        <v>1426</v>
      </c>
      <c r="I1036" s="2" t="s">
        <v>412</v>
      </c>
    </row>
    <row r="1037" spans="1:9" ht="16" x14ac:dyDescent="0.8">
      <c r="A1037" s="2" t="s">
        <v>1480</v>
      </c>
      <c r="B1037" s="2" t="s">
        <v>450</v>
      </c>
      <c r="C1037" s="2" t="s">
        <v>451</v>
      </c>
      <c r="D1037" s="2" t="s">
        <v>451</v>
      </c>
      <c r="E1037" s="3">
        <v>7308</v>
      </c>
      <c r="F1037" s="3">
        <v>7308</v>
      </c>
      <c r="G1037" s="2" t="s">
        <v>11</v>
      </c>
      <c r="H1037" s="2" t="s">
        <v>1426</v>
      </c>
      <c r="I1037" s="2" t="s">
        <v>23</v>
      </c>
    </row>
    <row r="1038" spans="1:9" ht="16" x14ac:dyDescent="0.8">
      <c r="A1038" s="2" t="s">
        <v>1481</v>
      </c>
      <c r="B1038" s="2" t="s">
        <v>404</v>
      </c>
      <c r="C1038" s="2" t="s">
        <v>405</v>
      </c>
      <c r="D1038" s="2" t="s">
        <v>405</v>
      </c>
      <c r="E1038" s="3">
        <v>2004</v>
      </c>
      <c r="F1038" s="3">
        <v>2004</v>
      </c>
      <c r="G1038" s="2" t="s">
        <v>11</v>
      </c>
      <c r="H1038" s="2" t="s">
        <v>1426</v>
      </c>
      <c r="I1038" s="2" t="s">
        <v>407</v>
      </c>
    </row>
    <row r="1039" spans="1:9" ht="16" x14ac:dyDescent="0.8">
      <c r="A1039" s="2" t="s">
        <v>1482</v>
      </c>
      <c r="B1039" s="2" t="s">
        <v>148</v>
      </c>
      <c r="C1039" s="2" t="s">
        <v>149</v>
      </c>
      <c r="D1039" s="2" t="s">
        <v>149</v>
      </c>
      <c r="E1039" s="3">
        <v>6</v>
      </c>
      <c r="F1039" s="3">
        <v>6</v>
      </c>
      <c r="G1039" s="2" t="s">
        <v>11</v>
      </c>
      <c r="H1039" s="2" t="s">
        <v>1426</v>
      </c>
      <c r="I1039" s="2" t="s">
        <v>133</v>
      </c>
    </row>
    <row r="1040" spans="1:9" ht="16" x14ac:dyDescent="0.8">
      <c r="A1040" s="2" t="s">
        <v>1482</v>
      </c>
      <c r="B1040" s="2" t="s">
        <v>150</v>
      </c>
      <c r="C1040" s="2" t="s">
        <v>151</v>
      </c>
      <c r="D1040" s="2" t="s">
        <v>151</v>
      </c>
      <c r="E1040" s="3">
        <v>3</v>
      </c>
      <c r="F1040" s="3">
        <v>3</v>
      </c>
      <c r="G1040" s="2" t="s">
        <v>11</v>
      </c>
      <c r="H1040" s="2" t="s">
        <v>1426</v>
      </c>
      <c r="I1040" s="2" t="s">
        <v>133</v>
      </c>
    </row>
    <row r="1041" spans="1:9" ht="16" x14ac:dyDescent="0.8">
      <c r="A1041" s="2" t="s">
        <v>1482</v>
      </c>
      <c r="B1041" s="2" t="s">
        <v>156</v>
      </c>
      <c r="C1041" s="2" t="s">
        <v>157</v>
      </c>
      <c r="D1041" s="2" t="s">
        <v>157</v>
      </c>
      <c r="E1041" s="3">
        <v>1</v>
      </c>
      <c r="F1041" s="3">
        <v>1</v>
      </c>
      <c r="G1041" s="2" t="s">
        <v>11</v>
      </c>
      <c r="H1041" s="2" t="s">
        <v>1426</v>
      </c>
      <c r="I1041" s="2" t="s">
        <v>133</v>
      </c>
    </row>
    <row r="1042" spans="1:9" ht="16" x14ac:dyDescent="0.8">
      <c r="A1042" s="2" t="s">
        <v>1482</v>
      </c>
      <c r="B1042" s="2" t="s">
        <v>158</v>
      </c>
      <c r="C1042" s="2" t="s">
        <v>159</v>
      </c>
      <c r="D1042" s="2" t="s">
        <v>159</v>
      </c>
      <c r="E1042" s="3">
        <v>2</v>
      </c>
      <c r="F1042" s="3">
        <v>2</v>
      </c>
      <c r="G1042" s="2" t="s">
        <v>11</v>
      </c>
      <c r="H1042" s="2" t="s">
        <v>1426</v>
      </c>
      <c r="I1042" s="2" t="s">
        <v>133</v>
      </c>
    </row>
    <row r="1043" spans="1:9" ht="16" x14ac:dyDescent="0.8">
      <c r="A1043" s="2" t="s">
        <v>1482</v>
      </c>
      <c r="B1043" s="2" t="s">
        <v>142</v>
      </c>
      <c r="C1043" s="2" t="s">
        <v>143</v>
      </c>
      <c r="D1043" s="2" t="s">
        <v>143</v>
      </c>
      <c r="E1043" s="3">
        <v>1</v>
      </c>
      <c r="F1043" s="3">
        <v>1</v>
      </c>
      <c r="G1043" s="2" t="s">
        <v>11</v>
      </c>
      <c r="H1043" s="2" t="s">
        <v>1426</v>
      </c>
      <c r="I1043" s="2" t="s">
        <v>133</v>
      </c>
    </row>
    <row r="1044" spans="1:9" ht="16" x14ac:dyDescent="0.8">
      <c r="A1044" s="2" t="s">
        <v>1482</v>
      </c>
      <c r="B1044" s="2" t="s">
        <v>927</v>
      </c>
      <c r="C1044" s="2" t="s">
        <v>928</v>
      </c>
      <c r="D1044" s="2" t="s">
        <v>928</v>
      </c>
      <c r="E1044" s="3">
        <v>1</v>
      </c>
      <c r="F1044" s="3">
        <v>1</v>
      </c>
      <c r="G1044" s="2" t="s">
        <v>11</v>
      </c>
      <c r="H1044" s="2" t="s">
        <v>1426</v>
      </c>
      <c r="I1044" s="2" t="s">
        <v>133</v>
      </c>
    </row>
    <row r="1045" spans="1:9" ht="16" x14ac:dyDescent="0.8">
      <c r="A1045" s="2" t="s">
        <v>1483</v>
      </c>
      <c r="B1045" s="2" t="s">
        <v>1484</v>
      </c>
      <c r="C1045" s="2" t="s">
        <v>1485</v>
      </c>
      <c r="D1045" s="2" t="s">
        <v>1485</v>
      </c>
      <c r="E1045" s="3">
        <v>38700</v>
      </c>
      <c r="F1045" s="3">
        <v>38700</v>
      </c>
      <c r="G1045" s="2" t="s">
        <v>11</v>
      </c>
      <c r="H1045" s="2" t="s">
        <v>1426</v>
      </c>
      <c r="I1045" s="2" t="s">
        <v>1486</v>
      </c>
    </row>
    <row r="1046" spans="1:9" ht="16" x14ac:dyDescent="0.8">
      <c r="A1046" s="2" t="s">
        <v>1487</v>
      </c>
      <c r="B1046" s="2" t="s">
        <v>1484</v>
      </c>
      <c r="C1046" s="2" t="s">
        <v>1485</v>
      </c>
      <c r="D1046" s="2" t="s">
        <v>1485</v>
      </c>
      <c r="E1046" s="3">
        <v>18864</v>
      </c>
      <c r="F1046" s="3">
        <v>18864</v>
      </c>
      <c r="G1046" s="2" t="s">
        <v>11</v>
      </c>
      <c r="H1046" s="2" t="s">
        <v>1426</v>
      </c>
      <c r="I1046" s="2" t="s">
        <v>1486</v>
      </c>
    </row>
    <row r="1047" spans="1:9" ht="16" x14ac:dyDescent="0.8">
      <c r="A1047" s="2" t="s">
        <v>1487</v>
      </c>
      <c r="B1047" s="2" t="s">
        <v>1488</v>
      </c>
      <c r="C1047" s="2" t="s">
        <v>1489</v>
      </c>
      <c r="D1047" s="2" t="s">
        <v>1489</v>
      </c>
      <c r="E1047" s="3">
        <v>19266</v>
      </c>
      <c r="F1047" s="3">
        <v>19266</v>
      </c>
      <c r="G1047" s="2" t="s">
        <v>11</v>
      </c>
      <c r="H1047" s="2" t="s">
        <v>1426</v>
      </c>
      <c r="I1047" s="2" t="s">
        <v>1486</v>
      </c>
    </row>
    <row r="1048" spans="1:9" ht="16" x14ac:dyDescent="0.8">
      <c r="A1048" s="2" t="s">
        <v>1490</v>
      </c>
      <c r="B1048" s="2" t="s">
        <v>1491</v>
      </c>
      <c r="C1048" s="2" t="s">
        <v>1492</v>
      </c>
      <c r="D1048" s="2" t="s">
        <v>1492</v>
      </c>
      <c r="E1048" s="3">
        <v>4560</v>
      </c>
      <c r="F1048" s="3">
        <v>4560</v>
      </c>
      <c r="G1048" s="2" t="s">
        <v>11</v>
      </c>
      <c r="H1048" s="2" t="s">
        <v>1426</v>
      </c>
      <c r="I1048" s="2" t="s">
        <v>1125</v>
      </c>
    </row>
    <row r="1049" spans="1:9" ht="16" x14ac:dyDescent="0.8">
      <c r="A1049" s="2" t="s">
        <v>1493</v>
      </c>
      <c r="B1049" s="2" t="s">
        <v>1491</v>
      </c>
      <c r="C1049" s="2" t="s">
        <v>1492</v>
      </c>
      <c r="D1049" s="2" t="s">
        <v>1492</v>
      </c>
      <c r="E1049" s="3">
        <v>6368</v>
      </c>
      <c r="F1049" s="3">
        <v>6368</v>
      </c>
      <c r="G1049" s="2" t="s">
        <v>11</v>
      </c>
      <c r="H1049" s="2" t="s">
        <v>1426</v>
      </c>
      <c r="I1049" s="2" t="s">
        <v>1125</v>
      </c>
    </row>
    <row r="1050" spans="1:9" ht="16" x14ac:dyDescent="0.8">
      <c r="A1050" s="2" t="s">
        <v>1494</v>
      </c>
      <c r="B1050" s="2" t="s">
        <v>1054</v>
      </c>
      <c r="C1050" s="2" t="s">
        <v>1055</v>
      </c>
      <c r="D1050" s="2" t="s">
        <v>1055</v>
      </c>
      <c r="E1050" s="3">
        <v>3960</v>
      </c>
      <c r="F1050" s="3">
        <v>3960</v>
      </c>
      <c r="G1050" s="2" t="s">
        <v>11</v>
      </c>
      <c r="H1050" s="2" t="s">
        <v>1426</v>
      </c>
      <c r="I1050" s="2" t="s">
        <v>201</v>
      </c>
    </row>
    <row r="1051" spans="1:9" ht="16" x14ac:dyDescent="0.8">
      <c r="A1051" s="2" t="s">
        <v>1494</v>
      </c>
      <c r="B1051" s="2" t="s">
        <v>1056</v>
      </c>
      <c r="C1051" s="2" t="s">
        <v>1057</v>
      </c>
      <c r="D1051" s="2" t="s">
        <v>1057</v>
      </c>
      <c r="E1051" s="3">
        <v>1280</v>
      </c>
      <c r="F1051" s="3">
        <v>1280</v>
      </c>
      <c r="G1051" s="2" t="s">
        <v>11</v>
      </c>
      <c r="H1051" s="2" t="s">
        <v>1426</v>
      </c>
      <c r="I1051" s="2" t="s">
        <v>201</v>
      </c>
    </row>
    <row r="1052" spans="1:9" ht="16" x14ac:dyDescent="0.8">
      <c r="A1052" s="2" t="s">
        <v>1494</v>
      </c>
      <c r="B1052" s="2" t="s">
        <v>1058</v>
      </c>
      <c r="C1052" s="2" t="s">
        <v>1059</v>
      </c>
      <c r="D1052" s="2" t="s">
        <v>1059</v>
      </c>
      <c r="E1052" s="3">
        <v>2880</v>
      </c>
      <c r="F1052" s="3">
        <v>2880</v>
      </c>
      <c r="G1052" s="2" t="s">
        <v>11</v>
      </c>
      <c r="H1052" s="2" t="s">
        <v>1426</v>
      </c>
      <c r="I1052" s="2" t="s">
        <v>201</v>
      </c>
    </row>
    <row r="1053" spans="1:9" ht="16" x14ac:dyDescent="0.8">
      <c r="A1053" s="2" t="s">
        <v>1494</v>
      </c>
      <c r="B1053" s="2" t="s">
        <v>1064</v>
      </c>
      <c r="C1053" s="2" t="s">
        <v>1065</v>
      </c>
      <c r="D1053" s="2" t="s">
        <v>1065</v>
      </c>
      <c r="E1053" s="3">
        <v>15840</v>
      </c>
      <c r="F1053" s="3">
        <v>15840</v>
      </c>
      <c r="G1053" s="2" t="s">
        <v>11</v>
      </c>
      <c r="H1053" s="2" t="s">
        <v>1426</v>
      </c>
      <c r="I1053" s="2" t="s">
        <v>201</v>
      </c>
    </row>
    <row r="1054" spans="1:9" ht="16" x14ac:dyDescent="0.8">
      <c r="A1054" s="2" t="s">
        <v>1495</v>
      </c>
      <c r="B1054" s="2" t="s">
        <v>334</v>
      </c>
      <c r="C1054" s="2" t="s">
        <v>335</v>
      </c>
      <c r="D1054" s="2" t="s">
        <v>335</v>
      </c>
      <c r="E1054" s="3">
        <v>40002</v>
      </c>
      <c r="F1054" s="3">
        <v>40002</v>
      </c>
      <c r="G1054" s="2" t="s">
        <v>11</v>
      </c>
      <c r="H1054" s="2" t="s">
        <v>1496</v>
      </c>
      <c r="I1054" s="2" t="s">
        <v>201</v>
      </c>
    </row>
    <row r="1055" spans="1:9" ht="16" x14ac:dyDescent="0.8">
      <c r="A1055" s="2" t="s">
        <v>1495</v>
      </c>
      <c r="B1055" s="2" t="s">
        <v>338</v>
      </c>
      <c r="C1055" s="2" t="s">
        <v>246</v>
      </c>
      <c r="D1055" s="2" t="s">
        <v>246</v>
      </c>
      <c r="E1055" s="3">
        <v>14004</v>
      </c>
      <c r="F1055" s="3">
        <v>14004</v>
      </c>
      <c r="G1055" s="2" t="s">
        <v>11</v>
      </c>
      <c r="H1055" s="2" t="s">
        <v>1496</v>
      </c>
      <c r="I1055" s="2" t="s">
        <v>201</v>
      </c>
    </row>
    <row r="1056" spans="1:9" ht="16" x14ac:dyDescent="0.8">
      <c r="A1056" s="2" t="s">
        <v>1497</v>
      </c>
      <c r="B1056" s="2" t="s">
        <v>126</v>
      </c>
      <c r="C1056" s="2" t="s">
        <v>127</v>
      </c>
      <c r="D1056" s="2" t="s">
        <v>127</v>
      </c>
      <c r="E1056" s="3">
        <v>2</v>
      </c>
      <c r="F1056" s="3">
        <v>2</v>
      </c>
      <c r="G1056" s="2" t="s">
        <v>11</v>
      </c>
      <c r="H1056" s="2" t="s">
        <v>1496</v>
      </c>
      <c r="I1056" s="2" t="s">
        <v>117</v>
      </c>
    </row>
    <row r="1057" spans="1:9" ht="16" x14ac:dyDescent="0.8">
      <c r="A1057" s="2" t="s">
        <v>1497</v>
      </c>
      <c r="B1057" s="2" t="s">
        <v>115</v>
      </c>
      <c r="C1057" s="2" t="s">
        <v>116</v>
      </c>
      <c r="D1057" s="2" t="s">
        <v>116</v>
      </c>
      <c r="E1057" s="3">
        <v>1</v>
      </c>
      <c r="F1057" s="3">
        <v>1</v>
      </c>
      <c r="G1057" s="2" t="s">
        <v>11</v>
      </c>
      <c r="H1057" s="2" t="s">
        <v>1496</v>
      </c>
      <c r="I1057" s="2" t="s">
        <v>117</v>
      </c>
    </row>
    <row r="1058" spans="1:9" ht="16" x14ac:dyDescent="0.8">
      <c r="A1058" s="2" t="s">
        <v>1497</v>
      </c>
      <c r="B1058" s="2" t="s">
        <v>124</v>
      </c>
      <c r="C1058" s="2" t="s">
        <v>125</v>
      </c>
      <c r="D1058" s="2" t="s">
        <v>125</v>
      </c>
      <c r="E1058" s="3">
        <v>3</v>
      </c>
      <c r="F1058" s="3">
        <v>3</v>
      </c>
      <c r="G1058" s="2" t="s">
        <v>11</v>
      </c>
      <c r="H1058" s="2" t="s">
        <v>1496</v>
      </c>
      <c r="I1058" s="2" t="s">
        <v>117</v>
      </c>
    </row>
    <row r="1059" spans="1:9" ht="16" x14ac:dyDescent="0.8">
      <c r="A1059" s="2" t="s">
        <v>1498</v>
      </c>
      <c r="B1059" s="2" t="s">
        <v>102</v>
      </c>
      <c r="C1059" s="2" t="s">
        <v>103</v>
      </c>
      <c r="D1059" s="2" t="s">
        <v>103</v>
      </c>
      <c r="E1059" s="3">
        <v>1</v>
      </c>
      <c r="F1059" s="3">
        <v>1</v>
      </c>
      <c r="G1059" s="2" t="s">
        <v>11</v>
      </c>
      <c r="H1059" s="2" t="s">
        <v>1496</v>
      </c>
      <c r="I1059" s="2" t="s">
        <v>87</v>
      </c>
    </row>
    <row r="1060" spans="1:9" ht="16" x14ac:dyDescent="0.8">
      <c r="A1060" s="2" t="s">
        <v>1498</v>
      </c>
      <c r="B1060" s="2" t="s">
        <v>908</v>
      </c>
      <c r="C1060" s="2" t="s">
        <v>909</v>
      </c>
      <c r="D1060" s="2" t="s">
        <v>909</v>
      </c>
      <c r="E1060" s="3">
        <v>4</v>
      </c>
      <c r="F1060" s="3">
        <v>4</v>
      </c>
      <c r="G1060" s="2" t="s">
        <v>11</v>
      </c>
      <c r="H1060" s="2" t="s">
        <v>1496</v>
      </c>
      <c r="I1060" s="2" t="s">
        <v>87</v>
      </c>
    </row>
    <row r="1061" spans="1:9" ht="16" x14ac:dyDescent="0.8">
      <c r="A1061" s="2" t="s">
        <v>1498</v>
      </c>
      <c r="B1061" s="2" t="s">
        <v>90</v>
      </c>
      <c r="C1061" s="2" t="s">
        <v>91</v>
      </c>
      <c r="D1061" s="2" t="s">
        <v>91</v>
      </c>
      <c r="E1061" s="3">
        <v>1</v>
      </c>
      <c r="F1061" s="3">
        <v>1</v>
      </c>
      <c r="G1061" s="2" t="s">
        <v>11</v>
      </c>
      <c r="H1061" s="2" t="s">
        <v>1496</v>
      </c>
      <c r="I1061" s="2" t="s">
        <v>87</v>
      </c>
    </row>
    <row r="1062" spans="1:9" ht="16" x14ac:dyDescent="0.8">
      <c r="A1062" s="2" t="s">
        <v>1498</v>
      </c>
      <c r="B1062" s="2" t="s">
        <v>96</v>
      </c>
      <c r="C1062" s="2" t="s">
        <v>97</v>
      </c>
      <c r="D1062" s="2" t="s">
        <v>97</v>
      </c>
      <c r="E1062" s="3">
        <v>1</v>
      </c>
      <c r="F1062" s="3">
        <v>1</v>
      </c>
      <c r="G1062" s="2" t="s">
        <v>11</v>
      </c>
      <c r="H1062" s="2" t="s">
        <v>1496</v>
      </c>
      <c r="I1062" s="2" t="s">
        <v>87</v>
      </c>
    </row>
    <row r="1063" spans="1:9" ht="16" x14ac:dyDescent="0.8">
      <c r="A1063" s="2" t="s">
        <v>1499</v>
      </c>
      <c r="B1063" s="2" t="s">
        <v>665</v>
      </c>
      <c r="C1063" s="2" t="s">
        <v>666</v>
      </c>
      <c r="D1063" s="2" t="s">
        <v>666</v>
      </c>
      <c r="E1063" s="3">
        <v>2</v>
      </c>
      <c r="F1063" s="3">
        <v>2</v>
      </c>
      <c r="G1063" s="2" t="s">
        <v>11</v>
      </c>
      <c r="H1063" s="2" t="s">
        <v>1496</v>
      </c>
      <c r="I1063" s="2" t="s">
        <v>63</v>
      </c>
    </row>
    <row r="1064" spans="1:9" ht="16" x14ac:dyDescent="0.8">
      <c r="A1064" s="2" t="s">
        <v>1500</v>
      </c>
      <c r="B1064" s="2" t="s">
        <v>1332</v>
      </c>
      <c r="C1064" s="2" t="s">
        <v>1333</v>
      </c>
      <c r="D1064" s="2" t="s">
        <v>1333</v>
      </c>
      <c r="E1064" s="3">
        <v>14592</v>
      </c>
      <c r="F1064" s="3">
        <v>14592</v>
      </c>
      <c r="G1064" s="2" t="s">
        <v>11</v>
      </c>
      <c r="H1064" s="2" t="s">
        <v>1496</v>
      </c>
      <c r="I1064" s="2" t="s">
        <v>238</v>
      </c>
    </row>
    <row r="1065" spans="1:9" ht="16" x14ac:dyDescent="0.8">
      <c r="A1065" s="2" t="s">
        <v>1500</v>
      </c>
      <c r="B1065" s="2" t="s">
        <v>1334</v>
      </c>
      <c r="C1065" s="2" t="s">
        <v>1335</v>
      </c>
      <c r="D1065" s="2" t="s">
        <v>1335</v>
      </c>
      <c r="E1065" s="3">
        <v>14784</v>
      </c>
      <c r="F1065" s="3">
        <v>14784</v>
      </c>
      <c r="G1065" s="2" t="s">
        <v>11</v>
      </c>
      <c r="H1065" s="2" t="s">
        <v>1496</v>
      </c>
      <c r="I1065" s="2" t="s">
        <v>238</v>
      </c>
    </row>
    <row r="1066" spans="1:9" ht="16" x14ac:dyDescent="0.8">
      <c r="A1066" s="2" t="s">
        <v>1500</v>
      </c>
      <c r="B1066" s="2" t="s">
        <v>1336</v>
      </c>
      <c r="C1066" s="2" t="s">
        <v>1337</v>
      </c>
      <c r="D1066" s="2" t="s">
        <v>1337</v>
      </c>
      <c r="E1066" s="3">
        <v>22140</v>
      </c>
      <c r="F1066" s="3">
        <v>22140</v>
      </c>
      <c r="G1066" s="2" t="s">
        <v>11</v>
      </c>
      <c r="H1066" s="2" t="s">
        <v>1496</v>
      </c>
      <c r="I1066" s="2" t="s">
        <v>238</v>
      </c>
    </row>
    <row r="1067" spans="1:9" ht="16" x14ac:dyDescent="0.8">
      <c r="A1067" s="2" t="s">
        <v>1500</v>
      </c>
      <c r="B1067" s="2" t="s">
        <v>1338</v>
      </c>
      <c r="C1067" s="2" t="s">
        <v>1339</v>
      </c>
      <c r="D1067" s="2" t="s">
        <v>1339</v>
      </c>
      <c r="E1067" s="3">
        <v>17280</v>
      </c>
      <c r="F1067" s="3">
        <v>17280</v>
      </c>
      <c r="G1067" s="2" t="s">
        <v>11</v>
      </c>
      <c r="H1067" s="2" t="s">
        <v>1496</v>
      </c>
      <c r="I1067" s="2" t="s">
        <v>238</v>
      </c>
    </row>
    <row r="1068" spans="1:9" ht="16" x14ac:dyDescent="0.8">
      <c r="A1068" s="2" t="s">
        <v>1500</v>
      </c>
      <c r="B1068" s="2" t="s">
        <v>1340</v>
      </c>
      <c r="C1068" s="2" t="s">
        <v>1341</v>
      </c>
      <c r="D1068" s="2" t="s">
        <v>1341</v>
      </c>
      <c r="E1068" s="3">
        <v>15520</v>
      </c>
      <c r="F1068" s="3">
        <v>15520</v>
      </c>
      <c r="G1068" s="2" t="s">
        <v>11</v>
      </c>
      <c r="H1068" s="2" t="s">
        <v>1496</v>
      </c>
      <c r="I1068" s="2" t="s">
        <v>238</v>
      </c>
    </row>
    <row r="1069" spans="1:9" ht="16" x14ac:dyDescent="0.8">
      <c r="A1069" s="2" t="s">
        <v>1500</v>
      </c>
      <c r="B1069" s="2" t="s">
        <v>1342</v>
      </c>
      <c r="C1069" s="2" t="s">
        <v>1343</v>
      </c>
      <c r="D1069" s="2" t="s">
        <v>1343</v>
      </c>
      <c r="E1069" s="3">
        <v>17600</v>
      </c>
      <c r="F1069" s="3">
        <v>17600</v>
      </c>
      <c r="G1069" s="2" t="s">
        <v>11</v>
      </c>
      <c r="H1069" s="2" t="s">
        <v>1496</v>
      </c>
      <c r="I1069" s="2" t="s">
        <v>238</v>
      </c>
    </row>
    <row r="1070" spans="1:9" ht="16" x14ac:dyDescent="0.8">
      <c r="A1070" s="2" t="s">
        <v>1500</v>
      </c>
      <c r="B1070" s="2" t="s">
        <v>1344</v>
      </c>
      <c r="C1070" s="2" t="s">
        <v>1345</v>
      </c>
      <c r="D1070" s="2" t="s">
        <v>1345</v>
      </c>
      <c r="E1070" s="3">
        <v>25600</v>
      </c>
      <c r="F1070" s="3">
        <v>25600</v>
      </c>
      <c r="G1070" s="2" t="s">
        <v>11</v>
      </c>
      <c r="H1070" s="2" t="s">
        <v>1496</v>
      </c>
      <c r="I1070" s="2" t="s">
        <v>238</v>
      </c>
    </row>
    <row r="1071" spans="1:9" ht="16" x14ac:dyDescent="0.8">
      <c r="A1071" s="2" t="s">
        <v>1500</v>
      </c>
      <c r="B1071" s="2" t="s">
        <v>1346</v>
      </c>
      <c r="C1071" s="2" t="s">
        <v>1347</v>
      </c>
      <c r="D1071" s="2" t="s">
        <v>1347</v>
      </c>
      <c r="E1071" s="3">
        <v>29700</v>
      </c>
      <c r="F1071" s="3">
        <v>29700</v>
      </c>
      <c r="G1071" s="2" t="s">
        <v>11</v>
      </c>
      <c r="H1071" s="2" t="s">
        <v>1496</v>
      </c>
      <c r="I1071" s="2" t="s">
        <v>238</v>
      </c>
    </row>
    <row r="1072" spans="1:9" ht="16" x14ac:dyDescent="0.8">
      <c r="A1072" s="2" t="s">
        <v>1500</v>
      </c>
      <c r="B1072" s="2" t="s">
        <v>1348</v>
      </c>
      <c r="C1072" s="2" t="s">
        <v>1349</v>
      </c>
      <c r="D1072" s="2" t="s">
        <v>1349</v>
      </c>
      <c r="E1072" s="3">
        <v>24192</v>
      </c>
      <c r="F1072" s="3">
        <v>24192</v>
      </c>
      <c r="G1072" s="2" t="s">
        <v>11</v>
      </c>
      <c r="H1072" s="2" t="s">
        <v>1496</v>
      </c>
      <c r="I1072" s="2" t="s">
        <v>238</v>
      </c>
    </row>
    <row r="1073" spans="1:9" ht="16" x14ac:dyDescent="0.8">
      <c r="A1073" s="2" t="s">
        <v>1501</v>
      </c>
      <c r="B1073" s="2" t="s">
        <v>1332</v>
      </c>
      <c r="C1073" s="2" t="s">
        <v>1333</v>
      </c>
      <c r="D1073" s="2" t="s">
        <v>1333</v>
      </c>
      <c r="E1073" s="3">
        <v>7296</v>
      </c>
      <c r="F1073" s="3">
        <v>7296</v>
      </c>
      <c r="G1073" s="2" t="s">
        <v>11</v>
      </c>
      <c r="H1073" s="2" t="s">
        <v>1496</v>
      </c>
      <c r="I1073" s="2" t="s">
        <v>238</v>
      </c>
    </row>
    <row r="1074" spans="1:9" ht="16" x14ac:dyDescent="0.8">
      <c r="A1074" s="2" t="s">
        <v>1501</v>
      </c>
      <c r="B1074" s="2" t="s">
        <v>1334</v>
      </c>
      <c r="C1074" s="2" t="s">
        <v>1335</v>
      </c>
      <c r="D1074" s="2" t="s">
        <v>1335</v>
      </c>
      <c r="E1074" s="3">
        <v>9856</v>
      </c>
      <c r="F1074" s="3">
        <v>9856</v>
      </c>
      <c r="G1074" s="2" t="s">
        <v>11</v>
      </c>
      <c r="H1074" s="2" t="s">
        <v>1496</v>
      </c>
      <c r="I1074" s="2" t="s">
        <v>238</v>
      </c>
    </row>
    <row r="1075" spans="1:9" ht="16" x14ac:dyDescent="0.8">
      <c r="A1075" s="2" t="s">
        <v>1501</v>
      </c>
      <c r="B1075" s="2" t="s">
        <v>1340</v>
      </c>
      <c r="C1075" s="2" t="s">
        <v>1341</v>
      </c>
      <c r="D1075" s="2" t="s">
        <v>1341</v>
      </c>
      <c r="E1075" s="3">
        <v>3104</v>
      </c>
      <c r="F1075" s="3">
        <v>3104</v>
      </c>
      <c r="G1075" s="2" t="s">
        <v>11</v>
      </c>
      <c r="H1075" s="2" t="s">
        <v>1496</v>
      </c>
      <c r="I1075" s="2" t="s">
        <v>238</v>
      </c>
    </row>
    <row r="1076" spans="1:9" ht="16" x14ac:dyDescent="0.8">
      <c r="A1076" s="2" t="s">
        <v>1501</v>
      </c>
      <c r="B1076" s="2" t="s">
        <v>1342</v>
      </c>
      <c r="C1076" s="2" t="s">
        <v>1343</v>
      </c>
      <c r="D1076" s="2" t="s">
        <v>1343</v>
      </c>
      <c r="E1076" s="3">
        <v>17600</v>
      </c>
      <c r="F1076" s="3">
        <v>17600</v>
      </c>
      <c r="G1076" s="2" t="s">
        <v>11</v>
      </c>
      <c r="H1076" s="2" t="s">
        <v>1496</v>
      </c>
      <c r="I1076" s="2" t="s">
        <v>238</v>
      </c>
    </row>
    <row r="1077" spans="1:9" ht="16" x14ac:dyDescent="0.8">
      <c r="A1077" s="2" t="s">
        <v>1501</v>
      </c>
      <c r="B1077" s="2" t="s">
        <v>1344</v>
      </c>
      <c r="C1077" s="2" t="s">
        <v>1345</v>
      </c>
      <c r="D1077" s="2" t="s">
        <v>1345</v>
      </c>
      <c r="E1077" s="3">
        <v>12800</v>
      </c>
      <c r="F1077" s="3">
        <v>12800</v>
      </c>
      <c r="G1077" s="2" t="s">
        <v>11</v>
      </c>
      <c r="H1077" s="2" t="s">
        <v>1496</v>
      </c>
      <c r="I1077" s="2" t="s">
        <v>238</v>
      </c>
    </row>
    <row r="1078" spans="1:9" ht="16" x14ac:dyDescent="0.8">
      <c r="A1078" s="2" t="s">
        <v>1501</v>
      </c>
      <c r="B1078" s="2" t="s">
        <v>1346</v>
      </c>
      <c r="C1078" s="2" t="s">
        <v>1347</v>
      </c>
      <c r="D1078" s="2" t="s">
        <v>1347</v>
      </c>
      <c r="E1078" s="3">
        <v>9900</v>
      </c>
      <c r="F1078" s="3">
        <v>9900</v>
      </c>
      <c r="G1078" s="2" t="s">
        <v>11</v>
      </c>
      <c r="H1078" s="2" t="s">
        <v>1496</v>
      </c>
      <c r="I1078" s="2" t="s">
        <v>238</v>
      </c>
    </row>
    <row r="1079" spans="1:9" ht="16" x14ac:dyDescent="0.8">
      <c r="A1079" s="2" t="s">
        <v>1501</v>
      </c>
      <c r="B1079" s="2" t="s">
        <v>1348</v>
      </c>
      <c r="C1079" s="2" t="s">
        <v>1349</v>
      </c>
      <c r="D1079" s="2" t="s">
        <v>1349</v>
      </c>
      <c r="E1079" s="3">
        <v>12096</v>
      </c>
      <c r="F1079" s="3">
        <v>12096</v>
      </c>
      <c r="G1079" s="2" t="s">
        <v>11</v>
      </c>
      <c r="H1079" s="2" t="s">
        <v>1496</v>
      </c>
      <c r="I1079" s="2" t="s">
        <v>238</v>
      </c>
    </row>
    <row r="1080" spans="1:9" ht="16" x14ac:dyDescent="0.8">
      <c r="A1080" s="2" t="s">
        <v>1502</v>
      </c>
      <c r="B1080" s="2" t="s">
        <v>1332</v>
      </c>
      <c r="C1080" s="2" t="s">
        <v>1333</v>
      </c>
      <c r="D1080" s="2" t="s">
        <v>1333</v>
      </c>
      <c r="E1080" s="3">
        <v>7296</v>
      </c>
      <c r="F1080" s="3">
        <v>7296</v>
      </c>
      <c r="G1080" s="2" t="s">
        <v>196</v>
      </c>
      <c r="H1080" s="2" t="s">
        <v>1496</v>
      </c>
      <c r="I1080" s="2" t="s">
        <v>238</v>
      </c>
    </row>
    <row r="1081" spans="1:9" ht="16" x14ac:dyDescent="0.8">
      <c r="A1081" s="2" t="s">
        <v>1502</v>
      </c>
      <c r="B1081" s="2" t="s">
        <v>1334</v>
      </c>
      <c r="C1081" s="2" t="s">
        <v>1335</v>
      </c>
      <c r="D1081" s="2" t="s">
        <v>1335</v>
      </c>
      <c r="E1081" s="3">
        <v>4928</v>
      </c>
      <c r="F1081" s="3">
        <v>4928</v>
      </c>
      <c r="G1081" s="2" t="s">
        <v>196</v>
      </c>
      <c r="H1081" s="2" t="s">
        <v>1496</v>
      </c>
      <c r="I1081" s="2" t="s">
        <v>238</v>
      </c>
    </row>
    <row r="1082" spans="1:9" ht="16" x14ac:dyDescent="0.8">
      <c r="A1082" s="2" t="s">
        <v>1502</v>
      </c>
      <c r="B1082" s="2" t="s">
        <v>1336</v>
      </c>
      <c r="C1082" s="2" t="s">
        <v>1337</v>
      </c>
      <c r="D1082" s="2" t="s">
        <v>1337</v>
      </c>
      <c r="E1082" s="3">
        <v>7380</v>
      </c>
      <c r="F1082" s="3">
        <v>7380</v>
      </c>
      <c r="G1082" s="2" t="s">
        <v>196</v>
      </c>
      <c r="H1082" s="2" t="s">
        <v>1496</v>
      </c>
      <c r="I1082" s="2" t="s">
        <v>238</v>
      </c>
    </row>
    <row r="1083" spans="1:9" ht="16" x14ac:dyDescent="0.8">
      <c r="A1083" s="2" t="s">
        <v>1502</v>
      </c>
      <c r="B1083" s="2" t="s">
        <v>1338</v>
      </c>
      <c r="C1083" s="2" t="s">
        <v>1339</v>
      </c>
      <c r="D1083" s="2" t="s">
        <v>1339</v>
      </c>
      <c r="E1083" s="3">
        <v>11520</v>
      </c>
      <c r="F1083" s="3">
        <v>17280</v>
      </c>
      <c r="G1083" s="2" t="s">
        <v>196</v>
      </c>
      <c r="H1083" s="2" t="s">
        <v>1496</v>
      </c>
      <c r="I1083" s="2" t="s">
        <v>238</v>
      </c>
    </row>
    <row r="1084" spans="1:9" ht="16" x14ac:dyDescent="0.8">
      <c r="A1084" s="2" t="s">
        <v>1502</v>
      </c>
      <c r="B1084" s="2" t="s">
        <v>1340</v>
      </c>
      <c r="C1084" s="2" t="s">
        <v>1341</v>
      </c>
      <c r="D1084" s="2" t="s">
        <v>1341</v>
      </c>
      <c r="E1084" s="3">
        <v>6208</v>
      </c>
      <c r="F1084" s="3">
        <v>6208</v>
      </c>
      <c r="G1084" s="2" t="s">
        <v>196</v>
      </c>
      <c r="H1084" s="2" t="s">
        <v>1496</v>
      </c>
      <c r="I1084" s="2" t="s">
        <v>238</v>
      </c>
    </row>
    <row r="1085" spans="1:9" ht="16" x14ac:dyDescent="0.8">
      <c r="A1085" s="2" t="s">
        <v>1502</v>
      </c>
      <c r="B1085" s="2" t="s">
        <v>1342</v>
      </c>
      <c r="C1085" s="2" t="s">
        <v>1343</v>
      </c>
      <c r="D1085" s="2" t="s">
        <v>1343</v>
      </c>
      <c r="E1085" s="3">
        <v>4800</v>
      </c>
      <c r="F1085" s="3">
        <v>4800</v>
      </c>
      <c r="G1085" s="2" t="s">
        <v>196</v>
      </c>
      <c r="H1085" s="2" t="s">
        <v>1496</v>
      </c>
      <c r="I1085" s="2" t="s">
        <v>238</v>
      </c>
    </row>
    <row r="1086" spans="1:9" ht="16" x14ac:dyDescent="0.8">
      <c r="A1086" s="2" t="s">
        <v>1502</v>
      </c>
      <c r="B1086" s="2" t="s">
        <v>1344</v>
      </c>
      <c r="C1086" s="2" t="s">
        <v>1345</v>
      </c>
      <c r="D1086" s="2" t="s">
        <v>1345</v>
      </c>
      <c r="E1086" s="3">
        <v>12800</v>
      </c>
      <c r="F1086" s="3">
        <v>12800</v>
      </c>
      <c r="G1086" s="2" t="s">
        <v>196</v>
      </c>
      <c r="H1086" s="2" t="s">
        <v>1496</v>
      </c>
      <c r="I1086" s="2" t="s">
        <v>238</v>
      </c>
    </row>
    <row r="1087" spans="1:9" ht="16" x14ac:dyDescent="0.8">
      <c r="A1087" s="2" t="s">
        <v>1502</v>
      </c>
      <c r="B1087" s="2" t="s">
        <v>1346</v>
      </c>
      <c r="C1087" s="2" t="s">
        <v>1347</v>
      </c>
      <c r="D1087" s="2" t="s">
        <v>1347</v>
      </c>
      <c r="E1087" s="3">
        <v>19800</v>
      </c>
      <c r="F1087" s="3">
        <v>19800</v>
      </c>
      <c r="G1087" s="2" t="s">
        <v>196</v>
      </c>
      <c r="H1087" s="2" t="s">
        <v>1496</v>
      </c>
      <c r="I1087" s="2" t="s">
        <v>238</v>
      </c>
    </row>
    <row r="1088" spans="1:9" ht="16" x14ac:dyDescent="0.8">
      <c r="A1088" s="2" t="s">
        <v>1502</v>
      </c>
      <c r="B1088" s="2" t="s">
        <v>1348</v>
      </c>
      <c r="C1088" s="2" t="s">
        <v>1349</v>
      </c>
      <c r="D1088" s="2" t="s">
        <v>1349</v>
      </c>
      <c r="E1088" s="3">
        <v>12096</v>
      </c>
      <c r="F1088" s="3">
        <v>12096</v>
      </c>
      <c r="G1088" s="2" t="s">
        <v>196</v>
      </c>
      <c r="H1088" s="2" t="s">
        <v>1496</v>
      </c>
      <c r="I1088" s="2" t="s">
        <v>238</v>
      </c>
    </row>
    <row r="1089" spans="1:9" ht="16" x14ac:dyDescent="0.8">
      <c r="A1089" s="2" t="s">
        <v>1503</v>
      </c>
      <c r="B1089" s="2" t="s">
        <v>1332</v>
      </c>
      <c r="C1089" s="2" t="s">
        <v>1333</v>
      </c>
      <c r="D1089" s="2" t="s">
        <v>1333</v>
      </c>
      <c r="E1089" s="3">
        <v>7296</v>
      </c>
      <c r="F1089" s="3">
        <v>7296</v>
      </c>
      <c r="G1089" s="2" t="s">
        <v>11</v>
      </c>
      <c r="H1089" s="2" t="s">
        <v>1496</v>
      </c>
      <c r="I1089" s="2" t="s">
        <v>238</v>
      </c>
    </row>
    <row r="1090" spans="1:9" ht="16" x14ac:dyDescent="0.8">
      <c r="A1090" s="2" t="s">
        <v>1503</v>
      </c>
      <c r="B1090" s="2" t="s">
        <v>1334</v>
      </c>
      <c r="C1090" s="2" t="s">
        <v>1335</v>
      </c>
      <c r="D1090" s="2" t="s">
        <v>1335</v>
      </c>
      <c r="E1090" s="3">
        <v>9856</v>
      </c>
      <c r="F1090" s="3">
        <v>9856</v>
      </c>
      <c r="G1090" s="2" t="s">
        <v>11</v>
      </c>
      <c r="H1090" s="2" t="s">
        <v>1496</v>
      </c>
      <c r="I1090" s="2" t="s">
        <v>238</v>
      </c>
    </row>
    <row r="1091" spans="1:9" ht="16" x14ac:dyDescent="0.8">
      <c r="A1091" s="2" t="s">
        <v>1503</v>
      </c>
      <c r="B1091" s="2" t="s">
        <v>1336</v>
      </c>
      <c r="C1091" s="2" t="s">
        <v>1337</v>
      </c>
      <c r="D1091" s="2" t="s">
        <v>1337</v>
      </c>
      <c r="E1091" s="3">
        <v>7380</v>
      </c>
      <c r="F1091" s="3">
        <v>7880</v>
      </c>
      <c r="G1091" s="2" t="s">
        <v>11</v>
      </c>
      <c r="H1091" s="2" t="s">
        <v>1496</v>
      </c>
      <c r="I1091" s="2" t="s">
        <v>238</v>
      </c>
    </row>
    <row r="1092" spans="1:9" ht="16" x14ac:dyDescent="0.8">
      <c r="A1092" s="2" t="s">
        <v>1503</v>
      </c>
      <c r="B1092" s="2" t="s">
        <v>1338</v>
      </c>
      <c r="C1092" s="2" t="s">
        <v>1339</v>
      </c>
      <c r="D1092" s="2" t="s">
        <v>1339</v>
      </c>
      <c r="E1092" s="3">
        <v>5760</v>
      </c>
      <c r="F1092" s="3">
        <v>10080</v>
      </c>
      <c r="G1092" s="2" t="s">
        <v>11</v>
      </c>
      <c r="H1092" s="2" t="s">
        <v>1496</v>
      </c>
      <c r="I1092" s="2" t="s">
        <v>238</v>
      </c>
    </row>
    <row r="1093" spans="1:9" ht="16" x14ac:dyDescent="0.8">
      <c r="A1093" s="2" t="s">
        <v>1503</v>
      </c>
      <c r="B1093" s="2" t="s">
        <v>1340</v>
      </c>
      <c r="C1093" s="2" t="s">
        <v>1341</v>
      </c>
      <c r="D1093" s="2" t="s">
        <v>1341</v>
      </c>
      <c r="E1093" s="3">
        <v>6208</v>
      </c>
      <c r="F1093" s="3">
        <v>6208</v>
      </c>
      <c r="G1093" s="2" t="s">
        <v>11</v>
      </c>
      <c r="H1093" s="2" t="s">
        <v>1496</v>
      </c>
      <c r="I1093" s="2" t="s">
        <v>238</v>
      </c>
    </row>
    <row r="1094" spans="1:9" ht="16" x14ac:dyDescent="0.8">
      <c r="A1094" s="2" t="s">
        <v>1503</v>
      </c>
      <c r="B1094" s="2" t="s">
        <v>1344</v>
      </c>
      <c r="C1094" s="2" t="s">
        <v>1345</v>
      </c>
      <c r="D1094" s="2" t="s">
        <v>1345</v>
      </c>
      <c r="E1094" s="3">
        <v>11776</v>
      </c>
      <c r="F1094" s="3">
        <v>11776</v>
      </c>
      <c r="G1094" s="2" t="s">
        <v>11</v>
      </c>
      <c r="H1094" s="2" t="s">
        <v>1496</v>
      </c>
      <c r="I1094" s="2" t="s">
        <v>238</v>
      </c>
    </row>
    <row r="1095" spans="1:9" ht="16" x14ac:dyDescent="0.8">
      <c r="A1095" s="2" t="s">
        <v>1503</v>
      </c>
      <c r="B1095" s="2" t="s">
        <v>1346</v>
      </c>
      <c r="C1095" s="2" t="s">
        <v>1347</v>
      </c>
      <c r="D1095" s="2" t="s">
        <v>1347</v>
      </c>
      <c r="E1095" s="3">
        <v>9900</v>
      </c>
      <c r="F1095" s="3">
        <v>9900</v>
      </c>
      <c r="G1095" s="2" t="s">
        <v>11</v>
      </c>
      <c r="H1095" s="2" t="s">
        <v>1496</v>
      </c>
      <c r="I1095" s="2" t="s">
        <v>238</v>
      </c>
    </row>
    <row r="1096" spans="1:9" ht="16" x14ac:dyDescent="0.8">
      <c r="A1096" s="2" t="s">
        <v>1503</v>
      </c>
      <c r="B1096" s="2" t="s">
        <v>1348</v>
      </c>
      <c r="C1096" s="2" t="s">
        <v>1349</v>
      </c>
      <c r="D1096" s="2" t="s">
        <v>1349</v>
      </c>
      <c r="E1096" s="3">
        <v>12096</v>
      </c>
      <c r="F1096" s="3">
        <v>12096</v>
      </c>
      <c r="G1096" s="2" t="s">
        <v>11</v>
      </c>
      <c r="H1096" s="2" t="s">
        <v>1496</v>
      </c>
      <c r="I1096" s="2" t="s">
        <v>238</v>
      </c>
    </row>
    <row r="1097" spans="1:9" ht="16" x14ac:dyDescent="0.8">
      <c r="A1097" s="2" t="s">
        <v>1504</v>
      </c>
      <c r="B1097" s="2" t="s">
        <v>1332</v>
      </c>
      <c r="C1097" s="2" t="s">
        <v>1333</v>
      </c>
      <c r="D1097" s="2" t="s">
        <v>1333</v>
      </c>
      <c r="E1097" s="3">
        <v>10512</v>
      </c>
      <c r="F1097" s="3">
        <v>10512</v>
      </c>
      <c r="G1097" s="2" t="s">
        <v>196</v>
      </c>
      <c r="H1097" s="2" t="s">
        <v>1496</v>
      </c>
      <c r="I1097" s="2" t="s">
        <v>238</v>
      </c>
    </row>
    <row r="1098" spans="1:9" ht="16" x14ac:dyDescent="0.8">
      <c r="A1098" s="2" t="s">
        <v>1504</v>
      </c>
      <c r="B1098" s="2" t="s">
        <v>1334</v>
      </c>
      <c r="C1098" s="2" t="s">
        <v>1335</v>
      </c>
      <c r="D1098" s="2" t="s">
        <v>1335</v>
      </c>
      <c r="E1098" s="3">
        <v>7316</v>
      </c>
      <c r="F1098" s="3">
        <v>7316</v>
      </c>
      <c r="G1098" s="2" t="s">
        <v>196</v>
      </c>
      <c r="H1098" s="2" t="s">
        <v>1496</v>
      </c>
      <c r="I1098" s="2" t="s">
        <v>238</v>
      </c>
    </row>
    <row r="1099" spans="1:9" ht="16" x14ac:dyDescent="0.8">
      <c r="A1099" s="2" t="s">
        <v>1504</v>
      </c>
      <c r="B1099" s="2" t="s">
        <v>1336</v>
      </c>
      <c r="C1099" s="2" t="s">
        <v>1337</v>
      </c>
      <c r="D1099" s="2" t="s">
        <v>1337</v>
      </c>
      <c r="E1099" s="3">
        <v>16764</v>
      </c>
      <c r="F1099" s="3">
        <v>16264</v>
      </c>
      <c r="G1099" s="2" t="s">
        <v>196</v>
      </c>
      <c r="H1099" s="2" t="s">
        <v>1496</v>
      </c>
      <c r="I1099" s="2" t="s">
        <v>238</v>
      </c>
    </row>
    <row r="1100" spans="1:9" ht="16" x14ac:dyDescent="0.8">
      <c r="A1100" s="2" t="s">
        <v>1504</v>
      </c>
      <c r="B1100" s="2" t="s">
        <v>1338</v>
      </c>
      <c r="C1100" s="2" t="s">
        <v>1339</v>
      </c>
      <c r="D1100" s="2" t="s">
        <v>1339</v>
      </c>
      <c r="E1100" s="3">
        <v>10320</v>
      </c>
      <c r="F1100" s="3">
        <v>240</v>
      </c>
      <c r="G1100" s="2" t="s">
        <v>196</v>
      </c>
      <c r="H1100" s="2" t="s">
        <v>1496</v>
      </c>
      <c r="I1100" s="2" t="s">
        <v>238</v>
      </c>
    </row>
    <row r="1101" spans="1:9" ht="16" x14ac:dyDescent="0.8">
      <c r="A1101" s="2" t="s">
        <v>1504</v>
      </c>
      <c r="B1101" s="2" t="s">
        <v>1340</v>
      </c>
      <c r="C1101" s="2" t="s">
        <v>1341</v>
      </c>
      <c r="D1101" s="2" t="s">
        <v>1341</v>
      </c>
      <c r="E1101" s="3">
        <v>7168</v>
      </c>
      <c r="F1101" s="3">
        <v>7168</v>
      </c>
      <c r="G1101" s="2" t="s">
        <v>196</v>
      </c>
      <c r="H1101" s="2" t="s">
        <v>1496</v>
      </c>
      <c r="I1101" s="2" t="s">
        <v>238</v>
      </c>
    </row>
    <row r="1102" spans="1:9" ht="16" x14ac:dyDescent="0.8">
      <c r="A1102" s="2" t="s">
        <v>1504</v>
      </c>
      <c r="B1102" s="2" t="s">
        <v>1346</v>
      </c>
      <c r="C1102" s="2" t="s">
        <v>1347</v>
      </c>
      <c r="D1102" s="2" t="s">
        <v>1347</v>
      </c>
      <c r="E1102" s="3">
        <v>11468</v>
      </c>
      <c r="F1102" s="3">
        <v>11468</v>
      </c>
      <c r="G1102" s="2" t="s">
        <v>196</v>
      </c>
      <c r="H1102" s="2" t="s">
        <v>1496</v>
      </c>
      <c r="I1102" s="2" t="s">
        <v>238</v>
      </c>
    </row>
    <row r="1103" spans="1:9" ht="16" x14ac:dyDescent="0.8">
      <c r="A1103" s="2" t="s">
        <v>1504</v>
      </c>
      <c r="B1103" s="2" t="s">
        <v>1348</v>
      </c>
      <c r="C1103" s="2" t="s">
        <v>1349</v>
      </c>
      <c r="D1103" s="2" t="s">
        <v>1349</v>
      </c>
      <c r="E1103" s="3">
        <v>15120</v>
      </c>
      <c r="F1103" s="3">
        <v>15120</v>
      </c>
      <c r="G1103" s="2" t="s">
        <v>196</v>
      </c>
      <c r="H1103" s="2" t="s">
        <v>1496</v>
      </c>
      <c r="I1103" s="2" t="s">
        <v>238</v>
      </c>
    </row>
    <row r="1104" spans="1:9" ht="16" x14ac:dyDescent="0.8">
      <c r="A1104" s="2" t="s">
        <v>1506</v>
      </c>
      <c r="B1104" s="2" t="s">
        <v>1136</v>
      </c>
      <c r="C1104" s="2" t="s">
        <v>1137</v>
      </c>
      <c r="D1104" s="2" t="s">
        <v>1137</v>
      </c>
      <c r="E1104" s="3">
        <v>2888</v>
      </c>
      <c r="F1104" s="3">
        <v>2888</v>
      </c>
      <c r="G1104" s="2" t="s">
        <v>11</v>
      </c>
      <c r="H1104" s="2" t="s">
        <v>1471</v>
      </c>
      <c r="I1104" s="2" t="s">
        <v>208</v>
      </c>
    </row>
    <row r="1105" spans="1:9" ht="16" x14ac:dyDescent="0.8">
      <c r="A1105" s="2" t="s">
        <v>1506</v>
      </c>
      <c r="B1105" s="2" t="s">
        <v>1320</v>
      </c>
      <c r="C1105" s="2" t="s">
        <v>210</v>
      </c>
      <c r="D1105" s="2" t="s">
        <v>210</v>
      </c>
      <c r="E1105" s="3">
        <v>2888</v>
      </c>
      <c r="F1105" s="3">
        <v>2888</v>
      </c>
      <c r="G1105" s="2" t="s">
        <v>11</v>
      </c>
      <c r="H1105" s="2" t="s">
        <v>1471</v>
      </c>
      <c r="I1105" s="2" t="s">
        <v>208</v>
      </c>
    </row>
    <row r="1106" spans="1:9" ht="16" x14ac:dyDescent="0.8">
      <c r="A1106" s="2" t="s">
        <v>1507</v>
      </c>
      <c r="B1106" s="2" t="s">
        <v>1508</v>
      </c>
      <c r="C1106" s="2" t="s">
        <v>1509</v>
      </c>
      <c r="D1106" s="2" t="s">
        <v>1509</v>
      </c>
      <c r="E1106" s="3">
        <v>3900</v>
      </c>
      <c r="F1106" s="3">
        <v>3900</v>
      </c>
      <c r="G1106" s="2" t="s">
        <v>11</v>
      </c>
      <c r="H1106" s="2" t="s">
        <v>1471</v>
      </c>
      <c r="I1106" s="2" t="s">
        <v>1121</v>
      </c>
    </row>
    <row r="1107" spans="1:9" ht="16" x14ac:dyDescent="0.8">
      <c r="A1107" s="2" t="s">
        <v>1510</v>
      </c>
      <c r="B1107" s="2" t="s">
        <v>769</v>
      </c>
      <c r="C1107" s="2" t="s">
        <v>770</v>
      </c>
      <c r="D1107" s="2" t="s">
        <v>770</v>
      </c>
      <c r="E1107" s="3">
        <v>7020</v>
      </c>
      <c r="F1107" s="3">
        <v>7020</v>
      </c>
      <c r="G1107" s="2" t="s">
        <v>11</v>
      </c>
      <c r="H1107" s="2" t="s">
        <v>1511</v>
      </c>
      <c r="I1107" s="2" t="s">
        <v>238</v>
      </c>
    </row>
    <row r="1108" spans="1:9" ht="16" x14ac:dyDescent="0.8">
      <c r="A1108" s="2" t="s">
        <v>1510</v>
      </c>
      <c r="B1108" s="2" t="s">
        <v>1512</v>
      </c>
      <c r="C1108" s="2" t="s">
        <v>1513</v>
      </c>
      <c r="D1108" s="2" t="s">
        <v>1513</v>
      </c>
      <c r="E1108" s="3">
        <v>10000</v>
      </c>
      <c r="F1108" s="3">
        <v>10000</v>
      </c>
      <c r="G1108" s="2" t="s">
        <v>11</v>
      </c>
      <c r="H1108" s="2" t="s">
        <v>1511</v>
      </c>
      <c r="I1108" s="2" t="s">
        <v>238</v>
      </c>
    </row>
    <row r="1109" spans="1:9" ht="16" x14ac:dyDescent="0.8">
      <c r="A1109" s="2" t="s">
        <v>1510</v>
      </c>
      <c r="B1109" s="2" t="s">
        <v>1514</v>
      </c>
      <c r="C1109" s="2" t="s">
        <v>1515</v>
      </c>
      <c r="D1109" s="2" t="s">
        <v>1515</v>
      </c>
      <c r="E1109" s="3">
        <v>10000</v>
      </c>
      <c r="F1109" s="3">
        <v>10000</v>
      </c>
      <c r="G1109" s="2" t="s">
        <v>11</v>
      </c>
      <c r="H1109" s="2" t="s">
        <v>1511</v>
      </c>
      <c r="I1109" s="2" t="s">
        <v>238</v>
      </c>
    </row>
    <row r="1110" spans="1:9" ht="16" x14ac:dyDescent="0.8">
      <c r="A1110" s="2" t="s">
        <v>1517</v>
      </c>
      <c r="B1110" s="2" t="s">
        <v>863</v>
      </c>
      <c r="C1110" s="2" t="s">
        <v>864</v>
      </c>
      <c r="D1110" s="2" t="s">
        <v>864</v>
      </c>
      <c r="E1110" s="3">
        <v>27000</v>
      </c>
      <c r="F1110" s="3">
        <v>27000</v>
      </c>
      <c r="G1110" s="2" t="s">
        <v>11</v>
      </c>
      <c r="H1110" s="2" t="s">
        <v>1511</v>
      </c>
      <c r="I1110" s="2" t="s">
        <v>168</v>
      </c>
    </row>
    <row r="1111" spans="1:9" ht="16" x14ac:dyDescent="0.8">
      <c r="A1111" s="2" t="s">
        <v>1517</v>
      </c>
      <c r="B1111" s="2" t="s">
        <v>865</v>
      </c>
      <c r="C1111" s="2" t="s">
        <v>866</v>
      </c>
      <c r="D1111" s="2" t="s">
        <v>866</v>
      </c>
      <c r="E1111" s="3">
        <v>30000</v>
      </c>
      <c r="F1111" s="3">
        <v>30000</v>
      </c>
      <c r="G1111" s="2" t="s">
        <v>11</v>
      </c>
      <c r="H1111" s="2" t="s">
        <v>1511</v>
      </c>
      <c r="I1111" s="2" t="s">
        <v>168</v>
      </c>
    </row>
    <row r="1112" spans="1:9" ht="16" x14ac:dyDescent="0.8">
      <c r="A1112" s="2" t="s">
        <v>1517</v>
      </c>
      <c r="B1112" s="2" t="s">
        <v>1518</v>
      </c>
      <c r="C1112" s="2" t="s">
        <v>1519</v>
      </c>
      <c r="D1112" s="2" t="s">
        <v>1519</v>
      </c>
      <c r="E1112" s="3">
        <v>9000</v>
      </c>
      <c r="F1112" s="3">
        <v>9000</v>
      </c>
      <c r="G1112" s="2" t="s">
        <v>11</v>
      </c>
      <c r="H1112" s="2" t="s">
        <v>1511</v>
      </c>
      <c r="I1112" s="2" t="s">
        <v>168</v>
      </c>
    </row>
    <row r="1113" spans="1:9" ht="16" x14ac:dyDescent="0.8">
      <c r="A1113" s="2" t="s">
        <v>1517</v>
      </c>
      <c r="B1113" s="2" t="s">
        <v>1520</v>
      </c>
      <c r="C1113" s="2" t="s">
        <v>967</v>
      </c>
      <c r="D1113" s="2" t="s">
        <v>967</v>
      </c>
      <c r="E1113" s="3">
        <v>24000</v>
      </c>
      <c r="F1113" s="3">
        <v>24000</v>
      </c>
      <c r="G1113" s="2" t="s">
        <v>11</v>
      </c>
      <c r="H1113" s="2" t="s">
        <v>1511</v>
      </c>
      <c r="I1113" s="2" t="s">
        <v>168</v>
      </c>
    </row>
    <row r="1114" spans="1:9" ht="16" x14ac:dyDescent="0.8">
      <c r="A1114" s="2" t="s">
        <v>1523</v>
      </c>
      <c r="B1114" s="2" t="s">
        <v>863</v>
      </c>
      <c r="C1114" s="2" t="s">
        <v>864</v>
      </c>
      <c r="D1114" s="2" t="s">
        <v>864</v>
      </c>
      <c r="E1114" s="3">
        <v>27000</v>
      </c>
      <c r="F1114" s="3">
        <v>27000</v>
      </c>
      <c r="G1114" s="2" t="s">
        <v>11</v>
      </c>
      <c r="H1114" s="2" t="s">
        <v>1505</v>
      </c>
      <c r="I1114" s="2" t="s">
        <v>168</v>
      </c>
    </row>
    <row r="1115" spans="1:9" ht="16" x14ac:dyDescent="0.8">
      <c r="A1115" s="2" t="s">
        <v>1523</v>
      </c>
      <c r="B1115" s="2" t="s">
        <v>865</v>
      </c>
      <c r="C1115" s="2" t="s">
        <v>866</v>
      </c>
      <c r="D1115" s="2" t="s">
        <v>866</v>
      </c>
      <c r="E1115" s="3">
        <v>30000</v>
      </c>
      <c r="F1115" s="3">
        <v>30000</v>
      </c>
      <c r="G1115" s="2" t="s">
        <v>11</v>
      </c>
      <c r="H1115" s="2" t="s">
        <v>1505</v>
      </c>
      <c r="I1115" s="2" t="s">
        <v>168</v>
      </c>
    </row>
    <row r="1116" spans="1:9" ht="16" x14ac:dyDescent="0.8">
      <c r="A1116" s="2" t="s">
        <v>1523</v>
      </c>
      <c r="B1116" s="2" t="s">
        <v>1518</v>
      </c>
      <c r="C1116" s="2" t="s">
        <v>1519</v>
      </c>
      <c r="D1116" s="2" t="s">
        <v>1519</v>
      </c>
      <c r="E1116" s="3">
        <v>9000</v>
      </c>
      <c r="F1116" s="3">
        <v>9000</v>
      </c>
      <c r="G1116" s="2" t="s">
        <v>11</v>
      </c>
      <c r="H1116" s="2" t="s">
        <v>1505</v>
      </c>
      <c r="I1116" s="2" t="s">
        <v>168</v>
      </c>
    </row>
    <row r="1117" spans="1:9" ht="16" x14ac:dyDescent="0.8">
      <c r="A1117" s="2" t="s">
        <v>1523</v>
      </c>
      <c r="B1117" s="2" t="s">
        <v>1520</v>
      </c>
      <c r="C1117" s="2" t="s">
        <v>967</v>
      </c>
      <c r="D1117" s="2" t="s">
        <v>967</v>
      </c>
      <c r="E1117" s="3">
        <v>24000</v>
      </c>
      <c r="F1117" s="3">
        <v>24000</v>
      </c>
      <c r="G1117" s="2" t="s">
        <v>11</v>
      </c>
      <c r="H1117" s="2" t="s">
        <v>1505</v>
      </c>
      <c r="I1117" s="2" t="s">
        <v>168</v>
      </c>
    </row>
    <row r="1118" spans="1:9" ht="16" x14ac:dyDescent="0.8">
      <c r="A1118" s="2" t="s">
        <v>1524</v>
      </c>
      <c r="B1118" s="2" t="s">
        <v>1525</v>
      </c>
      <c r="C1118" s="2" t="s">
        <v>1526</v>
      </c>
      <c r="D1118" s="2" t="s">
        <v>1526</v>
      </c>
      <c r="E1118" s="3">
        <v>76196</v>
      </c>
      <c r="F1118" s="3">
        <v>80340</v>
      </c>
      <c r="G1118" s="2" t="s">
        <v>196</v>
      </c>
      <c r="H1118" s="2" t="s">
        <v>1505</v>
      </c>
      <c r="I1118" s="2" t="s">
        <v>1353</v>
      </c>
    </row>
    <row r="1119" spans="1:9" ht="16" x14ac:dyDescent="0.8">
      <c r="A1119" s="2" t="s">
        <v>1524</v>
      </c>
      <c r="B1119" s="2" t="s">
        <v>1527</v>
      </c>
      <c r="C1119" s="2" t="s">
        <v>1528</v>
      </c>
      <c r="D1119" s="2" t="s">
        <v>1528</v>
      </c>
      <c r="E1119" s="3">
        <v>65000</v>
      </c>
      <c r="F1119" s="3">
        <v>65000</v>
      </c>
      <c r="G1119" s="2" t="s">
        <v>196</v>
      </c>
      <c r="H1119" s="2" t="s">
        <v>1505</v>
      </c>
      <c r="I1119" s="2" t="s">
        <v>1353</v>
      </c>
    </row>
    <row r="1120" spans="1:9" ht="16" x14ac:dyDescent="0.8">
      <c r="A1120" s="2" t="s">
        <v>1529</v>
      </c>
      <c r="B1120" s="2" t="s">
        <v>1527</v>
      </c>
      <c r="C1120" s="2" t="s">
        <v>1528</v>
      </c>
      <c r="D1120" s="2" t="s">
        <v>1528</v>
      </c>
      <c r="E1120" s="3">
        <v>73532</v>
      </c>
      <c r="F1120" s="3">
        <v>55756</v>
      </c>
      <c r="G1120" s="2" t="s">
        <v>196</v>
      </c>
      <c r="H1120" s="2" t="s">
        <v>1505</v>
      </c>
      <c r="I1120" s="2" t="s">
        <v>256</v>
      </c>
    </row>
    <row r="1121" spans="1:9" ht="16" x14ac:dyDescent="0.8">
      <c r="A1121" s="2" t="s">
        <v>1529</v>
      </c>
      <c r="B1121" s="2" t="s">
        <v>1530</v>
      </c>
      <c r="C1121" s="2" t="s">
        <v>1531</v>
      </c>
      <c r="D1121" s="2" t="s">
        <v>1531</v>
      </c>
      <c r="E1121" s="3">
        <v>39036</v>
      </c>
      <c r="F1121" s="3">
        <v>36380</v>
      </c>
      <c r="G1121" s="2" t="s">
        <v>196</v>
      </c>
      <c r="H1121" s="2" t="s">
        <v>1505</v>
      </c>
      <c r="I1121" s="2" t="s">
        <v>256</v>
      </c>
    </row>
    <row r="1122" spans="1:9" ht="16" x14ac:dyDescent="0.8">
      <c r="A1122" s="2" t="s">
        <v>1529</v>
      </c>
      <c r="B1122" s="2" t="s">
        <v>1532</v>
      </c>
      <c r="C1122" s="2" t="s">
        <v>1533</v>
      </c>
      <c r="D1122" s="2" t="s">
        <v>1533</v>
      </c>
      <c r="E1122" s="3">
        <v>56112</v>
      </c>
      <c r="F1122" s="3">
        <v>50204</v>
      </c>
      <c r="G1122" s="2" t="s">
        <v>196</v>
      </c>
      <c r="H1122" s="2" t="s">
        <v>1505</v>
      </c>
      <c r="I1122" s="2" t="s">
        <v>256</v>
      </c>
    </row>
    <row r="1123" spans="1:9" ht="16" x14ac:dyDescent="0.8">
      <c r="A1123" s="2" t="s">
        <v>1529</v>
      </c>
      <c r="B1123" s="2" t="s">
        <v>1534</v>
      </c>
      <c r="C1123" s="2" t="s">
        <v>1535</v>
      </c>
      <c r="D1123" s="2" t="s">
        <v>1535</v>
      </c>
      <c r="E1123" s="3">
        <v>17432</v>
      </c>
      <c r="F1123" s="3">
        <v>17432</v>
      </c>
      <c r="G1123" s="2" t="s">
        <v>196</v>
      </c>
      <c r="H1123" s="2" t="s">
        <v>1505</v>
      </c>
      <c r="I1123" s="2" t="s">
        <v>256</v>
      </c>
    </row>
    <row r="1124" spans="1:9" ht="16" x14ac:dyDescent="0.8">
      <c r="A1124" s="2" t="s">
        <v>1529</v>
      </c>
      <c r="B1124" s="2" t="s">
        <v>1536</v>
      </c>
      <c r="C1124" s="2" t="s">
        <v>1537</v>
      </c>
      <c r="D1124" s="2" t="s">
        <v>1537</v>
      </c>
      <c r="E1124" s="3">
        <v>43912</v>
      </c>
      <c r="F1124" s="3">
        <v>35356</v>
      </c>
      <c r="G1124" s="2" t="s">
        <v>196</v>
      </c>
      <c r="H1124" s="2" t="s">
        <v>1505</v>
      </c>
      <c r="I1124" s="2" t="s">
        <v>256</v>
      </c>
    </row>
    <row r="1125" spans="1:9" ht="16" x14ac:dyDescent="0.8">
      <c r="A1125" s="2" t="s">
        <v>1529</v>
      </c>
      <c r="B1125" s="2" t="s">
        <v>1538</v>
      </c>
      <c r="C1125" s="2" t="s">
        <v>1539</v>
      </c>
      <c r="D1125" s="2" t="s">
        <v>1539</v>
      </c>
      <c r="E1125" s="3">
        <v>10800</v>
      </c>
      <c r="F1125" s="3">
        <v>10800</v>
      </c>
      <c r="G1125" s="2" t="s">
        <v>196</v>
      </c>
      <c r="H1125" s="2" t="s">
        <v>1505</v>
      </c>
      <c r="I1125" s="2" t="s">
        <v>256</v>
      </c>
    </row>
    <row r="1126" spans="1:9" ht="16" x14ac:dyDescent="0.8">
      <c r="A1126" s="2" t="s">
        <v>1540</v>
      </c>
      <c r="B1126" s="2" t="s">
        <v>1541</v>
      </c>
      <c r="C1126" s="2" t="s">
        <v>1542</v>
      </c>
      <c r="D1126" s="2" t="s">
        <v>1542</v>
      </c>
      <c r="E1126" s="3">
        <v>1238</v>
      </c>
      <c r="F1126" s="3">
        <v>1238</v>
      </c>
      <c r="G1126" s="2" t="s">
        <v>196</v>
      </c>
      <c r="H1126" s="2" t="s">
        <v>1522</v>
      </c>
      <c r="I1126" s="2" t="s">
        <v>53</v>
      </c>
    </row>
    <row r="1127" spans="1:9" ht="16" x14ac:dyDescent="0.8">
      <c r="A1127" s="2" t="s">
        <v>1540</v>
      </c>
      <c r="B1127" s="2" t="s">
        <v>1543</v>
      </c>
      <c r="C1127" s="2" t="s">
        <v>1544</v>
      </c>
      <c r="D1127" s="2" t="s">
        <v>1544</v>
      </c>
      <c r="E1127" s="3">
        <v>62</v>
      </c>
      <c r="F1127" s="3">
        <v>62</v>
      </c>
      <c r="G1127" s="2" t="s">
        <v>196</v>
      </c>
      <c r="H1127" s="2" t="s">
        <v>1522</v>
      </c>
      <c r="I1127" s="2" t="s">
        <v>53</v>
      </c>
    </row>
    <row r="1128" spans="1:9" ht="16" x14ac:dyDescent="0.8">
      <c r="A1128" s="2" t="s">
        <v>1540</v>
      </c>
      <c r="B1128" s="2" t="s">
        <v>1545</v>
      </c>
      <c r="C1128" s="2" t="s">
        <v>1546</v>
      </c>
      <c r="D1128" s="2" t="s">
        <v>1546</v>
      </c>
      <c r="E1128" s="3">
        <v>1309</v>
      </c>
      <c r="F1128" s="3">
        <v>1296</v>
      </c>
      <c r="G1128" s="2" t="s">
        <v>196</v>
      </c>
      <c r="H1128" s="2" t="s">
        <v>1522</v>
      </c>
      <c r="I1128" s="2" t="s">
        <v>53</v>
      </c>
    </row>
    <row r="1129" spans="1:9" ht="16" x14ac:dyDescent="0.8">
      <c r="A1129" s="2" t="s">
        <v>1540</v>
      </c>
      <c r="B1129" s="2" t="s">
        <v>1547</v>
      </c>
      <c r="C1129" s="2" t="s">
        <v>1548</v>
      </c>
      <c r="D1129" s="2" t="s">
        <v>1548</v>
      </c>
      <c r="E1129" s="3">
        <v>343</v>
      </c>
      <c r="F1129" s="3">
        <v>336</v>
      </c>
      <c r="G1129" s="2" t="s">
        <v>196</v>
      </c>
      <c r="H1129" s="2" t="s">
        <v>1522</v>
      </c>
      <c r="I1129" s="2" t="s">
        <v>53</v>
      </c>
    </row>
    <row r="1130" spans="1:9" ht="16" x14ac:dyDescent="0.8">
      <c r="A1130" s="2" t="s">
        <v>1540</v>
      </c>
      <c r="B1130" s="2" t="s">
        <v>1549</v>
      </c>
      <c r="C1130" s="2" t="s">
        <v>1550</v>
      </c>
      <c r="D1130" s="2" t="s">
        <v>1550</v>
      </c>
      <c r="E1130" s="3">
        <v>4041</v>
      </c>
      <c r="F1130" s="3">
        <v>4041</v>
      </c>
      <c r="G1130" s="2" t="s">
        <v>196</v>
      </c>
      <c r="H1130" s="2" t="s">
        <v>1522</v>
      </c>
      <c r="I1130" s="2" t="s">
        <v>53</v>
      </c>
    </row>
    <row r="1131" spans="1:9" ht="16" x14ac:dyDescent="0.8">
      <c r="A1131" s="2" t="s">
        <v>1540</v>
      </c>
      <c r="B1131" s="2" t="s">
        <v>1551</v>
      </c>
      <c r="C1131" s="2" t="s">
        <v>1552</v>
      </c>
      <c r="D1131" s="2" t="s">
        <v>1552</v>
      </c>
      <c r="E1131" s="3">
        <v>1620</v>
      </c>
      <c r="F1131" s="3">
        <v>1620</v>
      </c>
      <c r="G1131" s="2" t="s">
        <v>196</v>
      </c>
      <c r="H1131" s="2" t="s">
        <v>1522</v>
      </c>
      <c r="I1131" s="2" t="s">
        <v>53</v>
      </c>
    </row>
    <row r="1132" spans="1:9" ht="16" x14ac:dyDescent="0.8">
      <c r="A1132" s="2" t="s">
        <v>1540</v>
      </c>
      <c r="B1132" s="2" t="s">
        <v>1553</v>
      </c>
      <c r="C1132" s="2" t="s">
        <v>1554</v>
      </c>
      <c r="D1132" s="2" t="s">
        <v>1554</v>
      </c>
      <c r="E1132" s="3">
        <v>1080</v>
      </c>
      <c r="F1132" s="3">
        <v>1080</v>
      </c>
      <c r="G1132" s="2" t="s">
        <v>196</v>
      </c>
      <c r="H1132" s="2" t="s">
        <v>1522</v>
      </c>
      <c r="I1132" s="2" t="s">
        <v>53</v>
      </c>
    </row>
    <row r="1133" spans="1:9" ht="16" x14ac:dyDescent="0.8">
      <c r="A1133" s="2" t="s">
        <v>1540</v>
      </c>
      <c r="B1133" s="2" t="s">
        <v>1555</v>
      </c>
      <c r="C1133" s="2" t="s">
        <v>1556</v>
      </c>
      <c r="D1133" s="2" t="s">
        <v>1556</v>
      </c>
      <c r="E1133" s="3">
        <v>886</v>
      </c>
      <c r="F1133" s="3">
        <v>886</v>
      </c>
      <c r="G1133" s="2" t="s">
        <v>196</v>
      </c>
      <c r="H1133" s="2" t="s">
        <v>1522</v>
      </c>
      <c r="I1133" s="2" t="s">
        <v>53</v>
      </c>
    </row>
    <row r="1134" spans="1:9" ht="16" x14ac:dyDescent="0.8">
      <c r="A1134" s="2" t="s">
        <v>1540</v>
      </c>
      <c r="B1134" s="2" t="s">
        <v>1557</v>
      </c>
      <c r="C1134" s="2" t="s">
        <v>1558</v>
      </c>
      <c r="D1134" s="2" t="s">
        <v>1558</v>
      </c>
      <c r="E1134" s="3">
        <v>417</v>
      </c>
      <c r="F1134" s="3">
        <v>417</v>
      </c>
      <c r="G1134" s="2" t="s">
        <v>196</v>
      </c>
      <c r="H1134" s="2" t="s">
        <v>1522</v>
      </c>
      <c r="I1134" s="2" t="s">
        <v>53</v>
      </c>
    </row>
    <row r="1135" spans="1:9" ht="16" x14ac:dyDescent="0.8">
      <c r="A1135" s="2" t="s">
        <v>1540</v>
      </c>
      <c r="B1135" s="2" t="s">
        <v>1559</v>
      </c>
      <c r="C1135" s="2" t="s">
        <v>1560</v>
      </c>
      <c r="D1135" s="2" t="s">
        <v>1560</v>
      </c>
      <c r="E1135" s="3">
        <v>515</v>
      </c>
      <c r="F1135" s="3">
        <v>515</v>
      </c>
      <c r="G1135" s="2" t="s">
        <v>196</v>
      </c>
      <c r="H1135" s="2" t="s">
        <v>1522</v>
      </c>
      <c r="I1135" s="2" t="s">
        <v>53</v>
      </c>
    </row>
    <row r="1136" spans="1:9" ht="16" x14ac:dyDescent="0.8">
      <c r="A1136" s="2" t="s">
        <v>1540</v>
      </c>
      <c r="B1136" s="2" t="s">
        <v>1561</v>
      </c>
      <c r="C1136" s="2" t="s">
        <v>1562</v>
      </c>
      <c r="D1136" s="2" t="s">
        <v>1562</v>
      </c>
      <c r="E1136" s="3">
        <v>1847</v>
      </c>
      <c r="F1136" s="3">
        <v>1847</v>
      </c>
      <c r="G1136" s="2" t="s">
        <v>196</v>
      </c>
      <c r="H1136" s="2" t="s">
        <v>1522</v>
      </c>
      <c r="I1136" s="2" t="s">
        <v>53</v>
      </c>
    </row>
    <row r="1137" spans="1:9" ht="16" x14ac:dyDescent="0.8">
      <c r="A1137" s="2" t="s">
        <v>1540</v>
      </c>
      <c r="B1137" s="2" t="s">
        <v>1563</v>
      </c>
      <c r="C1137" s="2" t="s">
        <v>1564</v>
      </c>
      <c r="D1137" s="2" t="s">
        <v>1564</v>
      </c>
      <c r="E1137" s="3">
        <v>249</v>
      </c>
      <c r="F1137" s="3">
        <v>249</v>
      </c>
      <c r="G1137" s="2" t="s">
        <v>196</v>
      </c>
      <c r="H1137" s="2" t="s">
        <v>1522</v>
      </c>
      <c r="I1137" s="2" t="s">
        <v>53</v>
      </c>
    </row>
    <row r="1138" spans="1:9" ht="16" x14ac:dyDescent="0.8">
      <c r="A1138" s="2" t="s">
        <v>1540</v>
      </c>
      <c r="B1138" s="2" t="s">
        <v>1565</v>
      </c>
      <c r="C1138" s="2" t="s">
        <v>1566</v>
      </c>
      <c r="D1138" s="2" t="s">
        <v>1566</v>
      </c>
      <c r="E1138" s="3">
        <v>1665</v>
      </c>
      <c r="F1138" s="3">
        <v>1665</v>
      </c>
      <c r="G1138" s="2" t="s">
        <v>196</v>
      </c>
      <c r="H1138" s="2" t="s">
        <v>1522</v>
      </c>
      <c r="I1138" s="2" t="s">
        <v>53</v>
      </c>
    </row>
    <row r="1139" spans="1:9" ht="16" x14ac:dyDescent="0.8">
      <c r="A1139" s="2" t="s">
        <v>1540</v>
      </c>
      <c r="B1139" s="2" t="s">
        <v>1567</v>
      </c>
      <c r="C1139" s="2" t="s">
        <v>1568</v>
      </c>
      <c r="D1139" s="2" t="s">
        <v>1568</v>
      </c>
      <c r="E1139" s="3">
        <v>404</v>
      </c>
      <c r="F1139" s="3">
        <v>404</v>
      </c>
      <c r="G1139" s="2" t="s">
        <v>196</v>
      </c>
      <c r="H1139" s="2" t="s">
        <v>1522</v>
      </c>
      <c r="I1139" s="2" t="s">
        <v>53</v>
      </c>
    </row>
    <row r="1140" spans="1:9" ht="16" x14ac:dyDescent="0.8">
      <c r="A1140" s="2" t="s">
        <v>1540</v>
      </c>
      <c r="B1140" s="2" t="s">
        <v>1569</v>
      </c>
      <c r="C1140" s="2" t="s">
        <v>1570</v>
      </c>
      <c r="D1140" s="2" t="s">
        <v>1570</v>
      </c>
      <c r="E1140" s="3">
        <v>2237</v>
      </c>
      <c r="F1140" s="3">
        <v>2237</v>
      </c>
      <c r="G1140" s="2" t="s">
        <v>196</v>
      </c>
      <c r="H1140" s="2" t="s">
        <v>1522</v>
      </c>
      <c r="I1140" s="2" t="s">
        <v>53</v>
      </c>
    </row>
    <row r="1141" spans="1:9" ht="16" x14ac:dyDescent="0.8">
      <c r="A1141" s="2" t="s">
        <v>1540</v>
      </c>
      <c r="B1141" s="2" t="s">
        <v>1571</v>
      </c>
      <c r="C1141" s="2" t="s">
        <v>1572</v>
      </c>
      <c r="D1141" s="2" t="s">
        <v>1572</v>
      </c>
      <c r="E1141" s="3">
        <v>1643</v>
      </c>
      <c r="F1141" s="3">
        <v>1643</v>
      </c>
      <c r="G1141" s="2" t="s">
        <v>196</v>
      </c>
      <c r="H1141" s="2" t="s">
        <v>1522</v>
      </c>
      <c r="I1141" s="2" t="s">
        <v>53</v>
      </c>
    </row>
    <row r="1142" spans="1:9" ht="16" x14ac:dyDescent="0.8">
      <c r="A1142" s="2" t="s">
        <v>1540</v>
      </c>
      <c r="B1142" s="2" t="s">
        <v>1573</v>
      </c>
      <c r="C1142" s="2" t="s">
        <v>1574</v>
      </c>
      <c r="D1142" s="2" t="s">
        <v>1574</v>
      </c>
      <c r="E1142" s="3">
        <v>99</v>
      </c>
      <c r="F1142" s="3">
        <v>99</v>
      </c>
      <c r="G1142" s="2" t="s">
        <v>196</v>
      </c>
      <c r="H1142" s="2" t="s">
        <v>1522</v>
      </c>
      <c r="I1142" s="2" t="s">
        <v>53</v>
      </c>
    </row>
    <row r="1143" spans="1:9" ht="16" x14ac:dyDescent="0.8">
      <c r="A1143" s="2" t="s">
        <v>1540</v>
      </c>
      <c r="B1143" s="2" t="s">
        <v>1575</v>
      </c>
      <c r="C1143" s="2" t="s">
        <v>1576</v>
      </c>
      <c r="D1143" s="2" t="s">
        <v>1576</v>
      </c>
      <c r="E1143" s="3">
        <v>164</v>
      </c>
      <c r="F1143" s="3">
        <v>163</v>
      </c>
      <c r="G1143" s="2" t="s">
        <v>196</v>
      </c>
      <c r="H1143" s="2" t="s">
        <v>1522</v>
      </c>
      <c r="I1143" s="2" t="s">
        <v>53</v>
      </c>
    </row>
    <row r="1144" spans="1:9" ht="16" x14ac:dyDescent="0.8">
      <c r="A1144" s="2" t="s">
        <v>1540</v>
      </c>
      <c r="B1144" s="2" t="s">
        <v>1577</v>
      </c>
      <c r="C1144" s="2" t="s">
        <v>1578</v>
      </c>
      <c r="D1144" s="2" t="s">
        <v>1578</v>
      </c>
      <c r="E1144" s="3">
        <v>224</v>
      </c>
      <c r="F1144" s="3">
        <v>224</v>
      </c>
      <c r="G1144" s="2" t="s">
        <v>196</v>
      </c>
      <c r="H1144" s="2" t="s">
        <v>1522</v>
      </c>
      <c r="I1144" s="2" t="s">
        <v>53</v>
      </c>
    </row>
    <row r="1145" spans="1:9" ht="16" x14ac:dyDescent="0.8">
      <c r="A1145" s="2" t="s">
        <v>1540</v>
      </c>
      <c r="B1145" s="2" t="s">
        <v>1579</v>
      </c>
      <c r="C1145" s="2" t="s">
        <v>1580</v>
      </c>
      <c r="D1145" s="2" t="s">
        <v>1580</v>
      </c>
      <c r="E1145" s="3">
        <v>293</v>
      </c>
      <c r="F1145" s="3">
        <v>293</v>
      </c>
      <c r="G1145" s="2" t="s">
        <v>196</v>
      </c>
      <c r="H1145" s="2" t="s">
        <v>1522</v>
      </c>
      <c r="I1145" s="2" t="s">
        <v>53</v>
      </c>
    </row>
    <row r="1146" spans="1:9" ht="16" x14ac:dyDescent="0.8">
      <c r="A1146" s="2" t="s">
        <v>1540</v>
      </c>
      <c r="B1146" s="2" t="s">
        <v>1581</v>
      </c>
      <c r="C1146" s="2" t="s">
        <v>1582</v>
      </c>
      <c r="D1146" s="2" t="s">
        <v>1582</v>
      </c>
      <c r="E1146" s="3">
        <v>632</v>
      </c>
      <c r="F1146" s="3">
        <v>620</v>
      </c>
      <c r="G1146" s="2" t="s">
        <v>196</v>
      </c>
      <c r="H1146" s="2" t="s">
        <v>1522</v>
      </c>
      <c r="I1146" s="2" t="s">
        <v>53</v>
      </c>
    </row>
    <row r="1147" spans="1:9" ht="16" x14ac:dyDescent="0.8">
      <c r="A1147" s="2" t="s">
        <v>1540</v>
      </c>
      <c r="B1147" s="2" t="s">
        <v>1583</v>
      </c>
      <c r="C1147" s="2" t="s">
        <v>1584</v>
      </c>
      <c r="D1147" s="2" t="s">
        <v>1584</v>
      </c>
      <c r="E1147" s="3">
        <v>278</v>
      </c>
      <c r="F1147" s="3">
        <v>278</v>
      </c>
      <c r="G1147" s="2" t="s">
        <v>196</v>
      </c>
      <c r="H1147" s="2" t="s">
        <v>1522</v>
      </c>
      <c r="I1147" s="2" t="s">
        <v>53</v>
      </c>
    </row>
    <row r="1148" spans="1:9" ht="16" x14ac:dyDescent="0.8">
      <c r="A1148" s="2" t="s">
        <v>1540</v>
      </c>
      <c r="B1148" s="2" t="s">
        <v>1585</v>
      </c>
      <c r="C1148" s="2" t="s">
        <v>1586</v>
      </c>
      <c r="D1148" s="2" t="s">
        <v>1586</v>
      </c>
      <c r="E1148" s="3">
        <v>32</v>
      </c>
      <c r="F1148" s="3">
        <v>32</v>
      </c>
      <c r="G1148" s="2" t="s">
        <v>196</v>
      </c>
      <c r="H1148" s="2" t="s">
        <v>1522</v>
      </c>
      <c r="I1148" s="2" t="s">
        <v>53</v>
      </c>
    </row>
    <row r="1149" spans="1:9" ht="16" x14ac:dyDescent="0.8">
      <c r="A1149" s="2" t="s">
        <v>1540</v>
      </c>
      <c r="B1149" s="2" t="s">
        <v>1587</v>
      </c>
      <c r="C1149" s="2" t="s">
        <v>1588</v>
      </c>
      <c r="D1149" s="2" t="s">
        <v>1588</v>
      </c>
      <c r="E1149" s="3">
        <v>211</v>
      </c>
      <c r="F1149" s="3">
        <v>211</v>
      </c>
      <c r="G1149" s="2" t="s">
        <v>196</v>
      </c>
      <c r="H1149" s="2" t="s">
        <v>1522</v>
      </c>
      <c r="I1149" s="2" t="s">
        <v>53</v>
      </c>
    </row>
    <row r="1150" spans="1:9" ht="16" x14ac:dyDescent="0.8">
      <c r="A1150" s="2" t="s">
        <v>1540</v>
      </c>
      <c r="B1150" s="2" t="s">
        <v>1589</v>
      </c>
      <c r="C1150" s="2" t="s">
        <v>1590</v>
      </c>
      <c r="D1150" s="2" t="s">
        <v>1590</v>
      </c>
      <c r="E1150" s="3">
        <v>167</v>
      </c>
      <c r="F1150" s="3">
        <v>167</v>
      </c>
      <c r="G1150" s="2" t="s">
        <v>196</v>
      </c>
      <c r="H1150" s="2" t="s">
        <v>1522</v>
      </c>
      <c r="I1150" s="2" t="s">
        <v>53</v>
      </c>
    </row>
    <row r="1151" spans="1:9" ht="16" x14ac:dyDescent="0.8">
      <c r="A1151" s="2" t="s">
        <v>1540</v>
      </c>
      <c r="B1151" s="2" t="s">
        <v>1591</v>
      </c>
      <c r="C1151" s="2" t="s">
        <v>1592</v>
      </c>
      <c r="D1151" s="2" t="s">
        <v>1592</v>
      </c>
      <c r="E1151" s="3">
        <v>44</v>
      </c>
      <c r="F1151" s="3">
        <v>44</v>
      </c>
      <c r="G1151" s="2" t="s">
        <v>196</v>
      </c>
      <c r="H1151" s="2" t="s">
        <v>1522</v>
      </c>
      <c r="I1151" s="2" t="s">
        <v>53</v>
      </c>
    </row>
    <row r="1152" spans="1:9" ht="16" x14ac:dyDescent="0.8">
      <c r="A1152" s="2" t="s">
        <v>1540</v>
      </c>
      <c r="B1152" s="2" t="s">
        <v>1593</v>
      </c>
      <c r="C1152" s="2" t="s">
        <v>1594</v>
      </c>
      <c r="D1152" s="2" t="s">
        <v>1594</v>
      </c>
      <c r="E1152" s="3">
        <v>1274</v>
      </c>
      <c r="F1152" s="3">
        <v>1274</v>
      </c>
      <c r="G1152" s="2" t="s">
        <v>196</v>
      </c>
      <c r="H1152" s="2" t="s">
        <v>1522</v>
      </c>
      <c r="I1152" s="2" t="s">
        <v>53</v>
      </c>
    </row>
    <row r="1153" spans="1:9" ht="16" x14ac:dyDescent="0.8">
      <c r="A1153" s="2" t="s">
        <v>1595</v>
      </c>
      <c r="B1153" s="2" t="s">
        <v>1596</v>
      </c>
      <c r="C1153" s="2" t="s">
        <v>1597</v>
      </c>
      <c r="D1153" s="2" t="s">
        <v>1597</v>
      </c>
      <c r="E1153" s="3">
        <v>144</v>
      </c>
      <c r="F1153" s="3">
        <v>144</v>
      </c>
      <c r="G1153" s="2" t="s">
        <v>11</v>
      </c>
      <c r="H1153" s="2" t="s">
        <v>1522</v>
      </c>
      <c r="I1153" s="2" t="s">
        <v>1240</v>
      </c>
    </row>
    <row r="1154" spans="1:9" ht="16" x14ac:dyDescent="0.8">
      <c r="A1154" s="2" t="s">
        <v>1598</v>
      </c>
      <c r="B1154" s="2" t="s">
        <v>1599</v>
      </c>
      <c r="C1154" s="2" t="s">
        <v>1600</v>
      </c>
      <c r="D1154" s="2" t="s">
        <v>1600</v>
      </c>
      <c r="E1154" s="3">
        <v>486</v>
      </c>
      <c r="F1154" s="3">
        <v>486</v>
      </c>
      <c r="G1154" s="2" t="s">
        <v>11</v>
      </c>
      <c r="H1154" s="2" t="s">
        <v>1522</v>
      </c>
      <c r="I1154" s="2" t="s">
        <v>1234</v>
      </c>
    </row>
    <row r="1155" spans="1:9" ht="16" x14ac:dyDescent="0.8">
      <c r="A1155" s="2" t="s">
        <v>1598</v>
      </c>
      <c r="B1155" s="2" t="s">
        <v>1601</v>
      </c>
      <c r="C1155" s="2" t="s">
        <v>1602</v>
      </c>
      <c r="D1155" s="2" t="s">
        <v>1602</v>
      </c>
      <c r="E1155" s="3">
        <v>92</v>
      </c>
      <c r="F1155" s="3">
        <v>92</v>
      </c>
      <c r="G1155" s="2" t="s">
        <v>11</v>
      </c>
      <c r="H1155" s="2" t="s">
        <v>1522</v>
      </c>
      <c r="I1155" s="2" t="s">
        <v>1234</v>
      </c>
    </row>
    <row r="1156" spans="1:9" ht="16" x14ac:dyDescent="0.8">
      <c r="A1156" s="2" t="s">
        <v>1598</v>
      </c>
      <c r="B1156" s="2" t="s">
        <v>1603</v>
      </c>
      <c r="C1156" s="2" t="s">
        <v>1604</v>
      </c>
      <c r="D1156" s="2" t="s">
        <v>1604</v>
      </c>
      <c r="E1156" s="3">
        <v>79</v>
      </c>
      <c r="F1156" s="3">
        <v>79</v>
      </c>
      <c r="G1156" s="2" t="s">
        <v>11</v>
      </c>
      <c r="H1156" s="2" t="s">
        <v>1522</v>
      </c>
      <c r="I1156" s="2" t="s">
        <v>1234</v>
      </c>
    </row>
    <row r="1157" spans="1:9" ht="16" x14ac:dyDescent="0.8">
      <c r="A1157" s="2" t="s">
        <v>1598</v>
      </c>
      <c r="B1157" s="2" t="s">
        <v>1605</v>
      </c>
      <c r="C1157" s="2" t="s">
        <v>1606</v>
      </c>
      <c r="D1157" s="2" t="s">
        <v>1606</v>
      </c>
      <c r="E1157" s="3">
        <v>245</v>
      </c>
      <c r="F1157" s="3">
        <v>245</v>
      </c>
      <c r="G1157" s="2" t="s">
        <v>11</v>
      </c>
      <c r="H1157" s="2" t="s">
        <v>1522</v>
      </c>
      <c r="I1157" s="2" t="s">
        <v>1234</v>
      </c>
    </row>
    <row r="1158" spans="1:9" ht="16" x14ac:dyDescent="0.8">
      <c r="A1158" s="2" t="s">
        <v>1598</v>
      </c>
      <c r="B1158" s="2" t="s">
        <v>1607</v>
      </c>
      <c r="C1158" s="2" t="s">
        <v>1608</v>
      </c>
      <c r="D1158" s="2" t="s">
        <v>1608</v>
      </c>
      <c r="E1158" s="3">
        <v>37</v>
      </c>
      <c r="F1158" s="3">
        <v>37</v>
      </c>
      <c r="G1158" s="2" t="s">
        <v>11</v>
      </c>
      <c r="H1158" s="2" t="s">
        <v>1522</v>
      </c>
      <c r="I1158" s="2" t="s">
        <v>1234</v>
      </c>
    </row>
    <row r="1159" spans="1:9" ht="16" x14ac:dyDescent="0.8">
      <c r="A1159" s="2" t="s">
        <v>1598</v>
      </c>
      <c r="B1159" s="2" t="s">
        <v>1609</v>
      </c>
      <c r="C1159" s="2" t="s">
        <v>1610</v>
      </c>
      <c r="D1159" s="2" t="s">
        <v>1610</v>
      </c>
      <c r="E1159" s="3">
        <v>233</v>
      </c>
      <c r="F1159" s="3">
        <v>237</v>
      </c>
      <c r="G1159" s="2" t="s">
        <v>11</v>
      </c>
      <c r="H1159" s="2" t="s">
        <v>1522</v>
      </c>
      <c r="I1159" s="2" t="s">
        <v>1234</v>
      </c>
    </row>
    <row r="1160" spans="1:9" ht="16" x14ac:dyDescent="0.8">
      <c r="A1160" s="2" t="s">
        <v>1598</v>
      </c>
      <c r="B1160" s="2" t="s">
        <v>1611</v>
      </c>
      <c r="C1160" s="2" t="s">
        <v>1612</v>
      </c>
      <c r="D1160" s="2" t="s">
        <v>1612</v>
      </c>
      <c r="E1160" s="3">
        <v>321</v>
      </c>
      <c r="F1160" s="3">
        <v>321</v>
      </c>
      <c r="G1160" s="2" t="s">
        <v>11</v>
      </c>
      <c r="H1160" s="2" t="s">
        <v>1522</v>
      </c>
      <c r="I1160" s="2" t="s">
        <v>1234</v>
      </c>
    </row>
    <row r="1161" spans="1:9" ht="16" x14ac:dyDescent="0.8">
      <c r="A1161" s="2" t="s">
        <v>1598</v>
      </c>
      <c r="B1161" s="2" t="s">
        <v>1613</v>
      </c>
      <c r="C1161" s="2" t="s">
        <v>1614</v>
      </c>
      <c r="D1161" s="2" t="s">
        <v>1614</v>
      </c>
      <c r="E1161" s="3">
        <v>356</v>
      </c>
      <c r="F1161" s="3">
        <v>356</v>
      </c>
      <c r="G1161" s="2" t="s">
        <v>11</v>
      </c>
      <c r="H1161" s="2" t="s">
        <v>1522</v>
      </c>
      <c r="I1161" s="2" t="s">
        <v>1234</v>
      </c>
    </row>
    <row r="1162" spans="1:9" ht="16" x14ac:dyDescent="0.8">
      <c r="A1162" s="2" t="s">
        <v>1598</v>
      </c>
      <c r="B1162" s="2" t="s">
        <v>1615</v>
      </c>
      <c r="C1162" s="2" t="s">
        <v>1616</v>
      </c>
      <c r="D1162" s="2" t="s">
        <v>1616</v>
      </c>
      <c r="E1162" s="3">
        <v>181</v>
      </c>
      <c r="F1162" s="3">
        <v>181</v>
      </c>
      <c r="G1162" s="2" t="s">
        <v>11</v>
      </c>
      <c r="H1162" s="2" t="s">
        <v>1522</v>
      </c>
      <c r="I1162" s="2" t="s">
        <v>1234</v>
      </c>
    </row>
    <row r="1163" spans="1:9" ht="16" x14ac:dyDescent="0.8">
      <c r="A1163" s="2" t="s">
        <v>1598</v>
      </c>
      <c r="B1163" s="2" t="s">
        <v>1617</v>
      </c>
      <c r="C1163" s="2" t="s">
        <v>1618</v>
      </c>
      <c r="D1163" s="2" t="s">
        <v>1618</v>
      </c>
      <c r="E1163" s="3">
        <v>145</v>
      </c>
      <c r="F1163" s="3">
        <v>145</v>
      </c>
      <c r="G1163" s="2" t="s">
        <v>11</v>
      </c>
      <c r="H1163" s="2" t="s">
        <v>1522</v>
      </c>
      <c r="I1163" s="2" t="s">
        <v>1234</v>
      </c>
    </row>
    <row r="1164" spans="1:9" ht="16" x14ac:dyDescent="0.8">
      <c r="A1164" s="2" t="s">
        <v>1598</v>
      </c>
      <c r="B1164" s="2" t="s">
        <v>1619</v>
      </c>
      <c r="C1164" s="2" t="s">
        <v>1620</v>
      </c>
      <c r="D1164" s="2" t="s">
        <v>1620</v>
      </c>
      <c r="E1164" s="3">
        <v>41</v>
      </c>
      <c r="F1164" s="3">
        <v>41</v>
      </c>
      <c r="G1164" s="2" t="s">
        <v>11</v>
      </c>
      <c r="H1164" s="2" t="s">
        <v>1522</v>
      </c>
      <c r="I1164" s="2" t="s">
        <v>1234</v>
      </c>
    </row>
    <row r="1165" spans="1:9" ht="16" x14ac:dyDescent="0.8">
      <c r="A1165" s="2" t="s">
        <v>1598</v>
      </c>
      <c r="B1165" s="2" t="s">
        <v>1621</v>
      </c>
      <c r="C1165" s="2" t="s">
        <v>1622</v>
      </c>
      <c r="D1165" s="2" t="s">
        <v>1622</v>
      </c>
      <c r="E1165" s="3">
        <v>143</v>
      </c>
      <c r="F1165" s="3">
        <v>143</v>
      </c>
      <c r="G1165" s="2" t="s">
        <v>11</v>
      </c>
      <c r="H1165" s="2" t="s">
        <v>1522</v>
      </c>
      <c r="I1165" s="2" t="s">
        <v>1234</v>
      </c>
    </row>
    <row r="1166" spans="1:9" ht="16" x14ac:dyDescent="0.8">
      <c r="A1166" s="2" t="s">
        <v>1598</v>
      </c>
      <c r="B1166" s="2" t="s">
        <v>1623</v>
      </c>
      <c r="C1166" s="2" t="s">
        <v>1624</v>
      </c>
      <c r="D1166" s="2" t="s">
        <v>1624</v>
      </c>
      <c r="E1166" s="3">
        <v>304</v>
      </c>
      <c r="F1166" s="3">
        <v>304</v>
      </c>
      <c r="G1166" s="2" t="s">
        <v>11</v>
      </c>
      <c r="H1166" s="2" t="s">
        <v>1522</v>
      </c>
      <c r="I1166" s="2" t="s">
        <v>1234</v>
      </c>
    </row>
    <row r="1167" spans="1:9" ht="16" x14ac:dyDescent="0.8">
      <c r="A1167" s="2" t="s">
        <v>1598</v>
      </c>
      <c r="B1167" s="2" t="s">
        <v>1625</v>
      </c>
      <c r="C1167" s="2" t="s">
        <v>1626</v>
      </c>
      <c r="D1167" s="2" t="s">
        <v>1626</v>
      </c>
      <c r="E1167" s="3">
        <v>115</v>
      </c>
      <c r="F1167" s="3">
        <v>115</v>
      </c>
      <c r="G1167" s="2" t="s">
        <v>11</v>
      </c>
      <c r="H1167" s="2" t="s">
        <v>1522</v>
      </c>
      <c r="I1167" s="2" t="s">
        <v>1234</v>
      </c>
    </row>
    <row r="1168" spans="1:9" ht="16" x14ac:dyDescent="0.8">
      <c r="A1168" s="2" t="s">
        <v>1598</v>
      </c>
      <c r="B1168" s="2" t="s">
        <v>1627</v>
      </c>
      <c r="C1168" s="2" t="s">
        <v>1628</v>
      </c>
      <c r="D1168" s="2" t="s">
        <v>1628</v>
      </c>
      <c r="E1168" s="3">
        <v>126</v>
      </c>
      <c r="F1168" s="3">
        <v>126</v>
      </c>
      <c r="G1168" s="2" t="s">
        <v>11</v>
      </c>
      <c r="H1168" s="2" t="s">
        <v>1522</v>
      </c>
      <c r="I1168" s="2" t="s">
        <v>1234</v>
      </c>
    </row>
    <row r="1169" spans="1:9" ht="16" x14ac:dyDescent="0.8">
      <c r="A1169" s="2" t="s">
        <v>1629</v>
      </c>
      <c r="B1169" s="2" t="s">
        <v>1630</v>
      </c>
      <c r="C1169" s="2" t="s">
        <v>1631</v>
      </c>
      <c r="D1169" s="2" t="s">
        <v>1631</v>
      </c>
      <c r="E1169" s="3">
        <v>62</v>
      </c>
      <c r="F1169" s="3">
        <v>62</v>
      </c>
      <c r="G1169" s="2" t="s">
        <v>11</v>
      </c>
      <c r="H1169" s="2" t="s">
        <v>1522</v>
      </c>
      <c r="I1169" s="2" t="s">
        <v>63</v>
      </c>
    </row>
    <row r="1170" spans="1:9" ht="16" x14ac:dyDescent="0.8">
      <c r="A1170" s="2" t="s">
        <v>1629</v>
      </c>
      <c r="B1170" s="2" t="s">
        <v>1632</v>
      </c>
      <c r="C1170" s="2" t="s">
        <v>1633</v>
      </c>
      <c r="D1170" s="2" t="s">
        <v>1633</v>
      </c>
      <c r="E1170" s="3">
        <v>11</v>
      </c>
      <c r="F1170" s="3">
        <v>11</v>
      </c>
      <c r="G1170" s="2" t="s">
        <v>11</v>
      </c>
      <c r="H1170" s="2" t="s">
        <v>1522</v>
      </c>
      <c r="I1170" s="2" t="s">
        <v>63</v>
      </c>
    </row>
    <row r="1171" spans="1:9" ht="16" x14ac:dyDescent="0.8">
      <c r="A1171" s="2" t="s">
        <v>1629</v>
      </c>
      <c r="B1171" s="2" t="s">
        <v>1634</v>
      </c>
      <c r="C1171" s="2" t="s">
        <v>1635</v>
      </c>
      <c r="D1171" s="2" t="s">
        <v>1635</v>
      </c>
      <c r="E1171" s="3">
        <v>31</v>
      </c>
      <c r="F1171" s="3">
        <v>31</v>
      </c>
      <c r="G1171" s="2" t="s">
        <v>11</v>
      </c>
      <c r="H1171" s="2" t="s">
        <v>1522</v>
      </c>
      <c r="I1171" s="2" t="s">
        <v>63</v>
      </c>
    </row>
    <row r="1172" spans="1:9" ht="16" x14ac:dyDescent="0.8">
      <c r="A1172" s="2" t="s">
        <v>1629</v>
      </c>
      <c r="B1172" s="2" t="s">
        <v>1636</v>
      </c>
      <c r="C1172" s="2" t="s">
        <v>1637</v>
      </c>
      <c r="D1172" s="2" t="s">
        <v>1637</v>
      </c>
      <c r="E1172" s="3">
        <v>24</v>
      </c>
      <c r="F1172" s="3">
        <v>24</v>
      </c>
      <c r="G1172" s="2" t="s">
        <v>11</v>
      </c>
      <c r="H1172" s="2" t="s">
        <v>1522</v>
      </c>
      <c r="I1172" s="2" t="s">
        <v>63</v>
      </c>
    </row>
    <row r="1173" spans="1:9" ht="16" x14ac:dyDescent="0.8">
      <c r="A1173" s="2" t="s">
        <v>1629</v>
      </c>
      <c r="B1173" s="2" t="s">
        <v>1638</v>
      </c>
      <c r="C1173" s="2" t="s">
        <v>1639</v>
      </c>
      <c r="D1173" s="2" t="s">
        <v>1639</v>
      </c>
      <c r="E1173" s="3">
        <v>73</v>
      </c>
      <c r="F1173" s="3">
        <v>73</v>
      </c>
      <c r="G1173" s="2" t="s">
        <v>11</v>
      </c>
      <c r="H1173" s="2" t="s">
        <v>1522</v>
      </c>
      <c r="I1173" s="2" t="s">
        <v>63</v>
      </c>
    </row>
    <row r="1174" spans="1:9" ht="16" x14ac:dyDescent="0.8">
      <c r="A1174" s="2" t="s">
        <v>1629</v>
      </c>
      <c r="B1174" s="2" t="s">
        <v>1640</v>
      </c>
      <c r="C1174" s="2" t="s">
        <v>1641</v>
      </c>
      <c r="D1174" s="2" t="s">
        <v>1641</v>
      </c>
      <c r="E1174" s="3">
        <v>109</v>
      </c>
      <c r="F1174" s="3">
        <v>109</v>
      </c>
      <c r="G1174" s="2" t="s">
        <v>11</v>
      </c>
      <c r="H1174" s="2" t="s">
        <v>1522</v>
      </c>
      <c r="I1174" s="2" t="s">
        <v>63</v>
      </c>
    </row>
    <row r="1175" spans="1:9" ht="16" x14ac:dyDescent="0.8">
      <c r="A1175" s="2" t="s">
        <v>1629</v>
      </c>
      <c r="B1175" s="2" t="s">
        <v>1642</v>
      </c>
      <c r="C1175" s="2" t="s">
        <v>1643</v>
      </c>
      <c r="D1175" s="2" t="s">
        <v>1643</v>
      </c>
      <c r="E1175" s="3">
        <v>205</v>
      </c>
      <c r="F1175" s="3">
        <v>205</v>
      </c>
      <c r="G1175" s="2" t="s">
        <v>11</v>
      </c>
      <c r="H1175" s="2" t="s">
        <v>1522</v>
      </c>
      <c r="I1175" s="2" t="s">
        <v>63</v>
      </c>
    </row>
    <row r="1176" spans="1:9" ht="16" x14ac:dyDescent="0.8">
      <c r="A1176" s="2" t="s">
        <v>1629</v>
      </c>
      <c r="B1176" s="2" t="s">
        <v>1644</v>
      </c>
      <c r="C1176" s="2" t="s">
        <v>1645</v>
      </c>
      <c r="D1176" s="2" t="s">
        <v>1645</v>
      </c>
      <c r="E1176" s="3">
        <v>123</v>
      </c>
      <c r="F1176" s="3">
        <v>123</v>
      </c>
      <c r="G1176" s="2" t="s">
        <v>11</v>
      </c>
      <c r="H1176" s="2" t="s">
        <v>1522</v>
      </c>
      <c r="I1176" s="2" t="s">
        <v>63</v>
      </c>
    </row>
    <row r="1177" spans="1:9" ht="16" x14ac:dyDescent="0.8">
      <c r="A1177" s="2" t="s">
        <v>1629</v>
      </c>
      <c r="B1177" s="2" t="s">
        <v>1646</v>
      </c>
      <c r="C1177" s="2" t="s">
        <v>1647</v>
      </c>
      <c r="D1177" s="2" t="s">
        <v>1647</v>
      </c>
      <c r="E1177" s="3">
        <v>255</v>
      </c>
      <c r="F1177" s="3">
        <v>255</v>
      </c>
      <c r="G1177" s="2" t="s">
        <v>11</v>
      </c>
      <c r="H1177" s="2" t="s">
        <v>1522</v>
      </c>
      <c r="I1177" s="2" t="s">
        <v>63</v>
      </c>
    </row>
    <row r="1178" spans="1:9" ht="16" x14ac:dyDescent="0.8">
      <c r="A1178" s="2" t="s">
        <v>1629</v>
      </c>
      <c r="B1178" s="2" t="s">
        <v>1648</v>
      </c>
      <c r="C1178" s="2" t="s">
        <v>1649</v>
      </c>
      <c r="D1178" s="2" t="s">
        <v>1649</v>
      </c>
      <c r="E1178" s="3">
        <v>36</v>
      </c>
      <c r="F1178" s="3">
        <v>36</v>
      </c>
      <c r="G1178" s="2" t="s">
        <v>11</v>
      </c>
      <c r="H1178" s="2" t="s">
        <v>1522</v>
      </c>
      <c r="I1178" s="2" t="s">
        <v>63</v>
      </c>
    </row>
    <row r="1179" spans="1:9" ht="16" x14ac:dyDescent="0.8">
      <c r="A1179" s="2" t="s">
        <v>1629</v>
      </c>
      <c r="B1179" s="2" t="s">
        <v>1650</v>
      </c>
      <c r="C1179" s="2" t="s">
        <v>1651</v>
      </c>
      <c r="D1179" s="2" t="s">
        <v>1651</v>
      </c>
      <c r="E1179" s="3">
        <v>47</v>
      </c>
      <c r="F1179" s="3">
        <v>47</v>
      </c>
      <c r="G1179" s="2" t="s">
        <v>11</v>
      </c>
      <c r="H1179" s="2" t="s">
        <v>1522</v>
      </c>
      <c r="I1179" s="2" t="s">
        <v>63</v>
      </c>
    </row>
    <row r="1180" spans="1:9" ht="16" x14ac:dyDescent="0.8">
      <c r="A1180" s="2" t="s">
        <v>1629</v>
      </c>
      <c r="B1180" s="2" t="s">
        <v>1652</v>
      </c>
      <c r="C1180" s="2" t="s">
        <v>1653</v>
      </c>
      <c r="D1180" s="2" t="s">
        <v>1653</v>
      </c>
      <c r="E1180" s="3">
        <v>137</v>
      </c>
      <c r="F1180" s="3">
        <v>137</v>
      </c>
      <c r="G1180" s="2" t="s">
        <v>11</v>
      </c>
      <c r="H1180" s="2" t="s">
        <v>1522</v>
      </c>
      <c r="I1180" s="2" t="s">
        <v>63</v>
      </c>
    </row>
    <row r="1181" spans="1:9" ht="16" x14ac:dyDescent="0.8">
      <c r="A1181" s="2" t="s">
        <v>1629</v>
      </c>
      <c r="B1181" s="2" t="s">
        <v>1654</v>
      </c>
      <c r="C1181" s="2" t="s">
        <v>1655</v>
      </c>
      <c r="D1181" s="2" t="s">
        <v>1655</v>
      </c>
      <c r="E1181" s="3">
        <v>90</v>
      </c>
      <c r="F1181" s="3">
        <v>90</v>
      </c>
      <c r="G1181" s="2" t="s">
        <v>11</v>
      </c>
      <c r="H1181" s="2" t="s">
        <v>1522</v>
      </c>
      <c r="I1181" s="2" t="s">
        <v>63</v>
      </c>
    </row>
    <row r="1182" spans="1:9" ht="16" x14ac:dyDescent="0.8">
      <c r="A1182" s="2" t="s">
        <v>1629</v>
      </c>
      <c r="B1182" s="2" t="s">
        <v>1656</v>
      </c>
      <c r="C1182" s="2" t="s">
        <v>1657</v>
      </c>
      <c r="D1182" s="2" t="s">
        <v>1657</v>
      </c>
      <c r="E1182" s="3">
        <v>362</v>
      </c>
      <c r="F1182" s="3">
        <v>362</v>
      </c>
      <c r="G1182" s="2" t="s">
        <v>11</v>
      </c>
      <c r="H1182" s="2" t="s">
        <v>1522</v>
      </c>
      <c r="I1182" s="2" t="s">
        <v>63</v>
      </c>
    </row>
    <row r="1183" spans="1:9" ht="16" x14ac:dyDescent="0.8">
      <c r="A1183" s="2" t="s">
        <v>1629</v>
      </c>
      <c r="B1183" s="2" t="s">
        <v>1658</v>
      </c>
      <c r="C1183" s="2" t="s">
        <v>1659</v>
      </c>
      <c r="D1183" s="2" t="s">
        <v>1659</v>
      </c>
      <c r="E1183" s="3">
        <v>107</v>
      </c>
      <c r="F1183" s="3">
        <v>107</v>
      </c>
      <c r="G1183" s="2" t="s">
        <v>11</v>
      </c>
      <c r="H1183" s="2" t="s">
        <v>1522</v>
      </c>
      <c r="I1183" s="2" t="s">
        <v>63</v>
      </c>
    </row>
    <row r="1184" spans="1:9" ht="16" x14ac:dyDescent="0.8">
      <c r="A1184" s="2" t="s">
        <v>1629</v>
      </c>
      <c r="B1184" s="2" t="s">
        <v>1660</v>
      </c>
      <c r="C1184" s="2" t="s">
        <v>1661</v>
      </c>
      <c r="D1184" s="2" t="s">
        <v>1661</v>
      </c>
      <c r="E1184" s="3">
        <v>58</v>
      </c>
      <c r="F1184" s="3">
        <v>58</v>
      </c>
      <c r="G1184" s="2" t="s">
        <v>11</v>
      </c>
      <c r="H1184" s="2" t="s">
        <v>1522</v>
      </c>
      <c r="I1184" s="2" t="s">
        <v>63</v>
      </c>
    </row>
    <row r="1185" spans="1:9" ht="16" x14ac:dyDescent="0.8">
      <c r="A1185" s="2" t="s">
        <v>1629</v>
      </c>
      <c r="B1185" s="2" t="s">
        <v>1662</v>
      </c>
      <c r="C1185" s="2" t="s">
        <v>1663</v>
      </c>
      <c r="D1185" s="2" t="s">
        <v>1663</v>
      </c>
      <c r="E1185" s="3">
        <v>107</v>
      </c>
      <c r="F1185" s="3">
        <v>107</v>
      </c>
      <c r="G1185" s="2" t="s">
        <v>11</v>
      </c>
      <c r="H1185" s="2" t="s">
        <v>1522</v>
      </c>
      <c r="I1185" s="2" t="s">
        <v>63</v>
      </c>
    </row>
    <row r="1186" spans="1:9" ht="16" x14ac:dyDescent="0.8">
      <c r="A1186" s="2" t="s">
        <v>1629</v>
      </c>
      <c r="B1186" s="2" t="s">
        <v>1664</v>
      </c>
      <c r="C1186" s="2" t="s">
        <v>1665</v>
      </c>
      <c r="D1186" s="2" t="s">
        <v>1665</v>
      </c>
      <c r="E1186" s="3">
        <v>27</v>
      </c>
      <c r="F1186" s="3">
        <v>27</v>
      </c>
      <c r="G1186" s="2" t="s">
        <v>11</v>
      </c>
      <c r="H1186" s="2" t="s">
        <v>1522</v>
      </c>
      <c r="I1186" s="2" t="s">
        <v>63</v>
      </c>
    </row>
    <row r="1187" spans="1:9" ht="16" x14ac:dyDescent="0.8">
      <c r="A1187" s="2" t="s">
        <v>1629</v>
      </c>
      <c r="B1187" s="2" t="s">
        <v>1666</v>
      </c>
      <c r="C1187" s="2" t="s">
        <v>1667</v>
      </c>
      <c r="D1187" s="2" t="s">
        <v>1667</v>
      </c>
      <c r="E1187" s="3">
        <v>128</v>
      </c>
      <c r="F1187" s="3">
        <v>128</v>
      </c>
      <c r="G1187" s="2" t="s">
        <v>11</v>
      </c>
      <c r="H1187" s="2" t="s">
        <v>1522</v>
      </c>
      <c r="I1187" s="2" t="s">
        <v>63</v>
      </c>
    </row>
    <row r="1188" spans="1:9" ht="16" x14ac:dyDescent="0.8">
      <c r="A1188" s="2" t="s">
        <v>1629</v>
      </c>
      <c r="B1188" s="2" t="s">
        <v>1668</v>
      </c>
      <c r="C1188" s="2" t="s">
        <v>1669</v>
      </c>
      <c r="D1188" s="2" t="s">
        <v>1669</v>
      </c>
      <c r="E1188" s="3">
        <v>405</v>
      </c>
      <c r="F1188" s="3">
        <v>405</v>
      </c>
      <c r="G1188" s="2" t="s">
        <v>11</v>
      </c>
      <c r="H1188" s="2" t="s">
        <v>1522</v>
      </c>
      <c r="I1188" s="2" t="s">
        <v>63</v>
      </c>
    </row>
    <row r="1189" spans="1:9" ht="16" x14ac:dyDescent="0.8">
      <c r="A1189" s="2" t="s">
        <v>1629</v>
      </c>
      <c r="B1189" s="2" t="s">
        <v>1670</v>
      </c>
      <c r="C1189" s="2" t="s">
        <v>1671</v>
      </c>
      <c r="D1189" s="2" t="s">
        <v>1671</v>
      </c>
      <c r="E1189" s="3">
        <v>319</v>
      </c>
      <c r="F1189" s="3">
        <v>319</v>
      </c>
      <c r="G1189" s="2" t="s">
        <v>11</v>
      </c>
      <c r="H1189" s="2" t="s">
        <v>1522</v>
      </c>
      <c r="I1189" s="2" t="s">
        <v>63</v>
      </c>
    </row>
    <row r="1190" spans="1:9" ht="16" x14ac:dyDescent="0.8">
      <c r="A1190" s="2" t="s">
        <v>1629</v>
      </c>
      <c r="B1190" s="2" t="s">
        <v>1672</v>
      </c>
      <c r="C1190" s="2" t="s">
        <v>1673</v>
      </c>
      <c r="D1190" s="2" t="s">
        <v>1673</v>
      </c>
      <c r="E1190" s="3">
        <v>557</v>
      </c>
      <c r="F1190" s="3">
        <v>557</v>
      </c>
      <c r="G1190" s="2" t="s">
        <v>11</v>
      </c>
      <c r="H1190" s="2" t="s">
        <v>1522</v>
      </c>
      <c r="I1190" s="2" t="s">
        <v>63</v>
      </c>
    </row>
    <row r="1191" spans="1:9" ht="16" x14ac:dyDescent="0.8">
      <c r="A1191" s="2" t="s">
        <v>1629</v>
      </c>
      <c r="B1191" s="2" t="s">
        <v>1674</v>
      </c>
      <c r="C1191" s="2" t="s">
        <v>1675</v>
      </c>
      <c r="D1191" s="2" t="s">
        <v>1675</v>
      </c>
      <c r="E1191" s="3">
        <v>704</v>
      </c>
      <c r="F1191" s="3">
        <v>704</v>
      </c>
      <c r="G1191" s="2" t="s">
        <v>11</v>
      </c>
      <c r="H1191" s="2" t="s">
        <v>1522</v>
      </c>
      <c r="I1191" s="2" t="s">
        <v>63</v>
      </c>
    </row>
    <row r="1192" spans="1:9" ht="16" x14ac:dyDescent="0.8">
      <c r="A1192" s="2" t="s">
        <v>1629</v>
      </c>
      <c r="B1192" s="2" t="s">
        <v>1676</v>
      </c>
      <c r="C1192" s="2" t="s">
        <v>1677</v>
      </c>
      <c r="D1192" s="2" t="s">
        <v>1677</v>
      </c>
      <c r="E1192" s="3">
        <v>85</v>
      </c>
      <c r="F1192" s="3">
        <v>85</v>
      </c>
      <c r="G1192" s="2" t="s">
        <v>11</v>
      </c>
      <c r="H1192" s="2" t="s">
        <v>1522</v>
      </c>
      <c r="I1192" s="2" t="s">
        <v>63</v>
      </c>
    </row>
    <row r="1193" spans="1:9" ht="16" x14ac:dyDescent="0.8">
      <c r="A1193" s="2" t="s">
        <v>1629</v>
      </c>
      <c r="B1193" s="2" t="s">
        <v>1678</v>
      </c>
      <c r="C1193" s="2" t="s">
        <v>1679</v>
      </c>
      <c r="D1193" s="2" t="s">
        <v>1679</v>
      </c>
      <c r="E1193" s="3">
        <v>183</v>
      </c>
      <c r="F1193" s="3">
        <v>183</v>
      </c>
      <c r="G1193" s="2" t="s">
        <v>11</v>
      </c>
      <c r="H1193" s="2" t="s">
        <v>1522</v>
      </c>
      <c r="I1193" s="2" t="s">
        <v>63</v>
      </c>
    </row>
    <row r="1194" spans="1:9" ht="16" x14ac:dyDescent="0.8">
      <c r="A1194" s="2" t="s">
        <v>1629</v>
      </c>
      <c r="B1194" s="2" t="s">
        <v>1680</v>
      </c>
      <c r="C1194" s="2" t="s">
        <v>1681</v>
      </c>
      <c r="D1194" s="2" t="s">
        <v>1681</v>
      </c>
      <c r="E1194" s="3">
        <v>70</v>
      </c>
      <c r="F1194" s="3">
        <v>70</v>
      </c>
      <c r="G1194" s="2" t="s">
        <v>11</v>
      </c>
      <c r="H1194" s="2" t="s">
        <v>1522</v>
      </c>
      <c r="I1194" s="2" t="s">
        <v>63</v>
      </c>
    </row>
    <row r="1195" spans="1:9" ht="16" x14ac:dyDescent="0.8">
      <c r="A1195" s="2" t="s">
        <v>1629</v>
      </c>
      <c r="B1195" s="2" t="s">
        <v>1682</v>
      </c>
      <c r="C1195" s="2" t="s">
        <v>1683</v>
      </c>
      <c r="D1195" s="2" t="s">
        <v>1683</v>
      </c>
      <c r="E1195" s="3">
        <v>36</v>
      </c>
      <c r="F1195" s="3">
        <v>36</v>
      </c>
      <c r="G1195" s="2" t="s">
        <v>11</v>
      </c>
      <c r="H1195" s="2" t="s">
        <v>1522</v>
      </c>
      <c r="I1195" s="2" t="s">
        <v>63</v>
      </c>
    </row>
    <row r="1196" spans="1:9" ht="16" x14ac:dyDescent="0.8">
      <c r="A1196" s="2" t="s">
        <v>1629</v>
      </c>
      <c r="B1196" s="2" t="s">
        <v>1684</v>
      </c>
      <c r="C1196" s="2" t="s">
        <v>1685</v>
      </c>
      <c r="D1196" s="2" t="s">
        <v>1685</v>
      </c>
      <c r="E1196" s="3">
        <v>500</v>
      </c>
      <c r="F1196" s="3">
        <v>500</v>
      </c>
      <c r="G1196" s="2" t="s">
        <v>11</v>
      </c>
      <c r="H1196" s="2" t="s">
        <v>1522</v>
      </c>
      <c r="I1196" s="2" t="s">
        <v>63</v>
      </c>
    </row>
    <row r="1197" spans="1:9" ht="16" x14ac:dyDescent="0.8">
      <c r="A1197" s="2" t="s">
        <v>1629</v>
      </c>
      <c r="B1197" s="2" t="s">
        <v>1686</v>
      </c>
      <c r="C1197" s="2" t="s">
        <v>1687</v>
      </c>
      <c r="D1197" s="2" t="s">
        <v>1687</v>
      </c>
      <c r="E1197" s="3">
        <v>59</v>
      </c>
      <c r="F1197" s="3">
        <v>59</v>
      </c>
      <c r="G1197" s="2" t="s">
        <v>11</v>
      </c>
      <c r="H1197" s="2" t="s">
        <v>1522</v>
      </c>
      <c r="I1197" s="2" t="s">
        <v>63</v>
      </c>
    </row>
    <row r="1198" spans="1:9" ht="16" x14ac:dyDescent="0.8">
      <c r="A1198" s="2" t="s">
        <v>1629</v>
      </c>
      <c r="B1198" s="2" t="s">
        <v>1688</v>
      </c>
      <c r="C1198" s="2" t="s">
        <v>1689</v>
      </c>
      <c r="D1198" s="2" t="s">
        <v>1689</v>
      </c>
      <c r="E1198" s="3">
        <v>37</v>
      </c>
      <c r="F1198" s="3">
        <v>37</v>
      </c>
      <c r="G1198" s="2" t="s">
        <v>11</v>
      </c>
      <c r="H1198" s="2" t="s">
        <v>1522</v>
      </c>
      <c r="I1198" s="2" t="s">
        <v>63</v>
      </c>
    </row>
    <row r="1199" spans="1:9" ht="16" x14ac:dyDescent="0.8">
      <c r="A1199" s="2" t="s">
        <v>1629</v>
      </c>
      <c r="B1199" s="2" t="s">
        <v>1690</v>
      </c>
      <c r="C1199" s="2" t="s">
        <v>1691</v>
      </c>
      <c r="D1199" s="2" t="s">
        <v>1691</v>
      </c>
      <c r="E1199" s="3">
        <v>178</v>
      </c>
      <c r="F1199" s="3">
        <v>178</v>
      </c>
      <c r="G1199" s="2" t="s">
        <v>11</v>
      </c>
      <c r="H1199" s="2" t="s">
        <v>1522</v>
      </c>
      <c r="I1199" s="2" t="s">
        <v>63</v>
      </c>
    </row>
    <row r="1200" spans="1:9" ht="16" x14ac:dyDescent="0.8">
      <c r="A1200" s="2" t="s">
        <v>1629</v>
      </c>
      <c r="B1200" s="2" t="s">
        <v>1692</v>
      </c>
      <c r="C1200" s="2" t="s">
        <v>1693</v>
      </c>
      <c r="D1200" s="2" t="s">
        <v>1693</v>
      </c>
      <c r="E1200" s="3">
        <v>185</v>
      </c>
      <c r="F1200" s="3">
        <v>185</v>
      </c>
      <c r="G1200" s="2" t="s">
        <v>11</v>
      </c>
      <c r="H1200" s="2" t="s">
        <v>1522</v>
      </c>
      <c r="I1200" s="2" t="s">
        <v>63</v>
      </c>
    </row>
    <row r="1201" spans="1:9" ht="16" x14ac:dyDescent="0.8">
      <c r="A1201" s="2" t="s">
        <v>1629</v>
      </c>
      <c r="B1201" s="2" t="s">
        <v>1694</v>
      </c>
      <c r="C1201" s="2" t="s">
        <v>1695</v>
      </c>
      <c r="D1201" s="2" t="s">
        <v>1695</v>
      </c>
      <c r="E1201" s="3">
        <v>183</v>
      </c>
      <c r="F1201" s="3">
        <v>183</v>
      </c>
      <c r="G1201" s="2" t="s">
        <v>11</v>
      </c>
      <c r="H1201" s="2" t="s">
        <v>1522</v>
      </c>
      <c r="I1201" s="2" t="s">
        <v>63</v>
      </c>
    </row>
    <row r="1202" spans="1:9" ht="16" x14ac:dyDescent="0.8">
      <c r="A1202" s="2" t="s">
        <v>1629</v>
      </c>
      <c r="B1202" s="2" t="s">
        <v>1696</v>
      </c>
      <c r="C1202" s="2" t="s">
        <v>1697</v>
      </c>
      <c r="D1202" s="2" t="s">
        <v>1697</v>
      </c>
      <c r="E1202" s="3">
        <v>701</v>
      </c>
      <c r="F1202" s="3">
        <v>701</v>
      </c>
      <c r="G1202" s="2" t="s">
        <v>11</v>
      </c>
      <c r="H1202" s="2" t="s">
        <v>1522</v>
      </c>
      <c r="I1202" s="2" t="s">
        <v>63</v>
      </c>
    </row>
    <row r="1203" spans="1:9" ht="16" x14ac:dyDescent="0.8">
      <c r="A1203" s="2" t="s">
        <v>1629</v>
      </c>
      <c r="B1203" s="2" t="s">
        <v>1698</v>
      </c>
      <c r="C1203" s="2" t="s">
        <v>1699</v>
      </c>
      <c r="D1203" s="2" t="s">
        <v>1699</v>
      </c>
      <c r="E1203" s="3">
        <v>549</v>
      </c>
      <c r="F1203" s="3">
        <v>549</v>
      </c>
      <c r="G1203" s="2" t="s">
        <v>11</v>
      </c>
      <c r="H1203" s="2" t="s">
        <v>1522</v>
      </c>
      <c r="I1203" s="2" t="s">
        <v>63</v>
      </c>
    </row>
    <row r="1204" spans="1:9" ht="16" x14ac:dyDescent="0.8">
      <c r="A1204" s="2" t="s">
        <v>1629</v>
      </c>
      <c r="B1204" s="2" t="s">
        <v>1700</v>
      </c>
      <c r="C1204" s="2" t="s">
        <v>1701</v>
      </c>
      <c r="D1204" s="2" t="s">
        <v>1701</v>
      </c>
      <c r="E1204" s="3">
        <v>90</v>
      </c>
      <c r="F1204" s="3">
        <v>90</v>
      </c>
      <c r="G1204" s="2" t="s">
        <v>11</v>
      </c>
      <c r="H1204" s="2" t="s">
        <v>1522</v>
      </c>
      <c r="I1204" s="2" t="s">
        <v>63</v>
      </c>
    </row>
    <row r="1205" spans="1:9" ht="16" x14ac:dyDescent="0.8">
      <c r="A1205" s="2" t="s">
        <v>1629</v>
      </c>
      <c r="B1205" s="2" t="s">
        <v>1702</v>
      </c>
      <c r="C1205" s="2" t="s">
        <v>1703</v>
      </c>
      <c r="D1205" s="2" t="s">
        <v>1703</v>
      </c>
      <c r="E1205" s="3">
        <v>81</v>
      </c>
      <c r="F1205" s="3">
        <v>81</v>
      </c>
      <c r="G1205" s="2" t="s">
        <v>11</v>
      </c>
      <c r="H1205" s="2" t="s">
        <v>1522</v>
      </c>
      <c r="I1205" s="2" t="s">
        <v>63</v>
      </c>
    </row>
    <row r="1206" spans="1:9" ht="16" x14ac:dyDescent="0.8">
      <c r="A1206" s="2" t="s">
        <v>1629</v>
      </c>
      <c r="B1206" s="2" t="s">
        <v>1704</v>
      </c>
      <c r="C1206" s="2" t="s">
        <v>1705</v>
      </c>
      <c r="D1206" s="2" t="s">
        <v>1705</v>
      </c>
      <c r="E1206" s="3">
        <v>162</v>
      </c>
      <c r="F1206" s="3">
        <v>162</v>
      </c>
      <c r="G1206" s="2" t="s">
        <v>11</v>
      </c>
      <c r="H1206" s="2" t="s">
        <v>1522</v>
      </c>
      <c r="I1206" s="2" t="s">
        <v>63</v>
      </c>
    </row>
    <row r="1207" spans="1:9" ht="16" x14ac:dyDescent="0.8">
      <c r="A1207" s="2" t="s">
        <v>1629</v>
      </c>
      <c r="B1207" s="2" t="s">
        <v>1706</v>
      </c>
      <c r="C1207" s="2" t="s">
        <v>1707</v>
      </c>
      <c r="D1207" s="2" t="s">
        <v>1707</v>
      </c>
      <c r="E1207" s="3">
        <v>80</v>
      </c>
      <c r="F1207" s="3">
        <v>80</v>
      </c>
      <c r="G1207" s="2" t="s">
        <v>11</v>
      </c>
      <c r="H1207" s="2" t="s">
        <v>1522</v>
      </c>
      <c r="I1207" s="2" t="s">
        <v>63</v>
      </c>
    </row>
    <row r="1208" spans="1:9" ht="16" x14ac:dyDescent="0.8">
      <c r="A1208" s="2" t="s">
        <v>1629</v>
      </c>
      <c r="B1208" s="2" t="s">
        <v>1708</v>
      </c>
      <c r="C1208" s="2" t="s">
        <v>1709</v>
      </c>
      <c r="D1208" s="2" t="s">
        <v>1709</v>
      </c>
      <c r="E1208" s="3">
        <v>128</v>
      </c>
      <c r="F1208" s="3">
        <v>128</v>
      </c>
      <c r="G1208" s="2" t="s">
        <v>11</v>
      </c>
      <c r="H1208" s="2" t="s">
        <v>1522</v>
      </c>
      <c r="I1208" s="2" t="s">
        <v>63</v>
      </c>
    </row>
    <row r="1209" spans="1:9" ht="16" x14ac:dyDescent="0.8">
      <c r="A1209" s="2" t="s">
        <v>1629</v>
      </c>
      <c r="B1209" s="2" t="s">
        <v>1710</v>
      </c>
      <c r="C1209" s="2" t="s">
        <v>1711</v>
      </c>
      <c r="D1209" s="2" t="s">
        <v>1711</v>
      </c>
      <c r="E1209" s="3">
        <v>9</v>
      </c>
      <c r="F1209" s="3">
        <v>9</v>
      </c>
      <c r="G1209" s="2" t="s">
        <v>11</v>
      </c>
      <c r="H1209" s="2" t="s">
        <v>1522</v>
      </c>
      <c r="I1209" s="2" t="s">
        <v>63</v>
      </c>
    </row>
    <row r="1210" spans="1:9" ht="16" x14ac:dyDescent="0.8">
      <c r="A1210" s="2" t="s">
        <v>1629</v>
      </c>
      <c r="B1210" s="2" t="s">
        <v>1712</v>
      </c>
      <c r="C1210" s="2" t="s">
        <v>1713</v>
      </c>
      <c r="D1210" s="2" t="s">
        <v>1713</v>
      </c>
      <c r="E1210" s="3">
        <v>34</v>
      </c>
      <c r="F1210" s="3">
        <v>34</v>
      </c>
      <c r="G1210" s="2" t="s">
        <v>11</v>
      </c>
      <c r="H1210" s="2" t="s">
        <v>1522</v>
      </c>
      <c r="I1210" s="2" t="s">
        <v>63</v>
      </c>
    </row>
    <row r="1211" spans="1:9" ht="16" x14ac:dyDescent="0.8">
      <c r="A1211" s="2" t="s">
        <v>1629</v>
      </c>
      <c r="B1211" s="2" t="s">
        <v>1714</v>
      </c>
      <c r="C1211" s="2" t="s">
        <v>1715</v>
      </c>
      <c r="D1211" s="2" t="s">
        <v>1715</v>
      </c>
      <c r="E1211" s="3">
        <v>38</v>
      </c>
      <c r="F1211" s="3">
        <v>38</v>
      </c>
      <c r="G1211" s="2" t="s">
        <v>11</v>
      </c>
      <c r="H1211" s="2" t="s">
        <v>1522</v>
      </c>
      <c r="I1211" s="2" t="s">
        <v>63</v>
      </c>
    </row>
    <row r="1212" spans="1:9" ht="16" x14ac:dyDescent="0.8">
      <c r="A1212" s="2" t="s">
        <v>1629</v>
      </c>
      <c r="B1212" s="2" t="s">
        <v>1716</v>
      </c>
      <c r="C1212" s="2" t="s">
        <v>1717</v>
      </c>
      <c r="D1212" s="2" t="s">
        <v>1717</v>
      </c>
      <c r="E1212" s="3">
        <v>86</v>
      </c>
      <c r="F1212" s="3">
        <v>86</v>
      </c>
      <c r="G1212" s="2" t="s">
        <v>11</v>
      </c>
      <c r="H1212" s="2" t="s">
        <v>1522</v>
      </c>
      <c r="I1212" s="2" t="s">
        <v>63</v>
      </c>
    </row>
    <row r="1213" spans="1:9" ht="16" x14ac:dyDescent="0.8">
      <c r="A1213" s="2" t="s">
        <v>1629</v>
      </c>
      <c r="B1213" s="2" t="s">
        <v>1718</v>
      </c>
      <c r="C1213" s="2" t="s">
        <v>1719</v>
      </c>
      <c r="D1213" s="2" t="s">
        <v>1719</v>
      </c>
      <c r="E1213" s="3">
        <v>77</v>
      </c>
      <c r="F1213" s="3">
        <v>77</v>
      </c>
      <c r="G1213" s="2" t="s">
        <v>11</v>
      </c>
      <c r="H1213" s="2" t="s">
        <v>1522</v>
      </c>
      <c r="I1213" s="2" t="s">
        <v>63</v>
      </c>
    </row>
    <row r="1214" spans="1:9" ht="16" x14ac:dyDescent="0.8">
      <c r="A1214" s="2" t="s">
        <v>1629</v>
      </c>
      <c r="B1214" s="2" t="s">
        <v>1720</v>
      </c>
      <c r="C1214" s="2" t="s">
        <v>666</v>
      </c>
      <c r="D1214" s="2" t="s">
        <v>666</v>
      </c>
      <c r="E1214" s="3">
        <v>150</v>
      </c>
      <c r="F1214" s="3">
        <v>150</v>
      </c>
      <c r="G1214" s="2" t="s">
        <v>11</v>
      </c>
      <c r="H1214" s="2" t="s">
        <v>1522</v>
      </c>
      <c r="I1214" s="2" t="s">
        <v>63</v>
      </c>
    </row>
    <row r="1215" spans="1:9" ht="16" x14ac:dyDescent="0.8">
      <c r="A1215" s="2" t="s">
        <v>1721</v>
      </c>
      <c r="B1215" s="2" t="s">
        <v>1722</v>
      </c>
      <c r="C1215" s="2" t="s">
        <v>1723</v>
      </c>
      <c r="D1215" s="2" t="s">
        <v>1723</v>
      </c>
      <c r="E1215" s="3">
        <v>246</v>
      </c>
      <c r="F1215" s="3">
        <v>246</v>
      </c>
      <c r="G1215" s="2" t="s">
        <v>11</v>
      </c>
      <c r="H1215" s="2" t="s">
        <v>1522</v>
      </c>
      <c r="I1215" s="2" t="s">
        <v>1724</v>
      </c>
    </row>
    <row r="1216" spans="1:9" ht="16" x14ac:dyDescent="0.8">
      <c r="A1216" s="2" t="s">
        <v>1721</v>
      </c>
      <c r="B1216" s="2" t="s">
        <v>1725</v>
      </c>
      <c r="C1216" s="2" t="s">
        <v>1726</v>
      </c>
      <c r="D1216" s="2" t="s">
        <v>1726</v>
      </c>
      <c r="E1216" s="3">
        <v>105</v>
      </c>
      <c r="F1216" s="3">
        <v>105</v>
      </c>
      <c r="G1216" s="2" t="s">
        <v>11</v>
      </c>
      <c r="H1216" s="2" t="s">
        <v>1522</v>
      </c>
      <c r="I1216" s="2" t="s">
        <v>1724</v>
      </c>
    </row>
    <row r="1217" spans="1:9" ht="16" x14ac:dyDescent="0.8">
      <c r="A1217" s="2" t="s">
        <v>1728</v>
      </c>
      <c r="B1217" s="2" t="s">
        <v>692</v>
      </c>
      <c r="C1217" s="2" t="s">
        <v>693</v>
      </c>
      <c r="D1217" s="2" t="s">
        <v>693</v>
      </c>
      <c r="E1217" s="3">
        <v>786</v>
      </c>
      <c r="F1217" s="3">
        <v>786</v>
      </c>
      <c r="G1217" s="2" t="s">
        <v>11</v>
      </c>
      <c r="H1217" s="2" t="s">
        <v>1521</v>
      </c>
      <c r="I1217" s="2" t="s">
        <v>695</v>
      </c>
    </row>
    <row r="1218" spans="1:9" ht="16" x14ac:dyDescent="0.8">
      <c r="A1218" s="2" t="s">
        <v>1737</v>
      </c>
      <c r="B1218" s="2" t="s">
        <v>1738</v>
      </c>
      <c r="C1218" s="2" t="s">
        <v>1739</v>
      </c>
      <c r="D1218" s="2" t="s">
        <v>1739</v>
      </c>
      <c r="E1218" s="3">
        <v>320</v>
      </c>
      <c r="F1218" s="3">
        <v>320</v>
      </c>
      <c r="G1218" s="2" t="s">
        <v>11</v>
      </c>
      <c r="H1218" s="2" t="s">
        <v>1516</v>
      </c>
      <c r="I1218" s="2" t="s">
        <v>1740</v>
      </c>
    </row>
    <row r="1219" spans="1:9" ht="16" x14ac:dyDescent="0.8">
      <c r="A1219" s="2" t="s">
        <v>1741</v>
      </c>
      <c r="B1219" s="2" t="s">
        <v>1742</v>
      </c>
      <c r="C1219" s="2" t="s">
        <v>1743</v>
      </c>
      <c r="D1219" s="2" t="s">
        <v>1743</v>
      </c>
      <c r="E1219" s="3">
        <v>297</v>
      </c>
      <c r="F1219" s="3">
        <v>297</v>
      </c>
      <c r="G1219" s="2" t="s">
        <v>11</v>
      </c>
      <c r="H1219" s="2" t="s">
        <v>1516</v>
      </c>
      <c r="I1219" s="2" t="s">
        <v>1744</v>
      </c>
    </row>
    <row r="1220" spans="1:9" ht="16" x14ac:dyDescent="0.8">
      <c r="A1220" s="2" t="s">
        <v>1745</v>
      </c>
      <c r="B1220" s="2" t="s">
        <v>1746</v>
      </c>
      <c r="C1220" s="2" t="s">
        <v>1747</v>
      </c>
      <c r="D1220" s="2" t="s">
        <v>1747</v>
      </c>
      <c r="E1220" s="3">
        <v>125</v>
      </c>
      <c r="F1220" s="3">
        <v>125</v>
      </c>
      <c r="G1220" s="2" t="s">
        <v>11</v>
      </c>
      <c r="H1220" s="2" t="s">
        <v>1516</v>
      </c>
      <c r="I1220" s="2" t="s">
        <v>1748</v>
      </c>
    </row>
    <row r="1221" spans="1:9" ht="16" x14ac:dyDescent="0.8">
      <c r="A1221" s="2" t="s">
        <v>1745</v>
      </c>
      <c r="B1221" s="2" t="s">
        <v>1749</v>
      </c>
      <c r="C1221" s="2" t="s">
        <v>1750</v>
      </c>
      <c r="D1221" s="2" t="s">
        <v>1750</v>
      </c>
      <c r="E1221" s="3">
        <v>74</v>
      </c>
      <c r="F1221" s="3">
        <v>74</v>
      </c>
      <c r="G1221" s="2" t="s">
        <v>11</v>
      </c>
      <c r="H1221" s="2" t="s">
        <v>1516</v>
      </c>
      <c r="I1221" s="2" t="s">
        <v>1748</v>
      </c>
    </row>
    <row r="1222" spans="1:9" ht="16" x14ac:dyDescent="0.8">
      <c r="A1222" s="2" t="s">
        <v>1751</v>
      </c>
      <c r="B1222" s="2" t="s">
        <v>769</v>
      </c>
      <c r="C1222" s="2" t="s">
        <v>770</v>
      </c>
      <c r="D1222" s="2" t="s">
        <v>770</v>
      </c>
      <c r="E1222" s="3">
        <v>13020</v>
      </c>
      <c r="F1222" s="3">
        <v>13020</v>
      </c>
      <c r="G1222" s="2" t="s">
        <v>11</v>
      </c>
      <c r="H1222" s="2" t="s">
        <v>1752</v>
      </c>
      <c r="I1222" s="2" t="s">
        <v>238</v>
      </c>
    </row>
    <row r="1223" spans="1:9" ht="16" x14ac:dyDescent="0.8">
      <c r="A1223" s="2" t="s">
        <v>1751</v>
      </c>
      <c r="B1223" s="2" t="s">
        <v>679</v>
      </c>
      <c r="C1223" s="2" t="s">
        <v>680</v>
      </c>
      <c r="D1223" s="2" t="s">
        <v>680</v>
      </c>
      <c r="E1223" s="3">
        <v>4840</v>
      </c>
      <c r="F1223" s="3">
        <v>4840</v>
      </c>
      <c r="G1223" s="2" t="s">
        <v>11</v>
      </c>
      <c r="H1223" s="2" t="s">
        <v>1752</v>
      </c>
      <c r="I1223" s="2" t="s">
        <v>238</v>
      </c>
    </row>
    <row r="1224" spans="1:9" ht="16" x14ac:dyDescent="0.8">
      <c r="A1224" s="2" t="s">
        <v>1751</v>
      </c>
      <c r="B1224" s="2" t="s">
        <v>1514</v>
      </c>
      <c r="C1224" s="2" t="s">
        <v>1515</v>
      </c>
      <c r="D1224" s="2" t="s">
        <v>1515</v>
      </c>
      <c r="E1224" s="3">
        <v>10000</v>
      </c>
      <c r="F1224" s="3">
        <v>10000</v>
      </c>
      <c r="G1224" s="2" t="s">
        <v>11</v>
      </c>
      <c r="H1224" s="2" t="s">
        <v>1752</v>
      </c>
      <c r="I1224" s="2" t="s">
        <v>238</v>
      </c>
    </row>
    <row r="1225" spans="1:9" ht="16" x14ac:dyDescent="0.8">
      <c r="A1225" s="2" t="s">
        <v>1751</v>
      </c>
      <c r="B1225" s="2" t="s">
        <v>677</v>
      </c>
      <c r="C1225" s="2" t="s">
        <v>678</v>
      </c>
      <c r="D1225" s="2" t="s">
        <v>678</v>
      </c>
      <c r="E1225" s="3">
        <v>12000</v>
      </c>
      <c r="F1225" s="3">
        <v>12000</v>
      </c>
      <c r="G1225" s="2" t="s">
        <v>11</v>
      </c>
      <c r="H1225" s="2" t="s">
        <v>1752</v>
      </c>
      <c r="I1225" s="2" t="s">
        <v>238</v>
      </c>
    </row>
    <row r="1226" spans="1:9" ht="16" x14ac:dyDescent="0.8">
      <c r="A1226" s="2" t="s">
        <v>1751</v>
      </c>
      <c r="B1226" s="2" t="s">
        <v>767</v>
      </c>
      <c r="C1226" s="2" t="s">
        <v>768</v>
      </c>
      <c r="D1226" s="2" t="s">
        <v>768</v>
      </c>
      <c r="E1226" s="3">
        <v>10000</v>
      </c>
      <c r="F1226" s="3">
        <v>10000</v>
      </c>
      <c r="G1226" s="2" t="s">
        <v>11</v>
      </c>
      <c r="H1226" s="2" t="s">
        <v>1752</v>
      </c>
      <c r="I1226" s="2" t="s">
        <v>238</v>
      </c>
    </row>
    <row r="1227" spans="1:9" ht="16" x14ac:dyDescent="0.8">
      <c r="A1227" s="2" t="s">
        <v>1753</v>
      </c>
      <c r="B1227" s="2" t="s">
        <v>1754</v>
      </c>
      <c r="C1227" s="2" t="s">
        <v>1755</v>
      </c>
      <c r="D1227" s="2" t="s">
        <v>1755</v>
      </c>
      <c r="E1227" s="3">
        <v>19536</v>
      </c>
      <c r="F1227" s="3">
        <v>19536</v>
      </c>
      <c r="G1227" s="2" t="s">
        <v>11</v>
      </c>
      <c r="H1227" s="2" t="s">
        <v>1727</v>
      </c>
      <c r="I1227" s="2" t="s">
        <v>1756</v>
      </c>
    </row>
    <row r="1228" spans="1:9" ht="16" x14ac:dyDescent="0.8">
      <c r="A1228" s="2" t="s">
        <v>1757</v>
      </c>
      <c r="B1228" s="2" t="s">
        <v>417</v>
      </c>
      <c r="C1228" s="2" t="s">
        <v>245</v>
      </c>
      <c r="D1228" s="2" t="s">
        <v>245</v>
      </c>
      <c r="E1228" s="3">
        <v>15000</v>
      </c>
      <c r="F1228" s="3">
        <v>15000</v>
      </c>
      <c r="G1228" s="2" t="s">
        <v>11</v>
      </c>
      <c r="H1228" s="2" t="s">
        <v>1727</v>
      </c>
      <c r="I1228" s="2" t="s">
        <v>201</v>
      </c>
    </row>
    <row r="1229" spans="1:9" ht="16" x14ac:dyDescent="0.8">
      <c r="A1229" s="2" t="s">
        <v>1757</v>
      </c>
      <c r="B1229" s="2" t="s">
        <v>421</v>
      </c>
      <c r="C1229" s="2" t="s">
        <v>243</v>
      </c>
      <c r="D1229" s="2" t="s">
        <v>243</v>
      </c>
      <c r="E1229" s="3">
        <v>34998</v>
      </c>
      <c r="F1229" s="3">
        <v>34998</v>
      </c>
      <c r="G1229" s="2" t="s">
        <v>11</v>
      </c>
      <c r="H1229" s="2" t="s">
        <v>1727</v>
      </c>
      <c r="I1229" s="2" t="s">
        <v>201</v>
      </c>
    </row>
    <row r="1230" spans="1:9" ht="16" x14ac:dyDescent="0.8">
      <c r="A1230" s="2" t="s">
        <v>1758</v>
      </c>
      <c r="B1230" s="2" t="s">
        <v>1759</v>
      </c>
      <c r="C1230" s="2" t="s">
        <v>1760</v>
      </c>
      <c r="D1230" s="2" t="s">
        <v>1760</v>
      </c>
      <c r="E1230" s="3">
        <v>19000</v>
      </c>
      <c r="F1230" s="3">
        <v>11280</v>
      </c>
      <c r="G1230" s="2" t="s">
        <v>196</v>
      </c>
      <c r="H1230" s="2" t="s">
        <v>1727</v>
      </c>
      <c r="I1230" s="2" t="s">
        <v>390</v>
      </c>
    </row>
    <row r="1231" spans="1:9" ht="16" x14ac:dyDescent="0.8">
      <c r="A1231" s="2" t="s">
        <v>1758</v>
      </c>
      <c r="B1231" s="2" t="s">
        <v>1761</v>
      </c>
      <c r="C1231" s="2" t="s">
        <v>854</v>
      </c>
      <c r="D1231" s="2" t="s">
        <v>854</v>
      </c>
      <c r="E1231" s="3">
        <v>53856</v>
      </c>
      <c r="F1231" s="3">
        <v>36888</v>
      </c>
      <c r="G1231" s="2" t="s">
        <v>196</v>
      </c>
      <c r="H1231" s="2" t="s">
        <v>1727</v>
      </c>
      <c r="I1231" s="2" t="s">
        <v>390</v>
      </c>
    </row>
    <row r="1232" spans="1:9" ht="16" x14ac:dyDescent="0.8">
      <c r="A1232" s="2" t="s">
        <v>1758</v>
      </c>
      <c r="B1232" s="2" t="s">
        <v>1762</v>
      </c>
      <c r="C1232" s="2" t="s">
        <v>856</v>
      </c>
      <c r="D1232" s="2" t="s">
        <v>856</v>
      </c>
      <c r="E1232" s="3">
        <v>59625</v>
      </c>
      <c r="F1232" s="3">
        <v>45280</v>
      </c>
      <c r="G1232" s="2" t="s">
        <v>196</v>
      </c>
      <c r="H1232" s="2" t="s">
        <v>1727</v>
      </c>
      <c r="I1232" s="2" t="s">
        <v>390</v>
      </c>
    </row>
    <row r="1233" spans="1:9" ht="16" x14ac:dyDescent="0.8">
      <c r="A1233" s="2" t="s">
        <v>1763</v>
      </c>
      <c r="B1233" s="2" t="s">
        <v>1764</v>
      </c>
      <c r="C1233" s="2" t="s">
        <v>1765</v>
      </c>
      <c r="D1233" s="2" t="s">
        <v>1765</v>
      </c>
      <c r="E1233" s="3">
        <v>50898</v>
      </c>
      <c r="F1233" s="3">
        <v>0</v>
      </c>
      <c r="G1233" s="2" t="s">
        <v>11</v>
      </c>
      <c r="H1233" s="2" t="s">
        <v>1729</v>
      </c>
      <c r="I1233" s="2" t="s">
        <v>1766</v>
      </c>
    </row>
    <row r="1234" spans="1:9" ht="16" x14ac:dyDescent="0.8">
      <c r="A1234" s="2" t="s">
        <v>1763</v>
      </c>
      <c r="B1234" s="2" t="s">
        <v>1767</v>
      </c>
      <c r="C1234" s="2" t="s">
        <v>1768</v>
      </c>
      <c r="D1234" s="2" t="s">
        <v>1768</v>
      </c>
      <c r="E1234" s="3">
        <v>78660</v>
      </c>
      <c r="F1234" s="3">
        <v>0</v>
      </c>
      <c r="G1234" s="2" t="s">
        <v>11</v>
      </c>
      <c r="H1234" s="2" t="s">
        <v>1729</v>
      </c>
      <c r="I1234" s="2" t="s">
        <v>1766</v>
      </c>
    </row>
    <row r="1235" spans="1:9" ht="16" x14ac:dyDescent="0.8">
      <c r="A1235" s="2" t="s">
        <v>1763</v>
      </c>
      <c r="B1235" s="2" t="s">
        <v>1769</v>
      </c>
      <c r="C1235" s="2" t="s">
        <v>1770</v>
      </c>
      <c r="D1235" s="2" t="s">
        <v>1770</v>
      </c>
      <c r="E1235" s="3">
        <v>76818</v>
      </c>
      <c r="F1235" s="3">
        <v>0</v>
      </c>
      <c r="G1235" s="2" t="s">
        <v>11</v>
      </c>
      <c r="H1235" s="2" t="s">
        <v>1729</v>
      </c>
      <c r="I1235" s="2" t="s">
        <v>1766</v>
      </c>
    </row>
    <row r="1236" spans="1:9" ht="16" x14ac:dyDescent="0.8">
      <c r="A1236" s="2" t="s">
        <v>1763</v>
      </c>
      <c r="B1236" s="2" t="s">
        <v>1771</v>
      </c>
      <c r="C1236" s="2" t="s">
        <v>1772</v>
      </c>
      <c r="D1236" s="2" t="s">
        <v>1772</v>
      </c>
      <c r="E1236" s="3">
        <v>101796</v>
      </c>
      <c r="F1236" s="3">
        <v>0</v>
      </c>
      <c r="G1236" s="2" t="s">
        <v>11</v>
      </c>
      <c r="H1236" s="2" t="s">
        <v>1729</v>
      </c>
      <c r="I1236" s="2" t="s">
        <v>1766</v>
      </c>
    </row>
    <row r="1237" spans="1:9" ht="16" x14ac:dyDescent="0.8">
      <c r="A1237" s="2" t="s">
        <v>1763</v>
      </c>
      <c r="B1237" s="2" t="s">
        <v>1773</v>
      </c>
      <c r="C1237" s="2" t="s">
        <v>1774</v>
      </c>
      <c r="D1237" s="2" t="s">
        <v>1774</v>
      </c>
      <c r="E1237" s="3">
        <v>60162</v>
      </c>
      <c r="F1237" s="3">
        <v>0</v>
      </c>
      <c r="G1237" s="2" t="s">
        <v>11</v>
      </c>
      <c r="H1237" s="2" t="s">
        <v>1729</v>
      </c>
      <c r="I1237" s="2" t="s">
        <v>1766</v>
      </c>
    </row>
    <row r="1238" spans="1:9" ht="16" x14ac:dyDescent="0.8">
      <c r="A1238" s="2" t="s">
        <v>1763</v>
      </c>
      <c r="B1238" s="2" t="s">
        <v>1775</v>
      </c>
      <c r="C1238" s="2" t="s">
        <v>1776</v>
      </c>
      <c r="D1238" s="2" t="s">
        <v>1776</v>
      </c>
      <c r="E1238" s="3">
        <v>46272</v>
      </c>
      <c r="F1238" s="3">
        <v>0</v>
      </c>
      <c r="G1238" s="2" t="s">
        <v>11</v>
      </c>
      <c r="H1238" s="2" t="s">
        <v>1729</v>
      </c>
      <c r="I1238" s="2" t="s">
        <v>1766</v>
      </c>
    </row>
    <row r="1239" spans="1:9" ht="16" x14ac:dyDescent="0.8">
      <c r="A1239" s="2" t="s">
        <v>1763</v>
      </c>
      <c r="B1239" s="2" t="s">
        <v>1777</v>
      </c>
      <c r="C1239" s="2" t="s">
        <v>1778</v>
      </c>
      <c r="D1239" s="2" t="s">
        <v>1778</v>
      </c>
      <c r="E1239" s="3">
        <v>55528</v>
      </c>
      <c r="F1239" s="3">
        <v>0</v>
      </c>
      <c r="G1239" s="2" t="s">
        <v>11</v>
      </c>
      <c r="H1239" s="2" t="s">
        <v>1729</v>
      </c>
      <c r="I1239" s="2" t="s">
        <v>1766</v>
      </c>
    </row>
    <row r="1240" spans="1:9" ht="16" x14ac:dyDescent="0.8">
      <c r="A1240" s="2" t="s">
        <v>1763</v>
      </c>
      <c r="B1240" s="2" t="s">
        <v>1779</v>
      </c>
      <c r="C1240" s="2" t="s">
        <v>1780</v>
      </c>
      <c r="D1240" s="2" t="s">
        <v>1780</v>
      </c>
      <c r="E1240" s="3">
        <v>120304</v>
      </c>
      <c r="F1240" s="3">
        <v>0</v>
      </c>
      <c r="G1240" s="2" t="s">
        <v>11</v>
      </c>
      <c r="H1240" s="2" t="s">
        <v>1729</v>
      </c>
      <c r="I1240" s="2" t="s">
        <v>1766</v>
      </c>
    </row>
    <row r="1241" spans="1:9" ht="16" x14ac:dyDescent="0.8">
      <c r="A1241" s="2" t="s">
        <v>1763</v>
      </c>
      <c r="B1241" s="2" t="s">
        <v>1781</v>
      </c>
      <c r="C1241" s="2" t="s">
        <v>1782</v>
      </c>
      <c r="D1241" s="2" t="s">
        <v>1782</v>
      </c>
      <c r="E1241" s="3">
        <v>98094</v>
      </c>
      <c r="F1241" s="3">
        <v>0</v>
      </c>
      <c r="G1241" s="2" t="s">
        <v>11</v>
      </c>
      <c r="H1241" s="2" t="s">
        <v>1729</v>
      </c>
      <c r="I1241" s="2" t="s">
        <v>1766</v>
      </c>
    </row>
    <row r="1242" spans="1:9" ht="16" x14ac:dyDescent="0.8">
      <c r="A1242" s="2" t="s">
        <v>1763</v>
      </c>
      <c r="B1242" s="2" t="s">
        <v>1783</v>
      </c>
      <c r="C1242" s="2" t="s">
        <v>1784</v>
      </c>
      <c r="D1242" s="2" t="s">
        <v>1784</v>
      </c>
      <c r="E1242" s="3">
        <v>53700</v>
      </c>
      <c r="F1242" s="3">
        <v>0</v>
      </c>
      <c r="G1242" s="2" t="s">
        <v>11</v>
      </c>
      <c r="H1242" s="2" t="s">
        <v>1729</v>
      </c>
      <c r="I1242" s="2" t="s">
        <v>1766</v>
      </c>
    </row>
    <row r="1243" spans="1:9" ht="16" x14ac:dyDescent="0.8">
      <c r="A1243" s="2" t="s">
        <v>1763</v>
      </c>
      <c r="B1243" s="2" t="s">
        <v>1785</v>
      </c>
      <c r="C1243" s="2" t="s">
        <v>1786</v>
      </c>
      <c r="D1243" s="2" t="s">
        <v>1786</v>
      </c>
      <c r="E1243" s="3">
        <v>129548</v>
      </c>
      <c r="F1243" s="3">
        <v>0</v>
      </c>
      <c r="G1243" s="2" t="s">
        <v>11</v>
      </c>
      <c r="H1243" s="2" t="s">
        <v>1729</v>
      </c>
      <c r="I1243" s="2" t="s">
        <v>1766</v>
      </c>
    </row>
    <row r="1244" spans="1:9" ht="16" x14ac:dyDescent="0.8">
      <c r="A1244" s="2" t="s">
        <v>1787</v>
      </c>
      <c r="B1244" s="2" t="s">
        <v>1764</v>
      </c>
      <c r="C1244" s="2" t="s">
        <v>1765</v>
      </c>
      <c r="D1244" s="2" t="s">
        <v>1765</v>
      </c>
      <c r="E1244" s="3">
        <v>76398</v>
      </c>
      <c r="F1244" s="3">
        <v>76398</v>
      </c>
      <c r="G1244" s="2" t="s">
        <v>11</v>
      </c>
      <c r="H1244" s="2" t="s">
        <v>1468</v>
      </c>
      <c r="I1244" s="2" t="s">
        <v>1788</v>
      </c>
    </row>
    <row r="1245" spans="1:9" ht="16" x14ac:dyDescent="0.8">
      <c r="A1245" s="2" t="s">
        <v>1787</v>
      </c>
      <c r="B1245" s="2" t="s">
        <v>1767</v>
      </c>
      <c r="C1245" s="2" t="s">
        <v>1768</v>
      </c>
      <c r="D1245" s="2" t="s">
        <v>1768</v>
      </c>
      <c r="E1245" s="3">
        <v>117912</v>
      </c>
      <c r="F1245" s="3">
        <v>117912</v>
      </c>
      <c r="G1245" s="2" t="s">
        <v>11</v>
      </c>
      <c r="H1245" s="2" t="s">
        <v>1468</v>
      </c>
      <c r="I1245" s="2" t="s">
        <v>1788</v>
      </c>
    </row>
    <row r="1246" spans="1:9" ht="16" x14ac:dyDescent="0.8">
      <c r="A1246" s="2" t="s">
        <v>1787</v>
      </c>
      <c r="B1246" s="2" t="s">
        <v>1769</v>
      </c>
      <c r="C1246" s="2" t="s">
        <v>1770</v>
      </c>
      <c r="D1246" s="2" t="s">
        <v>1770</v>
      </c>
      <c r="E1246" s="3">
        <v>114852</v>
      </c>
      <c r="F1246" s="3">
        <v>114852</v>
      </c>
      <c r="G1246" s="2" t="s">
        <v>11</v>
      </c>
      <c r="H1246" s="2" t="s">
        <v>1468</v>
      </c>
      <c r="I1246" s="2" t="s">
        <v>1788</v>
      </c>
    </row>
    <row r="1247" spans="1:9" ht="16" x14ac:dyDescent="0.8">
      <c r="A1247" s="2" t="s">
        <v>1787</v>
      </c>
      <c r="B1247" s="2" t="s">
        <v>1771</v>
      </c>
      <c r="C1247" s="2" t="s">
        <v>1772</v>
      </c>
      <c r="D1247" s="2" t="s">
        <v>1772</v>
      </c>
      <c r="E1247" s="3">
        <v>144000</v>
      </c>
      <c r="F1247" s="3">
        <v>144000</v>
      </c>
      <c r="G1247" s="2" t="s">
        <v>11</v>
      </c>
      <c r="H1247" s="2" t="s">
        <v>1468</v>
      </c>
      <c r="I1247" s="2" t="s">
        <v>1788</v>
      </c>
    </row>
    <row r="1248" spans="1:9" ht="16" x14ac:dyDescent="0.8">
      <c r="A1248" s="2" t="s">
        <v>1787</v>
      </c>
      <c r="B1248" s="2" t="s">
        <v>1773</v>
      </c>
      <c r="C1248" s="2" t="s">
        <v>1774</v>
      </c>
      <c r="D1248" s="2" t="s">
        <v>1774</v>
      </c>
      <c r="E1248" s="3">
        <v>104220</v>
      </c>
      <c r="F1248" s="3">
        <v>104220</v>
      </c>
      <c r="G1248" s="2" t="s">
        <v>11</v>
      </c>
      <c r="H1248" s="2" t="s">
        <v>1468</v>
      </c>
      <c r="I1248" s="2" t="s">
        <v>1788</v>
      </c>
    </row>
    <row r="1249" spans="1:9" ht="16" x14ac:dyDescent="0.8">
      <c r="A1249" s="2" t="s">
        <v>1787</v>
      </c>
      <c r="B1249" s="2" t="s">
        <v>1777</v>
      </c>
      <c r="C1249" s="2" t="s">
        <v>1778</v>
      </c>
      <c r="D1249" s="2" t="s">
        <v>1778</v>
      </c>
      <c r="E1249" s="3">
        <v>83160</v>
      </c>
      <c r="F1249" s="3">
        <v>83160</v>
      </c>
      <c r="G1249" s="2" t="s">
        <v>11</v>
      </c>
      <c r="H1249" s="2" t="s">
        <v>1468</v>
      </c>
      <c r="I1249" s="2" t="s">
        <v>1788</v>
      </c>
    </row>
    <row r="1250" spans="1:9" ht="16" x14ac:dyDescent="0.8">
      <c r="A1250" s="2" t="s">
        <v>1787</v>
      </c>
      <c r="B1250" s="2" t="s">
        <v>1779</v>
      </c>
      <c r="C1250" s="2" t="s">
        <v>1780</v>
      </c>
      <c r="D1250" s="2" t="s">
        <v>1780</v>
      </c>
      <c r="E1250" s="3">
        <v>180432</v>
      </c>
      <c r="F1250" s="3">
        <v>180432</v>
      </c>
      <c r="G1250" s="2" t="s">
        <v>11</v>
      </c>
      <c r="H1250" s="2" t="s">
        <v>1468</v>
      </c>
      <c r="I1250" s="2" t="s">
        <v>1788</v>
      </c>
    </row>
    <row r="1251" spans="1:9" ht="16" x14ac:dyDescent="0.8">
      <c r="A1251" s="2" t="s">
        <v>1787</v>
      </c>
      <c r="B1251" s="2" t="s">
        <v>1781</v>
      </c>
      <c r="C1251" s="2" t="s">
        <v>1782</v>
      </c>
      <c r="D1251" s="2" t="s">
        <v>1782</v>
      </c>
      <c r="E1251" s="3">
        <v>148656</v>
      </c>
      <c r="F1251" s="3">
        <v>148656</v>
      </c>
      <c r="G1251" s="2" t="s">
        <v>11</v>
      </c>
      <c r="H1251" s="2" t="s">
        <v>1468</v>
      </c>
      <c r="I1251" s="2" t="s">
        <v>1788</v>
      </c>
    </row>
    <row r="1252" spans="1:9" ht="16" x14ac:dyDescent="0.8">
      <c r="A1252" s="2" t="s">
        <v>1787</v>
      </c>
      <c r="B1252" s="2" t="s">
        <v>1785</v>
      </c>
      <c r="C1252" s="2" t="s">
        <v>1786</v>
      </c>
      <c r="D1252" s="2" t="s">
        <v>1786</v>
      </c>
      <c r="E1252" s="3">
        <v>187200</v>
      </c>
      <c r="F1252" s="3">
        <v>187200</v>
      </c>
      <c r="G1252" s="2" t="s">
        <v>11</v>
      </c>
      <c r="H1252" s="2" t="s">
        <v>1468</v>
      </c>
      <c r="I1252" s="2" t="s">
        <v>1788</v>
      </c>
    </row>
    <row r="1253" spans="1:9" ht="16" x14ac:dyDescent="0.8">
      <c r="A1253" s="2" t="s">
        <v>1789</v>
      </c>
      <c r="B1253" s="2" t="s">
        <v>1783</v>
      </c>
      <c r="C1253" s="2" t="s">
        <v>1784</v>
      </c>
      <c r="D1253" s="2" t="s">
        <v>1784</v>
      </c>
      <c r="E1253" s="3">
        <v>83880</v>
      </c>
      <c r="F1253" s="3">
        <v>83736</v>
      </c>
      <c r="G1253" s="2" t="s">
        <v>11</v>
      </c>
      <c r="H1253" s="2" t="s">
        <v>1468</v>
      </c>
      <c r="I1253" s="2" t="s">
        <v>1790</v>
      </c>
    </row>
    <row r="1254" spans="1:9" ht="16" x14ac:dyDescent="0.8">
      <c r="A1254" s="2" t="s">
        <v>1791</v>
      </c>
      <c r="B1254" s="2" t="s">
        <v>1792</v>
      </c>
      <c r="C1254" s="2" t="s">
        <v>1793</v>
      </c>
      <c r="D1254" s="2" t="s">
        <v>1793</v>
      </c>
      <c r="E1254" s="3">
        <v>387</v>
      </c>
      <c r="F1254" s="3">
        <v>385</v>
      </c>
      <c r="G1254" s="2" t="s">
        <v>196</v>
      </c>
      <c r="H1254" s="2" t="s">
        <v>1468</v>
      </c>
      <c r="I1254" s="2" t="s">
        <v>1274</v>
      </c>
    </row>
    <row r="1255" spans="1:9" ht="16" x14ac:dyDescent="0.8">
      <c r="A1255" s="2" t="s">
        <v>1791</v>
      </c>
      <c r="B1255" s="2" t="s">
        <v>1794</v>
      </c>
      <c r="C1255" s="2" t="s">
        <v>1795</v>
      </c>
      <c r="D1255" s="2" t="s">
        <v>1795</v>
      </c>
      <c r="E1255" s="3">
        <v>302</v>
      </c>
      <c r="F1255" s="3">
        <v>302</v>
      </c>
      <c r="G1255" s="2" t="s">
        <v>196</v>
      </c>
      <c r="H1255" s="2" t="s">
        <v>1468</v>
      </c>
      <c r="I1255" s="2" t="s">
        <v>1274</v>
      </c>
    </row>
    <row r="1256" spans="1:9" ht="16" x14ac:dyDescent="0.8">
      <c r="A1256" s="2" t="s">
        <v>1791</v>
      </c>
      <c r="B1256" s="2" t="s">
        <v>1796</v>
      </c>
      <c r="C1256" s="2" t="s">
        <v>1797</v>
      </c>
      <c r="D1256" s="2" t="s">
        <v>1797</v>
      </c>
      <c r="E1256" s="3">
        <v>618</v>
      </c>
      <c r="F1256" s="3">
        <v>618</v>
      </c>
      <c r="G1256" s="2" t="s">
        <v>196</v>
      </c>
      <c r="H1256" s="2" t="s">
        <v>1468</v>
      </c>
      <c r="I1256" s="2" t="s">
        <v>1274</v>
      </c>
    </row>
    <row r="1257" spans="1:9" ht="16" x14ac:dyDescent="0.8">
      <c r="A1257" s="2" t="s">
        <v>1791</v>
      </c>
      <c r="B1257" s="2" t="s">
        <v>1798</v>
      </c>
      <c r="C1257" s="2" t="s">
        <v>1799</v>
      </c>
      <c r="D1257" s="2" t="s">
        <v>1799</v>
      </c>
      <c r="E1257" s="3">
        <v>81</v>
      </c>
      <c r="F1257" s="3">
        <v>81</v>
      </c>
      <c r="G1257" s="2" t="s">
        <v>196</v>
      </c>
      <c r="H1257" s="2" t="s">
        <v>1468</v>
      </c>
      <c r="I1257" s="2" t="s">
        <v>1274</v>
      </c>
    </row>
    <row r="1258" spans="1:9" ht="16" x14ac:dyDescent="0.8">
      <c r="A1258" s="2" t="s">
        <v>1791</v>
      </c>
      <c r="B1258" s="2" t="s">
        <v>1800</v>
      </c>
      <c r="C1258" s="2" t="s">
        <v>1801</v>
      </c>
      <c r="D1258" s="2" t="s">
        <v>1801</v>
      </c>
      <c r="E1258" s="3">
        <v>67</v>
      </c>
      <c r="F1258" s="3">
        <v>67</v>
      </c>
      <c r="G1258" s="2" t="s">
        <v>196</v>
      </c>
      <c r="H1258" s="2" t="s">
        <v>1468</v>
      </c>
      <c r="I1258" s="2" t="s">
        <v>1274</v>
      </c>
    </row>
    <row r="1259" spans="1:9" ht="16" x14ac:dyDescent="0.8">
      <c r="A1259" s="2" t="s">
        <v>1791</v>
      </c>
      <c r="B1259" s="2" t="s">
        <v>1802</v>
      </c>
      <c r="C1259" s="2" t="s">
        <v>1803</v>
      </c>
      <c r="D1259" s="2" t="s">
        <v>1803</v>
      </c>
      <c r="E1259" s="3">
        <v>158</v>
      </c>
      <c r="F1259" s="3">
        <v>158</v>
      </c>
      <c r="G1259" s="2" t="s">
        <v>196</v>
      </c>
      <c r="H1259" s="2" t="s">
        <v>1468</v>
      </c>
      <c r="I1259" s="2" t="s">
        <v>1274</v>
      </c>
    </row>
    <row r="1260" spans="1:9" ht="16" x14ac:dyDescent="0.8">
      <c r="A1260" s="2" t="s">
        <v>1791</v>
      </c>
      <c r="B1260" s="2" t="s">
        <v>1804</v>
      </c>
      <c r="C1260" s="2" t="s">
        <v>1805</v>
      </c>
      <c r="D1260" s="2" t="s">
        <v>1805</v>
      </c>
      <c r="E1260" s="3">
        <v>202</v>
      </c>
      <c r="F1260" s="3">
        <v>202</v>
      </c>
      <c r="G1260" s="2" t="s">
        <v>196</v>
      </c>
      <c r="H1260" s="2" t="s">
        <v>1468</v>
      </c>
      <c r="I1260" s="2" t="s">
        <v>1274</v>
      </c>
    </row>
    <row r="1261" spans="1:9" ht="16" x14ac:dyDescent="0.8">
      <c r="A1261" s="2" t="s">
        <v>1791</v>
      </c>
      <c r="B1261" s="2" t="s">
        <v>1806</v>
      </c>
      <c r="C1261" s="2" t="s">
        <v>1807</v>
      </c>
      <c r="D1261" s="2" t="s">
        <v>1807</v>
      </c>
      <c r="E1261" s="3">
        <v>1661</v>
      </c>
      <c r="F1261" s="3">
        <v>1661</v>
      </c>
      <c r="G1261" s="2" t="s">
        <v>196</v>
      </c>
      <c r="H1261" s="2" t="s">
        <v>1468</v>
      </c>
      <c r="I1261" s="2" t="s">
        <v>1274</v>
      </c>
    </row>
    <row r="1262" spans="1:9" ht="16" x14ac:dyDescent="0.8">
      <c r="A1262" s="2" t="s">
        <v>1791</v>
      </c>
      <c r="B1262" s="2" t="s">
        <v>1808</v>
      </c>
      <c r="C1262" s="2" t="s">
        <v>1809</v>
      </c>
      <c r="D1262" s="2" t="s">
        <v>1809</v>
      </c>
      <c r="E1262" s="3">
        <v>382</v>
      </c>
      <c r="F1262" s="3">
        <v>382</v>
      </c>
      <c r="G1262" s="2" t="s">
        <v>196</v>
      </c>
      <c r="H1262" s="2" t="s">
        <v>1468</v>
      </c>
      <c r="I1262" s="2" t="s">
        <v>1274</v>
      </c>
    </row>
    <row r="1263" spans="1:9" ht="16" x14ac:dyDescent="0.8">
      <c r="A1263" s="2" t="s">
        <v>1791</v>
      </c>
      <c r="B1263" s="2" t="s">
        <v>1810</v>
      </c>
      <c r="C1263" s="2" t="s">
        <v>1811</v>
      </c>
      <c r="D1263" s="2" t="s">
        <v>1811</v>
      </c>
      <c r="E1263" s="3">
        <v>28</v>
      </c>
      <c r="F1263" s="3">
        <v>28</v>
      </c>
      <c r="G1263" s="2" t="s">
        <v>196</v>
      </c>
      <c r="H1263" s="2" t="s">
        <v>1468</v>
      </c>
      <c r="I1263" s="2" t="s">
        <v>1274</v>
      </c>
    </row>
    <row r="1264" spans="1:9" ht="16" x14ac:dyDescent="0.8">
      <c r="A1264" s="2" t="s">
        <v>1791</v>
      </c>
      <c r="B1264" s="2" t="s">
        <v>1812</v>
      </c>
      <c r="C1264" s="2" t="s">
        <v>1813</v>
      </c>
      <c r="D1264" s="2" t="s">
        <v>1813</v>
      </c>
      <c r="E1264" s="3">
        <v>242</v>
      </c>
      <c r="F1264" s="3">
        <v>242</v>
      </c>
      <c r="G1264" s="2" t="s">
        <v>196</v>
      </c>
      <c r="H1264" s="2" t="s">
        <v>1468</v>
      </c>
      <c r="I1264" s="2" t="s">
        <v>1274</v>
      </c>
    </row>
    <row r="1265" spans="1:9" ht="16" x14ac:dyDescent="0.8">
      <c r="A1265" s="2" t="s">
        <v>1791</v>
      </c>
      <c r="B1265" s="2" t="s">
        <v>1814</v>
      </c>
      <c r="C1265" s="2" t="s">
        <v>1815</v>
      </c>
      <c r="D1265" s="2" t="s">
        <v>1815</v>
      </c>
      <c r="E1265" s="3">
        <v>112</v>
      </c>
      <c r="F1265" s="3">
        <v>112</v>
      </c>
      <c r="G1265" s="2" t="s">
        <v>196</v>
      </c>
      <c r="H1265" s="2" t="s">
        <v>1468</v>
      </c>
      <c r="I1265" s="2" t="s">
        <v>1274</v>
      </c>
    </row>
    <row r="1266" spans="1:9" ht="16" x14ac:dyDescent="0.8">
      <c r="A1266" s="2" t="s">
        <v>1791</v>
      </c>
      <c r="B1266" s="2" t="s">
        <v>1816</v>
      </c>
      <c r="C1266" s="2" t="s">
        <v>1817</v>
      </c>
      <c r="D1266" s="2" t="s">
        <v>1817</v>
      </c>
      <c r="E1266" s="3">
        <v>119</v>
      </c>
      <c r="F1266" s="3">
        <v>119</v>
      </c>
      <c r="G1266" s="2" t="s">
        <v>196</v>
      </c>
      <c r="H1266" s="2" t="s">
        <v>1468</v>
      </c>
      <c r="I1266" s="2" t="s">
        <v>1274</v>
      </c>
    </row>
    <row r="1267" spans="1:9" ht="16" x14ac:dyDescent="0.8">
      <c r="A1267" s="2" t="s">
        <v>1791</v>
      </c>
      <c r="B1267" s="2" t="s">
        <v>1818</v>
      </c>
      <c r="C1267" s="2" t="s">
        <v>1819</v>
      </c>
      <c r="D1267" s="2" t="s">
        <v>1819</v>
      </c>
      <c r="E1267" s="3">
        <v>144</v>
      </c>
      <c r="F1267" s="3">
        <v>144</v>
      </c>
      <c r="G1267" s="2" t="s">
        <v>196</v>
      </c>
      <c r="H1267" s="2" t="s">
        <v>1468</v>
      </c>
      <c r="I1267" s="2" t="s">
        <v>1274</v>
      </c>
    </row>
    <row r="1268" spans="1:9" ht="16" x14ac:dyDescent="0.8">
      <c r="A1268" s="2" t="s">
        <v>1791</v>
      </c>
      <c r="B1268" s="2" t="s">
        <v>1820</v>
      </c>
      <c r="C1268" s="2" t="s">
        <v>1821</v>
      </c>
      <c r="D1268" s="2" t="s">
        <v>1821</v>
      </c>
      <c r="E1268" s="3">
        <v>331</v>
      </c>
      <c r="F1268" s="3">
        <v>331</v>
      </c>
      <c r="G1268" s="2" t="s">
        <v>196</v>
      </c>
      <c r="H1268" s="2" t="s">
        <v>1468</v>
      </c>
      <c r="I1268" s="2" t="s">
        <v>1274</v>
      </c>
    </row>
    <row r="1269" spans="1:9" ht="16" x14ac:dyDescent="0.8">
      <c r="A1269" s="2" t="s">
        <v>1791</v>
      </c>
      <c r="B1269" s="2" t="s">
        <v>1822</v>
      </c>
      <c r="C1269" s="2" t="s">
        <v>1823</v>
      </c>
      <c r="D1269" s="2" t="s">
        <v>1823</v>
      </c>
      <c r="E1269" s="3">
        <v>112</v>
      </c>
      <c r="F1269" s="3">
        <v>112</v>
      </c>
      <c r="G1269" s="2" t="s">
        <v>196</v>
      </c>
      <c r="H1269" s="2" t="s">
        <v>1468</v>
      </c>
      <c r="I1269" s="2" t="s">
        <v>1274</v>
      </c>
    </row>
    <row r="1270" spans="1:9" ht="16" x14ac:dyDescent="0.8">
      <c r="A1270" s="2" t="s">
        <v>1791</v>
      </c>
      <c r="B1270" s="2" t="s">
        <v>1824</v>
      </c>
      <c r="C1270" s="2" t="s">
        <v>1825</v>
      </c>
      <c r="D1270" s="2" t="s">
        <v>1825</v>
      </c>
      <c r="E1270" s="3">
        <v>264</v>
      </c>
      <c r="F1270" s="3">
        <v>264</v>
      </c>
      <c r="G1270" s="2" t="s">
        <v>196</v>
      </c>
      <c r="H1270" s="2" t="s">
        <v>1468</v>
      </c>
      <c r="I1270" s="2" t="s">
        <v>1274</v>
      </c>
    </row>
    <row r="1271" spans="1:9" ht="16" x14ac:dyDescent="0.8">
      <c r="A1271" s="2" t="s">
        <v>1791</v>
      </c>
      <c r="B1271" s="2" t="s">
        <v>1826</v>
      </c>
      <c r="C1271" s="2" t="s">
        <v>1827</v>
      </c>
      <c r="D1271" s="2" t="s">
        <v>1827</v>
      </c>
      <c r="E1271" s="3">
        <v>445</v>
      </c>
      <c r="F1271" s="3">
        <v>441</v>
      </c>
      <c r="G1271" s="2" t="s">
        <v>196</v>
      </c>
      <c r="H1271" s="2" t="s">
        <v>1468</v>
      </c>
      <c r="I1271" s="2" t="s">
        <v>1274</v>
      </c>
    </row>
    <row r="1272" spans="1:9" ht="16" x14ac:dyDescent="0.8">
      <c r="A1272" s="2" t="s">
        <v>1828</v>
      </c>
      <c r="B1272" s="2" t="s">
        <v>421</v>
      </c>
      <c r="C1272" s="2" t="s">
        <v>243</v>
      </c>
      <c r="D1272" s="2" t="s">
        <v>243</v>
      </c>
      <c r="E1272" s="3">
        <v>91998</v>
      </c>
      <c r="F1272" s="3">
        <v>91998</v>
      </c>
      <c r="G1272" s="2" t="s">
        <v>196</v>
      </c>
      <c r="H1272" s="2" t="s">
        <v>1468</v>
      </c>
      <c r="I1272" s="2" t="s">
        <v>201</v>
      </c>
    </row>
    <row r="1273" spans="1:9" ht="16" x14ac:dyDescent="0.8">
      <c r="A1273" s="2" t="s">
        <v>1829</v>
      </c>
      <c r="B1273" s="2" t="s">
        <v>639</v>
      </c>
      <c r="C1273" s="2" t="s">
        <v>206</v>
      </c>
      <c r="D1273" s="2" t="s">
        <v>206</v>
      </c>
      <c r="E1273" s="3">
        <v>1904</v>
      </c>
      <c r="F1273" s="3">
        <v>1904</v>
      </c>
      <c r="G1273" s="2" t="s">
        <v>11</v>
      </c>
      <c r="H1273" s="2" t="s">
        <v>1730</v>
      </c>
      <c r="I1273" s="2" t="s">
        <v>641</v>
      </c>
    </row>
    <row r="1274" spans="1:9" ht="16" x14ac:dyDescent="0.8">
      <c r="A1274" s="2" t="s">
        <v>1829</v>
      </c>
      <c r="B1274" s="2" t="s">
        <v>642</v>
      </c>
      <c r="C1274" s="2" t="s">
        <v>643</v>
      </c>
      <c r="D1274" s="2" t="s">
        <v>643</v>
      </c>
      <c r="E1274" s="3">
        <v>6456</v>
      </c>
      <c r="F1274" s="3">
        <v>6456</v>
      </c>
      <c r="G1274" s="2" t="s">
        <v>11</v>
      </c>
      <c r="H1274" s="2" t="s">
        <v>1730</v>
      </c>
      <c r="I1274" s="2" t="s">
        <v>641</v>
      </c>
    </row>
    <row r="1275" spans="1:9" ht="16" x14ac:dyDescent="0.8">
      <c r="A1275" s="2" t="s">
        <v>1829</v>
      </c>
      <c r="B1275" s="2" t="s">
        <v>644</v>
      </c>
      <c r="C1275" s="2" t="s">
        <v>645</v>
      </c>
      <c r="D1275" s="2" t="s">
        <v>645</v>
      </c>
      <c r="E1275" s="3">
        <v>2388</v>
      </c>
      <c r="F1275" s="3">
        <v>2388</v>
      </c>
      <c r="G1275" s="2" t="s">
        <v>11</v>
      </c>
      <c r="H1275" s="2" t="s">
        <v>1730</v>
      </c>
      <c r="I1275" s="2" t="s">
        <v>641</v>
      </c>
    </row>
    <row r="1276" spans="1:9" ht="16" x14ac:dyDescent="0.8">
      <c r="A1276" s="2" t="s">
        <v>1829</v>
      </c>
      <c r="B1276" s="2" t="s">
        <v>646</v>
      </c>
      <c r="C1276" s="2" t="s">
        <v>647</v>
      </c>
      <c r="D1276" s="2" t="s">
        <v>647</v>
      </c>
      <c r="E1276" s="3">
        <v>5980</v>
      </c>
      <c r="F1276" s="3">
        <v>5980</v>
      </c>
      <c r="G1276" s="2" t="s">
        <v>11</v>
      </c>
      <c r="H1276" s="2" t="s">
        <v>1730</v>
      </c>
      <c r="I1276" s="2" t="s">
        <v>641</v>
      </c>
    </row>
    <row r="1277" spans="1:9" ht="16" x14ac:dyDescent="0.8">
      <c r="A1277" s="2" t="s">
        <v>1829</v>
      </c>
      <c r="B1277" s="2" t="s">
        <v>648</v>
      </c>
      <c r="C1277" s="2" t="s">
        <v>649</v>
      </c>
      <c r="D1277" s="2" t="s">
        <v>649</v>
      </c>
      <c r="E1277" s="3">
        <v>3108</v>
      </c>
      <c r="F1277" s="3">
        <v>3108</v>
      </c>
      <c r="G1277" s="2" t="s">
        <v>11</v>
      </c>
      <c r="H1277" s="2" t="s">
        <v>1730</v>
      </c>
      <c r="I1277" s="2" t="s">
        <v>641</v>
      </c>
    </row>
    <row r="1278" spans="1:9" ht="16" x14ac:dyDescent="0.8">
      <c r="A1278" s="2" t="s">
        <v>1829</v>
      </c>
      <c r="B1278" s="2" t="s">
        <v>650</v>
      </c>
      <c r="C1278" s="2" t="s">
        <v>651</v>
      </c>
      <c r="D1278" s="2" t="s">
        <v>651</v>
      </c>
      <c r="E1278" s="3">
        <v>4064</v>
      </c>
      <c r="F1278" s="3">
        <v>4064</v>
      </c>
      <c r="G1278" s="2" t="s">
        <v>11</v>
      </c>
      <c r="H1278" s="2" t="s">
        <v>1730</v>
      </c>
      <c r="I1278" s="2" t="s">
        <v>641</v>
      </c>
    </row>
    <row r="1279" spans="1:9" ht="16" x14ac:dyDescent="0.8">
      <c r="A1279" s="2" t="s">
        <v>1830</v>
      </c>
      <c r="B1279" s="2" t="s">
        <v>417</v>
      </c>
      <c r="C1279" s="2" t="s">
        <v>245</v>
      </c>
      <c r="D1279" s="2" t="s">
        <v>245</v>
      </c>
      <c r="E1279" s="3">
        <v>70002</v>
      </c>
      <c r="F1279" s="3">
        <v>70002</v>
      </c>
      <c r="G1279" s="2" t="s">
        <v>11</v>
      </c>
      <c r="H1279" s="2" t="s">
        <v>1730</v>
      </c>
      <c r="I1279" s="2" t="s">
        <v>201</v>
      </c>
    </row>
    <row r="1280" spans="1:9" ht="16" x14ac:dyDescent="0.8">
      <c r="A1280" s="2" t="s">
        <v>1831</v>
      </c>
      <c r="B1280" s="2" t="s">
        <v>417</v>
      </c>
      <c r="C1280" s="2" t="s">
        <v>245</v>
      </c>
      <c r="D1280" s="2" t="s">
        <v>245</v>
      </c>
      <c r="E1280" s="3">
        <v>22002</v>
      </c>
      <c r="F1280" s="3">
        <v>22002</v>
      </c>
      <c r="G1280" s="2" t="s">
        <v>11</v>
      </c>
      <c r="H1280" s="2" t="s">
        <v>1730</v>
      </c>
      <c r="I1280" s="2" t="s">
        <v>201</v>
      </c>
    </row>
    <row r="1281" spans="1:9" ht="16" x14ac:dyDescent="0.8">
      <c r="A1281" s="2" t="s">
        <v>1831</v>
      </c>
      <c r="B1281" s="2" t="s">
        <v>421</v>
      </c>
      <c r="C1281" s="2" t="s">
        <v>243</v>
      </c>
      <c r="D1281" s="2" t="s">
        <v>243</v>
      </c>
      <c r="E1281" s="3">
        <v>78000</v>
      </c>
      <c r="F1281" s="3">
        <v>78000</v>
      </c>
      <c r="G1281" s="2" t="s">
        <v>11</v>
      </c>
      <c r="H1281" s="2" t="s">
        <v>1730</v>
      </c>
      <c r="I1281" s="2" t="s">
        <v>201</v>
      </c>
    </row>
    <row r="1282" spans="1:9" ht="16" x14ac:dyDescent="0.8">
      <c r="A1282" s="2" t="s">
        <v>1833</v>
      </c>
      <c r="B1282" s="2" t="s">
        <v>849</v>
      </c>
      <c r="C1282" s="2" t="s">
        <v>850</v>
      </c>
      <c r="D1282" s="2" t="s">
        <v>850</v>
      </c>
      <c r="E1282" s="3">
        <v>13568</v>
      </c>
      <c r="F1282" s="3">
        <v>13568</v>
      </c>
      <c r="G1282" s="2" t="s">
        <v>11</v>
      </c>
      <c r="H1282" s="2" t="s">
        <v>1834</v>
      </c>
      <c r="I1282" s="2" t="s">
        <v>390</v>
      </c>
    </row>
    <row r="1283" spans="1:9" ht="16" x14ac:dyDescent="0.8">
      <c r="A1283" s="2" t="s">
        <v>1833</v>
      </c>
      <c r="B1283" s="2" t="s">
        <v>851</v>
      </c>
      <c r="C1283" s="2" t="s">
        <v>852</v>
      </c>
      <c r="D1283" s="2" t="s">
        <v>852</v>
      </c>
      <c r="E1283" s="3">
        <v>98808</v>
      </c>
      <c r="F1283" s="3">
        <v>98808</v>
      </c>
      <c r="G1283" s="2" t="s">
        <v>11</v>
      </c>
      <c r="H1283" s="2" t="s">
        <v>1834</v>
      </c>
      <c r="I1283" s="2" t="s">
        <v>390</v>
      </c>
    </row>
    <row r="1284" spans="1:9" ht="16" x14ac:dyDescent="0.8">
      <c r="A1284" s="2" t="s">
        <v>1835</v>
      </c>
      <c r="B1284" s="2" t="s">
        <v>1026</v>
      </c>
      <c r="C1284" s="2" t="s">
        <v>1027</v>
      </c>
      <c r="D1284" s="2" t="s">
        <v>1027</v>
      </c>
      <c r="E1284" s="3">
        <v>3000</v>
      </c>
      <c r="F1284" s="3">
        <v>3000</v>
      </c>
      <c r="G1284" s="2" t="s">
        <v>11</v>
      </c>
      <c r="H1284" s="2" t="s">
        <v>1836</v>
      </c>
      <c r="I1284" s="2" t="s">
        <v>1353</v>
      </c>
    </row>
    <row r="1285" spans="1:9" ht="16" x14ac:dyDescent="0.8">
      <c r="A1285" s="2" t="s">
        <v>1837</v>
      </c>
      <c r="B1285" s="2" t="s">
        <v>1026</v>
      </c>
      <c r="C1285" s="2" t="s">
        <v>1027</v>
      </c>
      <c r="D1285" s="2" t="s">
        <v>1027</v>
      </c>
      <c r="E1285" s="3">
        <v>7500</v>
      </c>
      <c r="F1285" s="3">
        <v>7500</v>
      </c>
      <c r="G1285" s="2" t="s">
        <v>11</v>
      </c>
      <c r="H1285" s="2" t="s">
        <v>1836</v>
      </c>
      <c r="I1285" s="2" t="s">
        <v>1353</v>
      </c>
    </row>
    <row r="1286" spans="1:9" ht="16" x14ac:dyDescent="0.8">
      <c r="A1286" s="2" t="s">
        <v>1838</v>
      </c>
      <c r="B1286" s="2" t="s">
        <v>1026</v>
      </c>
      <c r="C1286" s="2" t="s">
        <v>1027</v>
      </c>
      <c r="D1286" s="2" t="s">
        <v>1027</v>
      </c>
      <c r="E1286" s="3">
        <v>1500</v>
      </c>
      <c r="F1286" s="3">
        <v>1500</v>
      </c>
      <c r="G1286" s="2" t="s">
        <v>11</v>
      </c>
      <c r="H1286" s="2" t="s">
        <v>1836</v>
      </c>
      <c r="I1286" s="2" t="s">
        <v>1353</v>
      </c>
    </row>
    <row r="1287" spans="1:9" ht="16" x14ac:dyDescent="0.8">
      <c r="A1287" s="2" t="s">
        <v>1839</v>
      </c>
      <c r="B1287" s="2" t="s">
        <v>1026</v>
      </c>
      <c r="C1287" s="2" t="s">
        <v>1027</v>
      </c>
      <c r="D1287" s="2" t="s">
        <v>1027</v>
      </c>
      <c r="E1287" s="3">
        <v>8000</v>
      </c>
      <c r="F1287" s="3">
        <v>8000</v>
      </c>
      <c r="G1287" s="2" t="s">
        <v>11</v>
      </c>
      <c r="H1287" s="2" t="s">
        <v>1836</v>
      </c>
      <c r="I1287" s="2" t="s">
        <v>1353</v>
      </c>
    </row>
    <row r="1288" spans="1:9" ht="16" x14ac:dyDescent="0.8">
      <c r="A1288" s="2" t="s">
        <v>1840</v>
      </c>
      <c r="B1288" s="2" t="s">
        <v>1107</v>
      </c>
      <c r="C1288" s="2" t="s">
        <v>1108</v>
      </c>
      <c r="D1288" s="2" t="s">
        <v>1108</v>
      </c>
      <c r="E1288" s="3">
        <v>10056</v>
      </c>
      <c r="F1288" s="3">
        <v>10056</v>
      </c>
      <c r="G1288" s="2" t="s">
        <v>11</v>
      </c>
      <c r="H1288" s="2" t="s">
        <v>1841</v>
      </c>
      <c r="I1288" s="2" t="s">
        <v>201</v>
      </c>
    </row>
    <row r="1289" spans="1:9" ht="16" x14ac:dyDescent="0.8">
      <c r="A1289" s="2" t="s">
        <v>1840</v>
      </c>
      <c r="B1289" s="2" t="s">
        <v>1842</v>
      </c>
      <c r="C1289" s="2" t="s">
        <v>1843</v>
      </c>
      <c r="D1289" s="2" t="s">
        <v>1843</v>
      </c>
      <c r="E1289" s="3">
        <v>21924</v>
      </c>
      <c r="F1289" s="3">
        <v>21924</v>
      </c>
      <c r="G1289" s="2" t="s">
        <v>11</v>
      </c>
      <c r="H1289" s="2" t="s">
        <v>1841</v>
      </c>
      <c r="I1289" s="2" t="s">
        <v>201</v>
      </c>
    </row>
    <row r="1290" spans="1:9" ht="16" x14ac:dyDescent="0.8">
      <c r="A1290" s="2" t="s">
        <v>1840</v>
      </c>
      <c r="B1290" s="2" t="s">
        <v>1143</v>
      </c>
      <c r="C1290" s="2" t="s">
        <v>199</v>
      </c>
      <c r="D1290" s="2" t="s">
        <v>199</v>
      </c>
      <c r="E1290" s="3">
        <v>15276</v>
      </c>
      <c r="F1290" s="3">
        <v>15276</v>
      </c>
      <c r="G1290" s="2" t="s">
        <v>11</v>
      </c>
      <c r="H1290" s="2" t="s">
        <v>1841</v>
      </c>
      <c r="I1290" s="2" t="s">
        <v>201</v>
      </c>
    </row>
    <row r="1291" spans="1:9" ht="16" x14ac:dyDescent="0.8">
      <c r="A1291" s="2" t="s">
        <v>1844</v>
      </c>
      <c r="B1291" s="2" t="s">
        <v>1176</v>
      </c>
      <c r="C1291" s="2" t="s">
        <v>1177</v>
      </c>
      <c r="D1291" s="2" t="s">
        <v>1177</v>
      </c>
      <c r="E1291" s="3">
        <v>13896</v>
      </c>
      <c r="F1291" s="3">
        <v>13896</v>
      </c>
      <c r="G1291" s="2" t="s">
        <v>11</v>
      </c>
      <c r="H1291" s="2" t="s">
        <v>1841</v>
      </c>
      <c r="I1291" s="2" t="s">
        <v>297</v>
      </c>
    </row>
    <row r="1292" spans="1:9" ht="16" x14ac:dyDescent="0.8">
      <c r="A1292" s="2" t="s">
        <v>1845</v>
      </c>
      <c r="B1292" s="2" t="s">
        <v>1846</v>
      </c>
      <c r="C1292" s="2" t="s">
        <v>1847</v>
      </c>
      <c r="D1292" s="2" t="s">
        <v>1847</v>
      </c>
      <c r="E1292" s="3">
        <v>2</v>
      </c>
      <c r="F1292" s="3">
        <v>0</v>
      </c>
      <c r="G1292" s="2" t="s">
        <v>11</v>
      </c>
      <c r="H1292" s="2" t="s">
        <v>1841</v>
      </c>
      <c r="I1292" s="2" t="s">
        <v>47</v>
      </c>
    </row>
    <row r="1293" spans="1:9" ht="16" x14ac:dyDescent="0.8">
      <c r="A1293" s="2" t="s">
        <v>1848</v>
      </c>
      <c r="B1293" s="2" t="s">
        <v>1079</v>
      </c>
      <c r="C1293" s="2" t="s">
        <v>1080</v>
      </c>
      <c r="D1293" s="2" t="s">
        <v>1080</v>
      </c>
      <c r="E1293" s="3">
        <v>5</v>
      </c>
      <c r="F1293" s="3">
        <v>5</v>
      </c>
      <c r="G1293" s="2" t="s">
        <v>11</v>
      </c>
      <c r="H1293" s="2" t="s">
        <v>1841</v>
      </c>
      <c r="I1293" s="2" t="s">
        <v>53</v>
      </c>
    </row>
    <row r="1294" spans="1:9" ht="16" x14ac:dyDescent="0.8">
      <c r="A1294" s="2" t="s">
        <v>1848</v>
      </c>
      <c r="B1294" s="2" t="s">
        <v>1849</v>
      </c>
      <c r="C1294" s="2" t="s">
        <v>1850</v>
      </c>
      <c r="D1294" s="2" t="s">
        <v>1850</v>
      </c>
      <c r="E1294" s="3">
        <v>1</v>
      </c>
      <c r="F1294" s="3">
        <v>1</v>
      </c>
      <c r="G1294" s="2" t="s">
        <v>11</v>
      </c>
      <c r="H1294" s="2" t="s">
        <v>1841</v>
      </c>
      <c r="I1294" s="2" t="s">
        <v>53</v>
      </c>
    </row>
    <row r="1295" spans="1:9" ht="16" x14ac:dyDescent="0.8">
      <c r="A1295" s="2" t="s">
        <v>1848</v>
      </c>
      <c r="B1295" s="2" t="s">
        <v>56</v>
      </c>
      <c r="C1295" s="2" t="s">
        <v>57</v>
      </c>
      <c r="D1295" s="2" t="s">
        <v>57</v>
      </c>
      <c r="E1295" s="3">
        <v>3</v>
      </c>
      <c r="F1295" s="3">
        <v>3</v>
      </c>
      <c r="G1295" s="2" t="s">
        <v>11</v>
      </c>
      <c r="H1295" s="2" t="s">
        <v>1841</v>
      </c>
      <c r="I1295" s="2" t="s">
        <v>53</v>
      </c>
    </row>
    <row r="1296" spans="1:9" ht="16" x14ac:dyDescent="0.8">
      <c r="A1296" s="2" t="s">
        <v>1848</v>
      </c>
      <c r="B1296" s="2" t="s">
        <v>881</v>
      </c>
      <c r="C1296" s="2" t="s">
        <v>882</v>
      </c>
      <c r="D1296" s="2" t="s">
        <v>882</v>
      </c>
      <c r="E1296" s="3">
        <v>2</v>
      </c>
      <c r="F1296" s="3">
        <v>2</v>
      </c>
      <c r="G1296" s="2" t="s">
        <v>11</v>
      </c>
      <c r="H1296" s="2" t="s">
        <v>1841</v>
      </c>
      <c r="I1296" s="2" t="s">
        <v>53</v>
      </c>
    </row>
    <row r="1297" spans="1:9" ht="16" x14ac:dyDescent="0.8">
      <c r="A1297" s="2" t="s">
        <v>1848</v>
      </c>
      <c r="B1297" s="2" t="s">
        <v>54</v>
      </c>
      <c r="C1297" s="2" t="s">
        <v>55</v>
      </c>
      <c r="D1297" s="2" t="s">
        <v>55</v>
      </c>
      <c r="E1297" s="3">
        <v>1</v>
      </c>
      <c r="F1297" s="3">
        <v>1</v>
      </c>
      <c r="G1297" s="2" t="s">
        <v>11</v>
      </c>
      <c r="H1297" s="2" t="s">
        <v>1841</v>
      </c>
      <c r="I1297" s="2" t="s">
        <v>53</v>
      </c>
    </row>
    <row r="1298" spans="1:9" ht="16" x14ac:dyDescent="0.8">
      <c r="A1298" s="2" t="s">
        <v>1851</v>
      </c>
      <c r="B1298" s="2" t="s">
        <v>1310</v>
      </c>
      <c r="C1298" s="2" t="s">
        <v>1311</v>
      </c>
      <c r="D1298" s="2" t="s">
        <v>1311</v>
      </c>
      <c r="E1298" s="3">
        <v>4</v>
      </c>
      <c r="F1298" s="3">
        <v>4</v>
      </c>
      <c r="G1298" s="2" t="s">
        <v>11</v>
      </c>
      <c r="H1298" s="2" t="s">
        <v>1841</v>
      </c>
      <c r="I1298" s="2" t="s">
        <v>63</v>
      </c>
    </row>
    <row r="1299" spans="1:9" ht="16" x14ac:dyDescent="0.8">
      <c r="A1299" s="2" t="s">
        <v>1851</v>
      </c>
      <c r="B1299" s="2" t="s">
        <v>1852</v>
      </c>
      <c r="C1299" s="2" t="s">
        <v>1853</v>
      </c>
      <c r="D1299" s="2" t="s">
        <v>1853</v>
      </c>
      <c r="E1299" s="3">
        <v>1</v>
      </c>
      <c r="F1299" s="3">
        <v>1</v>
      </c>
      <c r="G1299" s="2" t="s">
        <v>11</v>
      </c>
      <c r="H1299" s="2" t="s">
        <v>1841</v>
      </c>
      <c r="I1299" s="2" t="s">
        <v>63</v>
      </c>
    </row>
    <row r="1300" spans="1:9" ht="16" x14ac:dyDescent="0.8">
      <c r="A1300" s="2" t="s">
        <v>1851</v>
      </c>
      <c r="B1300" s="2" t="s">
        <v>665</v>
      </c>
      <c r="C1300" s="2" t="s">
        <v>666</v>
      </c>
      <c r="D1300" s="2" t="s">
        <v>666</v>
      </c>
      <c r="E1300" s="3">
        <v>7</v>
      </c>
      <c r="F1300" s="3">
        <v>7</v>
      </c>
      <c r="G1300" s="2" t="s">
        <v>11</v>
      </c>
      <c r="H1300" s="2" t="s">
        <v>1841</v>
      </c>
      <c r="I1300" s="2" t="s">
        <v>63</v>
      </c>
    </row>
    <row r="1301" spans="1:9" ht="16" x14ac:dyDescent="0.8">
      <c r="A1301" s="2" t="s">
        <v>1851</v>
      </c>
      <c r="B1301" s="2" t="s">
        <v>61</v>
      </c>
      <c r="C1301" s="2" t="s">
        <v>62</v>
      </c>
      <c r="D1301" s="2" t="s">
        <v>62</v>
      </c>
      <c r="E1301" s="3">
        <v>1</v>
      </c>
      <c r="F1301" s="3">
        <v>1</v>
      </c>
      <c r="G1301" s="2" t="s">
        <v>11</v>
      </c>
      <c r="H1301" s="2" t="s">
        <v>1841</v>
      </c>
      <c r="I1301" s="2" t="s">
        <v>63</v>
      </c>
    </row>
    <row r="1302" spans="1:9" ht="16" x14ac:dyDescent="0.8">
      <c r="A1302" s="2" t="s">
        <v>1854</v>
      </c>
      <c r="B1302" s="2" t="s">
        <v>1855</v>
      </c>
      <c r="C1302" s="2" t="s">
        <v>1856</v>
      </c>
      <c r="D1302" s="2" t="s">
        <v>1856</v>
      </c>
      <c r="E1302" s="3">
        <v>99984</v>
      </c>
      <c r="F1302" s="3">
        <v>99984</v>
      </c>
      <c r="G1302" s="2" t="s">
        <v>11</v>
      </c>
      <c r="H1302" s="2" t="s">
        <v>1857</v>
      </c>
      <c r="I1302" s="2" t="s">
        <v>1858</v>
      </c>
    </row>
    <row r="1303" spans="1:9" ht="16" x14ac:dyDescent="0.8">
      <c r="A1303" s="2" t="s">
        <v>1859</v>
      </c>
      <c r="B1303" s="2" t="s">
        <v>1855</v>
      </c>
      <c r="C1303" s="2" t="s">
        <v>1856</v>
      </c>
      <c r="D1303" s="2" t="s">
        <v>1856</v>
      </c>
      <c r="E1303" s="3">
        <v>99984</v>
      </c>
      <c r="F1303" s="3">
        <v>0</v>
      </c>
      <c r="G1303" s="2" t="s">
        <v>11</v>
      </c>
      <c r="H1303" s="2" t="s">
        <v>1857</v>
      </c>
      <c r="I1303" s="2" t="s">
        <v>1858</v>
      </c>
    </row>
    <row r="1304" spans="1:9" ht="16" x14ac:dyDescent="0.8">
      <c r="A1304" s="2" t="s">
        <v>1860</v>
      </c>
      <c r="B1304" s="2" t="s">
        <v>1855</v>
      </c>
      <c r="C1304" s="2" t="s">
        <v>1856</v>
      </c>
      <c r="D1304" s="2" t="s">
        <v>1856</v>
      </c>
      <c r="E1304" s="3">
        <v>99984</v>
      </c>
      <c r="F1304" s="3">
        <v>0</v>
      </c>
      <c r="G1304" s="2" t="s">
        <v>11</v>
      </c>
      <c r="H1304" s="2" t="s">
        <v>1857</v>
      </c>
      <c r="I1304" s="2" t="s">
        <v>1858</v>
      </c>
    </row>
    <row r="1305" spans="1:9" ht="16" x14ac:dyDescent="0.8">
      <c r="A1305" s="2" t="s">
        <v>1861</v>
      </c>
      <c r="B1305" s="2" t="s">
        <v>1855</v>
      </c>
      <c r="C1305" s="2" t="s">
        <v>1856</v>
      </c>
      <c r="D1305" s="2" t="s">
        <v>1856</v>
      </c>
      <c r="E1305" s="3">
        <v>70008</v>
      </c>
      <c r="F1305" s="3">
        <v>70008</v>
      </c>
      <c r="G1305" s="2" t="s">
        <v>11</v>
      </c>
      <c r="H1305" s="2" t="s">
        <v>1857</v>
      </c>
      <c r="I1305" s="2" t="s">
        <v>1858</v>
      </c>
    </row>
    <row r="1306" spans="1:9" ht="16" x14ac:dyDescent="0.8">
      <c r="A1306" s="2" t="s">
        <v>1862</v>
      </c>
      <c r="B1306" s="2" t="s">
        <v>1855</v>
      </c>
      <c r="C1306" s="2" t="s">
        <v>1856</v>
      </c>
      <c r="D1306" s="2" t="s">
        <v>1856</v>
      </c>
      <c r="E1306" s="3">
        <v>70008</v>
      </c>
      <c r="F1306" s="3">
        <v>70008</v>
      </c>
      <c r="G1306" s="2" t="s">
        <v>11</v>
      </c>
      <c r="H1306" s="2" t="s">
        <v>1857</v>
      </c>
      <c r="I1306" s="2" t="s">
        <v>1858</v>
      </c>
    </row>
    <row r="1307" spans="1:9" ht="16" x14ac:dyDescent="0.8">
      <c r="A1307" s="2" t="s">
        <v>1863</v>
      </c>
      <c r="B1307" s="2" t="s">
        <v>1429</v>
      </c>
      <c r="C1307" s="2" t="s">
        <v>1430</v>
      </c>
      <c r="D1307" s="2" t="s">
        <v>1430</v>
      </c>
      <c r="E1307" s="3">
        <v>6159</v>
      </c>
      <c r="F1307" s="3">
        <v>3244</v>
      </c>
      <c r="G1307" s="2" t="s">
        <v>11</v>
      </c>
      <c r="H1307" s="2" t="s">
        <v>1857</v>
      </c>
      <c r="I1307" s="2" t="s">
        <v>1469</v>
      </c>
    </row>
    <row r="1308" spans="1:9" ht="16" x14ac:dyDescent="0.8">
      <c r="A1308" s="2" t="s">
        <v>1864</v>
      </c>
      <c r="B1308" s="2" t="s">
        <v>198</v>
      </c>
      <c r="C1308" s="2" t="s">
        <v>199</v>
      </c>
      <c r="D1308" s="2" t="s">
        <v>199</v>
      </c>
      <c r="E1308" s="3">
        <v>41202</v>
      </c>
      <c r="F1308" s="3">
        <v>41202</v>
      </c>
      <c r="G1308" s="2" t="s">
        <v>11</v>
      </c>
      <c r="H1308" s="2" t="s">
        <v>1865</v>
      </c>
      <c r="I1308" s="2" t="s">
        <v>201</v>
      </c>
    </row>
    <row r="1309" spans="1:9" ht="16" x14ac:dyDescent="0.8">
      <c r="A1309" s="2" t="s">
        <v>1864</v>
      </c>
      <c r="B1309" s="2" t="s">
        <v>202</v>
      </c>
      <c r="C1309" s="2" t="s">
        <v>203</v>
      </c>
      <c r="D1309" s="2" t="s">
        <v>203</v>
      </c>
      <c r="E1309" s="3">
        <v>16200</v>
      </c>
      <c r="F1309" s="3">
        <v>16200</v>
      </c>
      <c r="G1309" s="2" t="s">
        <v>11</v>
      </c>
      <c r="H1309" s="2" t="s">
        <v>1865</v>
      </c>
      <c r="I1309" s="2" t="s">
        <v>201</v>
      </c>
    </row>
    <row r="1310" spans="1:9" ht="16" x14ac:dyDescent="0.8">
      <c r="A1310" s="2" t="s">
        <v>1866</v>
      </c>
      <c r="B1310" s="2" t="s">
        <v>507</v>
      </c>
      <c r="C1310" s="2" t="s">
        <v>508</v>
      </c>
      <c r="D1310" s="2" t="s">
        <v>508</v>
      </c>
      <c r="E1310" s="3">
        <v>4050</v>
      </c>
      <c r="F1310" s="3">
        <v>4050</v>
      </c>
      <c r="G1310" s="2" t="s">
        <v>11</v>
      </c>
      <c r="H1310" s="2" t="s">
        <v>1867</v>
      </c>
      <c r="I1310" s="2" t="s">
        <v>509</v>
      </c>
    </row>
    <row r="1311" spans="1:9" ht="16" x14ac:dyDescent="0.8">
      <c r="A1311" s="2" t="s">
        <v>1868</v>
      </c>
      <c r="B1311" s="2" t="s">
        <v>1869</v>
      </c>
      <c r="C1311" s="2" t="s">
        <v>1870</v>
      </c>
      <c r="D1311" s="2" t="s">
        <v>1870</v>
      </c>
      <c r="E1311" s="3">
        <v>28000</v>
      </c>
      <c r="F1311" s="3">
        <v>28000</v>
      </c>
      <c r="G1311" s="2" t="s">
        <v>11</v>
      </c>
      <c r="H1311" s="2" t="s">
        <v>1871</v>
      </c>
      <c r="I1311" s="2" t="s">
        <v>1872</v>
      </c>
    </row>
    <row r="1312" spans="1:9" ht="16" x14ac:dyDescent="0.8">
      <c r="A1312" s="2" t="s">
        <v>1873</v>
      </c>
      <c r="B1312" s="2" t="s">
        <v>1874</v>
      </c>
      <c r="C1312" s="2" t="s">
        <v>1875</v>
      </c>
      <c r="D1312" s="2" t="s">
        <v>1875</v>
      </c>
      <c r="E1312" s="3">
        <v>30000</v>
      </c>
      <c r="F1312" s="3">
        <v>30000</v>
      </c>
      <c r="G1312" s="2" t="s">
        <v>11</v>
      </c>
      <c r="H1312" s="2" t="s">
        <v>1871</v>
      </c>
      <c r="I1312" s="2" t="s">
        <v>1876</v>
      </c>
    </row>
    <row r="1313" spans="1:9" ht="16" x14ac:dyDescent="0.8">
      <c r="A1313" s="2" t="s">
        <v>1877</v>
      </c>
      <c r="B1313" s="2" t="s">
        <v>1878</v>
      </c>
      <c r="C1313" s="2" t="s">
        <v>1879</v>
      </c>
      <c r="D1313" s="2" t="s">
        <v>1879</v>
      </c>
      <c r="E1313" s="3">
        <v>550310</v>
      </c>
      <c r="F1313" s="3">
        <v>0</v>
      </c>
      <c r="G1313" s="2" t="s">
        <v>196</v>
      </c>
      <c r="H1313" s="2" t="s">
        <v>1871</v>
      </c>
      <c r="I1313" s="2" t="s">
        <v>762</v>
      </c>
    </row>
    <row r="1314" spans="1:9" ht="16" x14ac:dyDescent="0.8">
      <c r="A1314" s="2" t="s">
        <v>1880</v>
      </c>
      <c r="B1314" s="2" t="s">
        <v>1362</v>
      </c>
      <c r="C1314" s="2" t="s">
        <v>1362</v>
      </c>
      <c r="D1314" s="2" t="s">
        <v>1362</v>
      </c>
      <c r="E1314" s="3">
        <v>1200</v>
      </c>
      <c r="F1314" s="3">
        <v>2400</v>
      </c>
      <c r="G1314" s="2" t="s">
        <v>196</v>
      </c>
      <c r="H1314" s="2" t="s">
        <v>1871</v>
      </c>
      <c r="I1314" s="2" t="s">
        <v>238</v>
      </c>
    </row>
    <row r="1315" spans="1:9" ht="16" x14ac:dyDescent="0.8">
      <c r="A1315" s="2" t="s">
        <v>1880</v>
      </c>
      <c r="B1315" s="2" t="s">
        <v>1363</v>
      </c>
      <c r="C1315" s="2" t="s">
        <v>1363</v>
      </c>
      <c r="D1315" s="2" t="s">
        <v>1363</v>
      </c>
      <c r="E1315" s="3">
        <v>1200</v>
      </c>
      <c r="F1315" s="3">
        <v>2400</v>
      </c>
      <c r="G1315" s="2" t="s">
        <v>196</v>
      </c>
      <c r="H1315" s="2" t="s">
        <v>1871</v>
      </c>
      <c r="I1315" s="2" t="s">
        <v>238</v>
      </c>
    </row>
    <row r="1316" spans="1:9" ht="16" x14ac:dyDescent="0.8">
      <c r="A1316" s="2" t="s">
        <v>1880</v>
      </c>
      <c r="B1316" s="2" t="s">
        <v>1364</v>
      </c>
      <c r="C1316" s="2" t="s">
        <v>1364</v>
      </c>
      <c r="D1316" s="2" t="s">
        <v>1364</v>
      </c>
      <c r="E1316" s="3">
        <v>2000</v>
      </c>
      <c r="F1316" s="3">
        <v>0</v>
      </c>
      <c r="G1316" s="2" t="s">
        <v>196</v>
      </c>
      <c r="H1316" s="2" t="s">
        <v>1871</v>
      </c>
      <c r="I1316" s="2" t="s">
        <v>238</v>
      </c>
    </row>
    <row r="1317" spans="1:9" ht="16" x14ac:dyDescent="0.8">
      <c r="A1317" s="2" t="s">
        <v>1880</v>
      </c>
      <c r="B1317" s="2" t="s">
        <v>1881</v>
      </c>
      <c r="C1317" s="2" t="s">
        <v>1881</v>
      </c>
      <c r="D1317" s="2" t="s">
        <v>1881</v>
      </c>
      <c r="E1317" s="3">
        <v>1000</v>
      </c>
      <c r="F1317" s="3">
        <v>1000</v>
      </c>
      <c r="G1317" s="2" t="s">
        <v>196</v>
      </c>
      <c r="H1317" s="2" t="s">
        <v>1871</v>
      </c>
      <c r="I1317" s="2" t="s">
        <v>238</v>
      </c>
    </row>
    <row r="1318" spans="1:9" ht="16" x14ac:dyDescent="0.8">
      <c r="A1318" s="2" t="s">
        <v>1880</v>
      </c>
      <c r="B1318" s="2" t="s">
        <v>1365</v>
      </c>
      <c r="C1318" s="2" t="s">
        <v>1365</v>
      </c>
      <c r="D1318" s="2" t="s">
        <v>1365</v>
      </c>
      <c r="E1318" s="3">
        <v>480</v>
      </c>
      <c r="F1318" s="3">
        <v>480</v>
      </c>
      <c r="G1318" s="2" t="s">
        <v>196</v>
      </c>
      <c r="H1318" s="2" t="s">
        <v>1871</v>
      </c>
      <c r="I1318" s="2" t="s">
        <v>238</v>
      </c>
    </row>
    <row r="1319" spans="1:9" ht="16" x14ac:dyDescent="0.8">
      <c r="A1319" s="2" t="s">
        <v>1880</v>
      </c>
      <c r="B1319" s="2" t="s">
        <v>1366</v>
      </c>
      <c r="C1319" s="2" t="s">
        <v>1366</v>
      </c>
      <c r="D1319" s="2" t="s">
        <v>1366</v>
      </c>
      <c r="E1319" s="3">
        <v>480</v>
      </c>
      <c r="F1319" s="3">
        <v>960</v>
      </c>
      <c r="G1319" s="2" t="s">
        <v>196</v>
      </c>
      <c r="H1319" s="2" t="s">
        <v>1871</v>
      </c>
      <c r="I1319" s="2" t="s">
        <v>238</v>
      </c>
    </row>
    <row r="1320" spans="1:9" ht="16" x14ac:dyDescent="0.8">
      <c r="A1320" s="2" t="s">
        <v>1880</v>
      </c>
      <c r="B1320" s="2" t="s">
        <v>1367</v>
      </c>
      <c r="C1320" s="2" t="s">
        <v>1367</v>
      </c>
      <c r="D1320" s="2" t="s">
        <v>1367</v>
      </c>
      <c r="E1320" s="3">
        <v>1000</v>
      </c>
      <c r="F1320" s="3">
        <v>1000</v>
      </c>
      <c r="G1320" s="2" t="s">
        <v>196</v>
      </c>
      <c r="H1320" s="2" t="s">
        <v>1871</v>
      </c>
      <c r="I1320" s="2" t="s">
        <v>238</v>
      </c>
    </row>
    <row r="1321" spans="1:9" ht="16" x14ac:dyDescent="0.8">
      <c r="A1321" s="2" t="s">
        <v>1880</v>
      </c>
      <c r="B1321" s="2" t="s">
        <v>1368</v>
      </c>
      <c r="C1321" s="2" t="s">
        <v>1368</v>
      </c>
      <c r="D1321" s="2" t="s">
        <v>1368</v>
      </c>
      <c r="E1321" s="3">
        <v>1000</v>
      </c>
      <c r="F1321" s="3">
        <v>1000</v>
      </c>
      <c r="G1321" s="2" t="s">
        <v>196</v>
      </c>
      <c r="H1321" s="2" t="s">
        <v>1871</v>
      </c>
      <c r="I1321" s="2" t="s">
        <v>238</v>
      </c>
    </row>
    <row r="1322" spans="1:9" ht="16" x14ac:dyDescent="0.8">
      <c r="A1322" s="2" t="s">
        <v>1880</v>
      </c>
      <c r="B1322" s="2" t="s">
        <v>1882</v>
      </c>
      <c r="C1322" s="2" t="s">
        <v>1882</v>
      </c>
      <c r="D1322" s="2" t="s">
        <v>1882</v>
      </c>
      <c r="E1322" s="3">
        <v>1000</v>
      </c>
      <c r="F1322" s="3">
        <v>2000</v>
      </c>
      <c r="G1322" s="2" t="s">
        <v>196</v>
      </c>
      <c r="H1322" s="2" t="s">
        <v>1871</v>
      </c>
      <c r="I1322" s="2" t="s">
        <v>238</v>
      </c>
    </row>
    <row r="1323" spans="1:9" ht="16" x14ac:dyDescent="0.8">
      <c r="A1323" s="2" t="s">
        <v>1884</v>
      </c>
      <c r="B1323" s="2" t="s">
        <v>1885</v>
      </c>
      <c r="C1323" s="2" t="s">
        <v>1886</v>
      </c>
      <c r="D1323" s="2" t="s">
        <v>1886</v>
      </c>
      <c r="E1323" s="3">
        <v>1</v>
      </c>
      <c r="F1323" s="3">
        <v>0</v>
      </c>
      <c r="G1323" s="2" t="s">
        <v>11</v>
      </c>
      <c r="H1323" s="2" t="s">
        <v>1294</v>
      </c>
      <c r="I1323" s="2" t="s">
        <v>238</v>
      </c>
    </row>
    <row r="1324" spans="1:9" ht="16" x14ac:dyDescent="0.8">
      <c r="A1324" s="2" t="s">
        <v>1880</v>
      </c>
      <c r="B1324" s="2" t="s">
        <v>1887</v>
      </c>
      <c r="C1324" s="2" t="s">
        <v>1887</v>
      </c>
      <c r="D1324" s="2" t="s">
        <v>1887</v>
      </c>
      <c r="E1324" s="3">
        <v>2000</v>
      </c>
      <c r="F1324" s="3">
        <v>2000</v>
      </c>
      <c r="G1324" s="2" t="s">
        <v>196</v>
      </c>
      <c r="H1324" s="2" t="s">
        <v>1871</v>
      </c>
      <c r="I1324" s="2" t="s">
        <v>238</v>
      </c>
    </row>
    <row r="1325" spans="1:9" ht="16" x14ac:dyDescent="0.8">
      <c r="A1325" s="2" t="s">
        <v>1880</v>
      </c>
      <c r="B1325" s="2" t="s">
        <v>1888</v>
      </c>
      <c r="C1325" s="2" t="s">
        <v>1888</v>
      </c>
      <c r="D1325" s="2" t="s">
        <v>1888</v>
      </c>
      <c r="E1325" s="3">
        <v>2000</v>
      </c>
      <c r="F1325" s="3">
        <v>2000</v>
      </c>
      <c r="G1325" s="2" t="s">
        <v>196</v>
      </c>
      <c r="H1325" s="2" t="s">
        <v>1871</v>
      </c>
      <c r="I1325" s="2" t="s">
        <v>238</v>
      </c>
    </row>
    <row r="1326" spans="1:9" ht="16" x14ac:dyDescent="0.8">
      <c r="A1326" s="2" t="s">
        <v>1889</v>
      </c>
      <c r="B1326" s="2" t="s">
        <v>1123</v>
      </c>
      <c r="C1326" s="2" t="s">
        <v>1124</v>
      </c>
      <c r="D1326" s="2" t="s">
        <v>1124</v>
      </c>
      <c r="E1326" s="3">
        <v>6384</v>
      </c>
      <c r="F1326" s="3">
        <v>6384</v>
      </c>
      <c r="G1326" s="2" t="s">
        <v>11</v>
      </c>
      <c r="H1326" s="2" t="s">
        <v>1883</v>
      </c>
      <c r="I1326" s="2" t="s">
        <v>1125</v>
      </c>
    </row>
    <row r="1327" spans="1:9" ht="16" x14ac:dyDescent="0.8">
      <c r="A1327" s="2" t="s">
        <v>1889</v>
      </c>
      <c r="B1327" s="2" t="s">
        <v>1126</v>
      </c>
      <c r="C1327" s="2" t="s">
        <v>1127</v>
      </c>
      <c r="D1327" s="2" t="s">
        <v>1127</v>
      </c>
      <c r="E1327" s="3">
        <v>7680</v>
      </c>
      <c r="F1327" s="3">
        <v>7680</v>
      </c>
      <c r="G1327" s="2" t="s">
        <v>11</v>
      </c>
      <c r="H1327" s="2" t="s">
        <v>1883</v>
      </c>
      <c r="I1327" s="2" t="s">
        <v>1125</v>
      </c>
    </row>
    <row r="1328" spans="1:9" ht="16" x14ac:dyDescent="0.8">
      <c r="A1328" s="2" t="s">
        <v>1890</v>
      </c>
      <c r="B1328" s="2" t="s">
        <v>1123</v>
      </c>
      <c r="C1328" s="2" t="s">
        <v>1124</v>
      </c>
      <c r="D1328" s="2" t="s">
        <v>1124</v>
      </c>
      <c r="E1328" s="3">
        <v>11760</v>
      </c>
      <c r="F1328" s="3">
        <v>11760</v>
      </c>
      <c r="G1328" s="2" t="s">
        <v>11</v>
      </c>
      <c r="H1328" s="2" t="s">
        <v>1883</v>
      </c>
      <c r="I1328" s="2" t="s">
        <v>1125</v>
      </c>
    </row>
    <row r="1329" spans="1:9" ht="16" x14ac:dyDescent="0.8">
      <c r="A1329" s="2" t="s">
        <v>1890</v>
      </c>
      <c r="B1329" s="2" t="s">
        <v>1126</v>
      </c>
      <c r="C1329" s="2" t="s">
        <v>1127</v>
      </c>
      <c r="D1329" s="2" t="s">
        <v>1127</v>
      </c>
      <c r="E1329" s="3">
        <v>11520</v>
      </c>
      <c r="F1329" s="3">
        <v>11520</v>
      </c>
      <c r="G1329" s="2" t="s">
        <v>11</v>
      </c>
      <c r="H1329" s="2" t="s">
        <v>1883</v>
      </c>
      <c r="I1329" s="2" t="s">
        <v>1125</v>
      </c>
    </row>
    <row r="1330" spans="1:9" ht="16" x14ac:dyDescent="0.8">
      <c r="A1330" s="2" t="s">
        <v>1891</v>
      </c>
      <c r="B1330" s="2" t="s">
        <v>1123</v>
      </c>
      <c r="C1330" s="2" t="s">
        <v>1124</v>
      </c>
      <c r="D1330" s="2" t="s">
        <v>1124</v>
      </c>
      <c r="E1330" s="3">
        <v>20160</v>
      </c>
      <c r="F1330" s="3">
        <v>20160</v>
      </c>
      <c r="G1330" s="2" t="s">
        <v>11</v>
      </c>
      <c r="H1330" s="2" t="s">
        <v>1883</v>
      </c>
      <c r="I1330" s="2" t="s">
        <v>1125</v>
      </c>
    </row>
    <row r="1331" spans="1:9" ht="16" x14ac:dyDescent="0.8">
      <c r="A1331" s="2" t="s">
        <v>1891</v>
      </c>
      <c r="B1331" s="2" t="s">
        <v>1126</v>
      </c>
      <c r="C1331" s="2" t="s">
        <v>1127</v>
      </c>
      <c r="D1331" s="2" t="s">
        <v>1127</v>
      </c>
      <c r="E1331" s="3">
        <v>26880</v>
      </c>
      <c r="F1331" s="3">
        <v>26880</v>
      </c>
      <c r="G1331" s="2" t="s">
        <v>11</v>
      </c>
      <c r="H1331" s="2" t="s">
        <v>1883</v>
      </c>
      <c r="I1331" s="2" t="s">
        <v>1125</v>
      </c>
    </row>
    <row r="1332" spans="1:9" ht="16" x14ac:dyDescent="0.8">
      <c r="A1332" s="2" t="s">
        <v>1892</v>
      </c>
      <c r="B1332" s="2" t="s">
        <v>1123</v>
      </c>
      <c r="C1332" s="2" t="s">
        <v>1124</v>
      </c>
      <c r="D1332" s="2" t="s">
        <v>1124</v>
      </c>
      <c r="E1332" s="3">
        <v>20160</v>
      </c>
      <c r="F1332" s="3">
        <v>20160</v>
      </c>
      <c r="G1332" s="2" t="s">
        <v>11</v>
      </c>
      <c r="H1332" s="2" t="s">
        <v>1883</v>
      </c>
      <c r="I1332" s="2" t="s">
        <v>1125</v>
      </c>
    </row>
    <row r="1333" spans="1:9" ht="16" x14ac:dyDescent="0.8">
      <c r="A1333" s="2" t="s">
        <v>1892</v>
      </c>
      <c r="B1333" s="2" t="s">
        <v>1126</v>
      </c>
      <c r="C1333" s="2" t="s">
        <v>1127</v>
      </c>
      <c r="D1333" s="2" t="s">
        <v>1127</v>
      </c>
      <c r="E1333" s="3">
        <v>26880</v>
      </c>
      <c r="F1333" s="3">
        <v>26880</v>
      </c>
      <c r="G1333" s="2" t="s">
        <v>11</v>
      </c>
      <c r="H1333" s="2" t="s">
        <v>1883</v>
      </c>
      <c r="I1333" s="2" t="s">
        <v>1125</v>
      </c>
    </row>
    <row r="1334" spans="1:9" ht="16" x14ac:dyDescent="0.8">
      <c r="A1334" s="2" t="s">
        <v>1893</v>
      </c>
      <c r="B1334" s="2" t="s">
        <v>1123</v>
      </c>
      <c r="C1334" s="2" t="s">
        <v>1124</v>
      </c>
      <c r="D1334" s="2" t="s">
        <v>1124</v>
      </c>
      <c r="E1334" s="3">
        <v>20160</v>
      </c>
      <c r="F1334" s="3">
        <v>20160</v>
      </c>
      <c r="G1334" s="2" t="s">
        <v>11</v>
      </c>
      <c r="H1334" s="2" t="s">
        <v>1883</v>
      </c>
      <c r="I1334" s="2" t="s">
        <v>1125</v>
      </c>
    </row>
    <row r="1335" spans="1:9" ht="16" x14ac:dyDescent="0.8">
      <c r="A1335" s="2" t="s">
        <v>1893</v>
      </c>
      <c r="B1335" s="2" t="s">
        <v>1126</v>
      </c>
      <c r="C1335" s="2" t="s">
        <v>1127</v>
      </c>
      <c r="D1335" s="2" t="s">
        <v>1127</v>
      </c>
      <c r="E1335" s="3">
        <v>26880</v>
      </c>
      <c r="F1335" s="3">
        <v>26880</v>
      </c>
      <c r="G1335" s="2" t="s">
        <v>11</v>
      </c>
      <c r="H1335" s="2" t="s">
        <v>1883</v>
      </c>
      <c r="I1335" s="2" t="s">
        <v>1125</v>
      </c>
    </row>
    <row r="1336" spans="1:9" ht="16" x14ac:dyDescent="0.8">
      <c r="A1336" s="2" t="s">
        <v>1894</v>
      </c>
      <c r="B1336" s="2" t="s">
        <v>1119</v>
      </c>
      <c r="C1336" s="2" t="s">
        <v>1120</v>
      </c>
      <c r="D1336" s="2" t="s">
        <v>1120</v>
      </c>
      <c r="E1336" s="3">
        <v>33120</v>
      </c>
      <c r="F1336" s="3">
        <v>33120</v>
      </c>
      <c r="G1336" s="2" t="s">
        <v>11</v>
      </c>
      <c r="H1336" s="2" t="s">
        <v>1883</v>
      </c>
      <c r="I1336" s="2" t="s">
        <v>1121</v>
      </c>
    </row>
    <row r="1337" spans="1:9" ht="16" x14ac:dyDescent="0.8">
      <c r="A1337" s="2" t="s">
        <v>1895</v>
      </c>
      <c r="B1337" s="2" t="s">
        <v>1119</v>
      </c>
      <c r="C1337" s="2" t="s">
        <v>1120</v>
      </c>
      <c r="D1337" s="2" t="s">
        <v>1120</v>
      </c>
      <c r="E1337" s="3">
        <v>33120</v>
      </c>
      <c r="F1337" s="3">
        <v>33120</v>
      </c>
      <c r="G1337" s="2" t="s">
        <v>11</v>
      </c>
      <c r="H1337" s="2" t="s">
        <v>1883</v>
      </c>
      <c r="I1337" s="2" t="s">
        <v>1121</v>
      </c>
    </row>
    <row r="1338" spans="1:9" ht="16" x14ac:dyDescent="0.8">
      <c r="A1338" s="2" t="s">
        <v>1896</v>
      </c>
      <c r="B1338" s="2" t="s">
        <v>1119</v>
      </c>
      <c r="C1338" s="2" t="s">
        <v>1120</v>
      </c>
      <c r="D1338" s="2" t="s">
        <v>1120</v>
      </c>
      <c r="E1338" s="3">
        <v>16560</v>
      </c>
      <c r="F1338" s="3">
        <v>16764</v>
      </c>
      <c r="G1338" s="2" t="s">
        <v>11</v>
      </c>
      <c r="H1338" s="2" t="s">
        <v>1883</v>
      </c>
      <c r="I1338" s="2" t="s">
        <v>1121</v>
      </c>
    </row>
    <row r="1339" spans="1:9" ht="16" x14ac:dyDescent="0.8">
      <c r="A1339" s="2" t="s">
        <v>1897</v>
      </c>
      <c r="B1339" s="2" t="s">
        <v>369</v>
      </c>
      <c r="C1339" s="2" t="s">
        <v>370</v>
      </c>
      <c r="D1339" s="2" t="s">
        <v>370</v>
      </c>
      <c r="E1339" s="3">
        <v>6528</v>
      </c>
      <c r="F1339" s="3">
        <v>6528</v>
      </c>
      <c r="G1339" s="2" t="s">
        <v>11</v>
      </c>
      <c r="H1339" s="2" t="s">
        <v>1883</v>
      </c>
      <c r="I1339" s="2" t="s">
        <v>201</v>
      </c>
    </row>
    <row r="1340" spans="1:9" ht="16" x14ac:dyDescent="0.8">
      <c r="A1340" s="2" t="s">
        <v>1897</v>
      </c>
      <c r="B1340" s="2" t="s">
        <v>1036</v>
      </c>
      <c r="C1340" s="2" t="s">
        <v>1037</v>
      </c>
      <c r="D1340" s="2" t="s">
        <v>1037</v>
      </c>
      <c r="E1340" s="3">
        <v>21174</v>
      </c>
      <c r="F1340" s="3">
        <v>21174</v>
      </c>
      <c r="G1340" s="2" t="s">
        <v>11</v>
      </c>
      <c r="H1340" s="2" t="s">
        <v>1883</v>
      </c>
      <c r="I1340" s="2" t="s">
        <v>201</v>
      </c>
    </row>
    <row r="1341" spans="1:9" ht="16" x14ac:dyDescent="0.8">
      <c r="A1341" s="2" t="s">
        <v>1897</v>
      </c>
      <c r="B1341" s="2" t="s">
        <v>371</v>
      </c>
      <c r="C1341" s="2" t="s">
        <v>372</v>
      </c>
      <c r="D1341" s="2" t="s">
        <v>372</v>
      </c>
      <c r="E1341" s="3">
        <v>3840</v>
      </c>
      <c r="F1341" s="3">
        <v>3840</v>
      </c>
      <c r="G1341" s="2" t="s">
        <v>11</v>
      </c>
      <c r="H1341" s="2" t="s">
        <v>1883</v>
      </c>
      <c r="I1341" s="2" t="s">
        <v>201</v>
      </c>
    </row>
    <row r="1342" spans="1:9" ht="16" x14ac:dyDescent="0.8">
      <c r="A1342" s="2" t="s">
        <v>1897</v>
      </c>
      <c r="B1342" s="2" t="s">
        <v>373</v>
      </c>
      <c r="C1342" s="2" t="s">
        <v>374</v>
      </c>
      <c r="D1342" s="2" t="s">
        <v>374</v>
      </c>
      <c r="E1342" s="3">
        <v>2532</v>
      </c>
      <c r="F1342" s="3">
        <v>2532</v>
      </c>
      <c r="G1342" s="2" t="s">
        <v>11</v>
      </c>
      <c r="H1342" s="2" t="s">
        <v>1883</v>
      </c>
      <c r="I1342" s="2" t="s">
        <v>201</v>
      </c>
    </row>
    <row r="1343" spans="1:9" ht="16" x14ac:dyDescent="0.8">
      <c r="A1343" s="2" t="s">
        <v>1898</v>
      </c>
      <c r="B1343" s="2" t="s">
        <v>1123</v>
      </c>
      <c r="C1343" s="2" t="s">
        <v>1124</v>
      </c>
      <c r="D1343" s="2" t="s">
        <v>1124</v>
      </c>
      <c r="E1343" s="3">
        <v>22512</v>
      </c>
      <c r="F1343" s="3">
        <v>22512</v>
      </c>
      <c r="G1343" s="2" t="s">
        <v>11</v>
      </c>
      <c r="H1343" s="2" t="s">
        <v>1899</v>
      </c>
      <c r="I1343" s="2" t="s">
        <v>1125</v>
      </c>
    </row>
    <row r="1344" spans="1:9" ht="16" x14ac:dyDescent="0.8">
      <c r="A1344" s="2" t="s">
        <v>1898</v>
      </c>
      <c r="B1344" s="2" t="s">
        <v>1126</v>
      </c>
      <c r="C1344" s="2" t="s">
        <v>1127</v>
      </c>
      <c r="D1344" s="2" t="s">
        <v>1127</v>
      </c>
      <c r="E1344" s="3">
        <v>19200</v>
      </c>
      <c r="F1344" s="3">
        <v>19200</v>
      </c>
      <c r="G1344" s="2" t="s">
        <v>11</v>
      </c>
      <c r="H1344" s="2" t="s">
        <v>1899</v>
      </c>
      <c r="I1344" s="2" t="s">
        <v>1125</v>
      </c>
    </row>
    <row r="1345" spans="1:9" ht="16" x14ac:dyDescent="0.8">
      <c r="A1345" s="2" t="s">
        <v>1900</v>
      </c>
      <c r="B1345" s="2" t="s">
        <v>1351</v>
      </c>
      <c r="C1345" s="2" t="s">
        <v>1352</v>
      </c>
      <c r="D1345" s="2" t="s">
        <v>1352</v>
      </c>
      <c r="E1345" s="3">
        <v>456</v>
      </c>
      <c r="F1345" s="3">
        <v>456</v>
      </c>
      <c r="G1345" s="2" t="s">
        <v>11</v>
      </c>
      <c r="H1345" s="2" t="s">
        <v>1832</v>
      </c>
      <c r="I1345" s="2" t="s">
        <v>1353</v>
      </c>
    </row>
    <row r="1346" spans="1:9" ht="16" x14ac:dyDescent="0.8">
      <c r="A1346" s="2" t="s">
        <v>1901</v>
      </c>
      <c r="B1346" s="2" t="s">
        <v>1093</v>
      </c>
      <c r="C1346" s="2" t="s">
        <v>1094</v>
      </c>
      <c r="D1346" s="2" t="s">
        <v>1094</v>
      </c>
      <c r="E1346" s="3">
        <v>22640</v>
      </c>
      <c r="F1346" s="3">
        <v>22640</v>
      </c>
      <c r="G1346" s="2" t="s">
        <v>11</v>
      </c>
      <c r="H1346" s="2" t="s">
        <v>1902</v>
      </c>
      <c r="I1346" s="2" t="s">
        <v>360</v>
      </c>
    </row>
    <row r="1347" spans="1:9" ht="16" x14ac:dyDescent="0.8">
      <c r="A1347" s="2" t="s">
        <v>1903</v>
      </c>
      <c r="B1347" s="2" t="s">
        <v>1904</v>
      </c>
      <c r="C1347" s="2" t="s">
        <v>1905</v>
      </c>
      <c r="D1347" s="2" t="s">
        <v>1905</v>
      </c>
      <c r="E1347" s="3">
        <v>3</v>
      </c>
      <c r="F1347" s="3">
        <v>3</v>
      </c>
      <c r="G1347" s="2" t="s">
        <v>11</v>
      </c>
      <c r="H1347" s="2" t="s">
        <v>1906</v>
      </c>
      <c r="I1347" s="2" t="s">
        <v>75</v>
      </c>
    </row>
    <row r="1348" spans="1:9" ht="16" x14ac:dyDescent="0.8">
      <c r="A1348" s="2" t="s">
        <v>1907</v>
      </c>
      <c r="B1348" s="2" t="s">
        <v>900</v>
      </c>
      <c r="C1348" s="2" t="s">
        <v>901</v>
      </c>
      <c r="D1348" s="2" t="s">
        <v>901</v>
      </c>
      <c r="E1348" s="3">
        <v>2</v>
      </c>
      <c r="F1348" s="3">
        <v>2</v>
      </c>
      <c r="G1348" s="2" t="s">
        <v>11</v>
      </c>
      <c r="H1348" s="2" t="s">
        <v>1906</v>
      </c>
      <c r="I1348" s="2" t="s">
        <v>87</v>
      </c>
    </row>
    <row r="1349" spans="1:9" ht="16" x14ac:dyDescent="0.8">
      <c r="A1349" s="2" t="s">
        <v>1907</v>
      </c>
      <c r="B1349" s="2" t="s">
        <v>100</v>
      </c>
      <c r="C1349" s="2" t="s">
        <v>101</v>
      </c>
      <c r="D1349" s="2" t="s">
        <v>101</v>
      </c>
      <c r="E1349" s="3">
        <v>1</v>
      </c>
      <c r="F1349" s="3">
        <v>1</v>
      </c>
      <c r="G1349" s="2" t="s">
        <v>11</v>
      </c>
      <c r="H1349" s="2" t="s">
        <v>1906</v>
      </c>
      <c r="I1349" s="2" t="s">
        <v>87</v>
      </c>
    </row>
    <row r="1350" spans="1:9" ht="16" x14ac:dyDescent="0.8">
      <c r="A1350" s="2" t="s">
        <v>1907</v>
      </c>
      <c r="B1350" s="2" t="s">
        <v>102</v>
      </c>
      <c r="C1350" s="2" t="s">
        <v>103</v>
      </c>
      <c r="D1350" s="2" t="s">
        <v>103</v>
      </c>
      <c r="E1350" s="3">
        <v>3</v>
      </c>
      <c r="F1350" s="3">
        <v>3</v>
      </c>
      <c r="G1350" s="2" t="s">
        <v>11</v>
      </c>
      <c r="H1350" s="2" t="s">
        <v>1906</v>
      </c>
      <c r="I1350" s="2" t="s">
        <v>87</v>
      </c>
    </row>
    <row r="1351" spans="1:9" ht="16" x14ac:dyDescent="0.8">
      <c r="A1351" s="2" t="s">
        <v>1907</v>
      </c>
      <c r="B1351" s="2" t="s">
        <v>94</v>
      </c>
      <c r="C1351" s="2" t="s">
        <v>95</v>
      </c>
      <c r="D1351" s="2" t="s">
        <v>95</v>
      </c>
      <c r="E1351" s="3">
        <v>1</v>
      </c>
      <c r="F1351" s="3">
        <v>1</v>
      </c>
      <c r="G1351" s="2" t="s">
        <v>11</v>
      </c>
      <c r="H1351" s="2" t="s">
        <v>1906</v>
      </c>
      <c r="I1351" s="2" t="s">
        <v>87</v>
      </c>
    </row>
    <row r="1352" spans="1:9" ht="16" x14ac:dyDescent="0.8">
      <c r="A1352" s="2" t="s">
        <v>1907</v>
      </c>
      <c r="B1352" s="2" t="s">
        <v>96</v>
      </c>
      <c r="C1352" s="2" t="s">
        <v>97</v>
      </c>
      <c r="D1352" s="2" t="s">
        <v>97</v>
      </c>
      <c r="E1352" s="3">
        <v>2</v>
      </c>
      <c r="F1352" s="3">
        <v>2</v>
      </c>
      <c r="G1352" s="2" t="s">
        <v>11</v>
      </c>
      <c r="H1352" s="2" t="s">
        <v>1906</v>
      </c>
      <c r="I1352" s="2" t="s">
        <v>87</v>
      </c>
    </row>
    <row r="1353" spans="1:9" ht="16" x14ac:dyDescent="0.8">
      <c r="A1353" s="2" t="s">
        <v>1907</v>
      </c>
      <c r="B1353" s="2" t="s">
        <v>1908</v>
      </c>
      <c r="C1353" s="2" t="s">
        <v>1909</v>
      </c>
      <c r="D1353" s="2" t="s">
        <v>1909</v>
      </c>
      <c r="E1353" s="3">
        <v>2</v>
      </c>
      <c r="F1353" s="3">
        <v>2</v>
      </c>
      <c r="G1353" s="2" t="s">
        <v>11</v>
      </c>
      <c r="H1353" s="2" t="s">
        <v>1906</v>
      </c>
      <c r="I1353" s="2" t="s">
        <v>87</v>
      </c>
    </row>
    <row r="1354" spans="1:9" ht="16" x14ac:dyDescent="0.8">
      <c r="A1354" s="2" t="s">
        <v>1907</v>
      </c>
      <c r="B1354" s="2" t="s">
        <v>908</v>
      </c>
      <c r="C1354" s="2" t="s">
        <v>909</v>
      </c>
      <c r="D1354" s="2" t="s">
        <v>909</v>
      </c>
      <c r="E1354" s="3">
        <v>2</v>
      </c>
      <c r="F1354" s="3">
        <v>2</v>
      </c>
      <c r="G1354" s="2" t="s">
        <v>11</v>
      </c>
      <c r="H1354" s="2" t="s">
        <v>1906</v>
      </c>
      <c r="I1354" s="2" t="s">
        <v>87</v>
      </c>
    </row>
    <row r="1355" spans="1:9" ht="16" x14ac:dyDescent="0.8">
      <c r="A1355" s="2" t="s">
        <v>1907</v>
      </c>
      <c r="B1355" s="2" t="s">
        <v>88</v>
      </c>
      <c r="C1355" s="2" t="s">
        <v>89</v>
      </c>
      <c r="D1355" s="2" t="s">
        <v>89</v>
      </c>
      <c r="E1355" s="3">
        <v>3</v>
      </c>
      <c r="F1355" s="3">
        <v>3</v>
      </c>
      <c r="G1355" s="2" t="s">
        <v>11</v>
      </c>
      <c r="H1355" s="2" t="s">
        <v>1906</v>
      </c>
      <c r="I1355" s="2" t="s">
        <v>87</v>
      </c>
    </row>
    <row r="1356" spans="1:9" ht="16" x14ac:dyDescent="0.8">
      <c r="A1356" s="2" t="s">
        <v>1907</v>
      </c>
      <c r="B1356" s="2" t="s">
        <v>92</v>
      </c>
      <c r="C1356" s="2" t="s">
        <v>93</v>
      </c>
      <c r="D1356" s="2" t="s">
        <v>93</v>
      </c>
      <c r="E1356" s="3">
        <v>2</v>
      </c>
      <c r="F1356" s="3">
        <v>2</v>
      </c>
      <c r="G1356" s="2" t="s">
        <v>11</v>
      </c>
      <c r="H1356" s="2" t="s">
        <v>1906</v>
      </c>
      <c r="I1356" s="2" t="s">
        <v>87</v>
      </c>
    </row>
    <row r="1357" spans="1:9" ht="16" x14ac:dyDescent="0.8">
      <c r="A1357" s="2" t="s">
        <v>1910</v>
      </c>
      <c r="B1357" s="2" t="s">
        <v>916</v>
      </c>
      <c r="C1357" s="2" t="s">
        <v>917</v>
      </c>
      <c r="D1357" s="2" t="s">
        <v>917</v>
      </c>
      <c r="E1357" s="3">
        <v>1</v>
      </c>
      <c r="F1357" s="3">
        <v>1</v>
      </c>
      <c r="G1357" s="2" t="s">
        <v>11</v>
      </c>
      <c r="H1357" s="2" t="s">
        <v>1906</v>
      </c>
      <c r="I1357" s="2" t="s">
        <v>111</v>
      </c>
    </row>
    <row r="1358" spans="1:9" ht="16" x14ac:dyDescent="0.8">
      <c r="A1358" s="2" t="s">
        <v>1910</v>
      </c>
      <c r="B1358" s="2" t="s">
        <v>1911</v>
      </c>
      <c r="C1358" s="2" t="s">
        <v>1912</v>
      </c>
      <c r="D1358" s="2" t="s">
        <v>1912</v>
      </c>
      <c r="E1358" s="3">
        <v>1</v>
      </c>
      <c r="F1358" s="3">
        <v>1</v>
      </c>
      <c r="G1358" s="2" t="s">
        <v>11</v>
      </c>
      <c r="H1358" s="2" t="s">
        <v>1906</v>
      </c>
      <c r="I1358" s="2" t="s">
        <v>111</v>
      </c>
    </row>
    <row r="1359" spans="1:9" ht="16" x14ac:dyDescent="0.8">
      <c r="A1359" s="2" t="s">
        <v>1913</v>
      </c>
      <c r="B1359" s="2" t="s">
        <v>921</v>
      </c>
      <c r="C1359" s="2" t="s">
        <v>922</v>
      </c>
      <c r="D1359" s="2" t="s">
        <v>922</v>
      </c>
      <c r="E1359" s="3">
        <v>1</v>
      </c>
      <c r="F1359" s="3">
        <v>1</v>
      </c>
      <c r="G1359" s="2" t="s">
        <v>11</v>
      </c>
      <c r="H1359" s="2" t="s">
        <v>1906</v>
      </c>
      <c r="I1359" s="2" t="s">
        <v>117</v>
      </c>
    </row>
    <row r="1360" spans="1:9" ht="16" x14ac:dyDescent="0.8">
      <c r="A1360" s="2" t="s">
        <v>1913</v>
      </c>
      <c r="B1360" s="2" t="s">
        <v>120</v>
      </c>
      <c r="C1360" s="2" t="s">
        <v>121</v>
      </c>
      <c r="D1360" s="2" t="s">
        <v>121</v>
      </c>
      <c r="E1360" s="3">
        <v>1</v>
      </c>
      <c r="F1360" s="3">
        <v>1</v>
      </c>
      <c r="G1360" s="2" t="s">
        <v>11</v>
      </c>
      <c r="H1360" s="2" t="s">
        <v>1906</v>
      </c>
      <c r="I1360" s="2" t="s">
        <v>117</v>
      </c>
    </row>
    <row r="1361" spans="1:9" ht="16" x14ac:dyDescent="0.8">
      <c r="A1361" s="2" t="s">
        <v>1913</v>
      </c>
      <c r="B1361" s="2" t="s">
        <v>924</v>
      </c>
      <c r="C1361" s="2" t="s">
        <v>925</v>
      </c>
      <c r="D1361" s="2" t="s">
        <v>925</v>
      </c>
      <c r="E1361" s="3">
        <v>3</v>
      </c>
      <c r="F1361" s="3">
        <v>3</v>
      </c>
      <c r="G1361" s="2" t="s">
        <v>11</v>
      </c>
      <c r="H1361" s="2" t="s">
        <v>1906</v>
      </c>
      <c r="I1361" s="2" t="s">
        <v>117</v>
      </c>
    </row>
    <row r="1362" spans="1:9" ht="16" x14ac:dyDescent="0.8">
      <c r="A1362" s="2" t="s">
        <v>1913</v>
      </c>
      <c r="B1362" s="2" t="s">
        <v>115</v>
      </c>
      <c r="C1362" s="2" t="s">
        <v>116</v>
      </c>
      <c r="D1362" s="2" t="s">
        <v>116</v>
      </c>
      <c r="E1362" s="3">
        <v>5</v>
      </c>
      <c r="F1362" s="3">
        <v>5</v>
      </c>
      <c r="G1362" s="2" t="s">
        <v>11</v>
      </c>
      <c r="H1362" s="2" t="s">
        <v>1906</v>
      </c>
      <c r="I1362" s="2" t="s">
        <v>117</v>
      </c>
    </row>
    <row r="1363" spans="1:9" ht="16" x14ac:dyDescent="0.8">
      <c r="A1363" s="2" t="s">
        <v>1913</v>
      </c>
      <c r="B1363" s="2" t="s">
        <v>118</v>
      </c>
      <c r="C1363" s="2" t="s">
        <v>119</v>
      </c>
      <c r="D1363" s="2" t="s">
        <v>119</v>
      </c>
      <c r="E1363" s="3">
        <v>2</v>
      </c>
      <c r="F1363" s="3">
        <v>2</v>
      </c>
      <c r="G1363" s="2" t="s">
        <v>11</v>
      </c>
      <c r="H1363" s="2" t="s">
        <v>1906</v>
      </c>
      <c r="I1363" s="2" t="s">
        <v>117</v>
      </c>
    </row>
    <row r="1364" spans="1:9" ht="16" x14ac:dyDescent="0.8">
      <c r="A1364" s="2" t="s">
        <v>1913</v>
      </c>
      <c r="B1364" s="2" t="s">
        <v>126</v>
      </c>
      <c r="C1364" s="2" t="s">
        <v>127</v>
      </c>
      <c r="D1364" s="2" t="s">
        <v>127</v>
      </c>
      <c r="E1364" s="3">
        <v>2</v>
      </c>
      <c r="F1364" s="3">
        <v>2</v>
      </c>
      <c r="G1364" s="2" t="s">
        <v>11</v>
      </c>
      <c r="H1364" s="2" t="s">
        <v>1906</v>
      </c>
      <c r="I1364" s="2" t="s">
        <v>117</v>
      </c>
    </row>
    <row r="1365" spans="1:9" ht="16" x14ac:dyDescent="0.8">
      <c r="A1365" s="2" t="s">
        <v>1914</v>
      </c>
      <c r="B1365" s="2" t="s">
        <v>140</v>
      </c>
      <c r="C1365" s="2" t="s">
        <v>141</v>
      </c>
      <c r="D1365" s="2" t="s">
        <v>141</v>
      </c>
      <c r="E1365" s="3">
        <v>1</v>
      </c>
      <c r="F1365" s="3">
        <v>1</v>
      </c>
      <c r="G1365" s="2" t="s">
        <v>11</v>
      </c>
      <c r="H1365" s="2" t="s">
        <v>1906</v>
      </c>
      <c r="I1365" s="2" t="s">
        <v>133</v>
      </c>
    </row>
    <row r="1366" spans="1:9" ht="16" x14ac:dyDescent="0.8">
      <c r="A1366" s="2" t="s">
        <v>1914</v>
      </c>
      <c r="B1366" s="2" t="s">
        <v>1915</v>
      </c>
      <c r="C1366" s="2" t="s">
        <v>1916</v>
      </c>
      <c r="D1366" s="2" t="s">
        <v>1916</v>
      </c>
      <c r="E1366" s="3">
        <v>1</v>
      </c>
      <c r="F1366" s="3">
        <v>1</v>
      </c>
      <c r="G1366" s="2" t="s">
        <v>11</v>
      </c>
      <c r="H1366" s="2" t="s">
        <v>1906</v>
      </c>
      <c r="I1366" s="2" t="s">
        <v>133</v>
      </c>
    </row>
    <row r="1367" spans="1:9" ht="16" x14ac:dyDescent="0.8">
      <c r="A1367" s="2" t="s">
        <v>1914</v>
      </c>
      <c r="B1367" s="2" t="s">
        <v>1917</v>
      </c>
      <c r="C1367" s="2" t="s">
        <v>1918</v>
      </c>
      <c r="D1367" s="2" t="s">
        <v>1918</v>
      </c>
      <c r="E1367" s="3">
        <v>1</v>
      </c>
      <c r="F1367" s="3">
        <v>1</v>
      </c>
      <c r="G1367" s="2" t="s">
        <v>11</v>
      </c>
      <c r="H1367" s="2" t="s">
        <v>1906</v>
      </c>
      <c r="I1367" s="2" t="s">
        <v>133</v>
      </c>
    </row>
    <row r="1368" spans="1:9" ht="16" x14ac:dyDescent="0.8">
      <c r="A1368" s="2" t="s">
        <v>1914</v>
      </c>
      <c r="B1368" s="2" t="s">
        <v>935</v>
      </c>
      <c r="C1368" s="2" t="s">
        <v>936</v>
      </c>
      <c r="D1368" s="2" t="s">
        <v>936</v>
      </c>
      <c r="E1368" s="3">
        <v>1</v>
      </c>
      <c r="F1368" s="3">
        <v>1</v>
      </c>
      <c r="G1368" s="2" t="s">
        <v>11</v>
      </c>
      <c r="H1368" s="2" t="s">
        <v>1906</v>
      </c>
      <c r="I1368" s="2" t="s">
        <v>133</v>
      </c>
    </row>
    <row r="1369" spans="1:9" ht="16" x14ac:dyDescent="0.8">
      <c r="A1369" s="2" t="s">
        <v>1914</v>
      </c>
      <c r="B1369" s="2" t="s">
        <v>158</v>
      </c>
      <c r="C1369" s="2" t="s">
        <v>159</v>
      </c>
      <c r="D1369" s="2" t="s">
        <v>159</v>
      </c>
      <c r="E1369" s="3">
        <v>3</v>
      </c>
      <c r="F1369" s="3">
        <v>3</v>
      </c>
      <c r="G1369" s="2" t="s">
        <v>11</v>
      </c>
      <c r="H1369" s="2" t="s">
        <v>1906</v>
      </c>
      <c r="I1369" s="2" t="s">
        <v>133</v>
      </c>
    </row>
    <row r="1370" spans="1:9" ht="16" x14ac:dyDescent="0.8">
      <c r="A1370" s="2" t="s">
        <v>1914</v>
      </c>
      <c r="B1370" s="2" t="s">
        <v>150</v>
      </c>
      <c r="C1370" s="2" t="s">
        <v>151</v>
      </c>
      <c r="D1370" s="2" t="s">
        <v>151</v>
      </c>
      <c r="E1370" s="3">
        <v>7</v>
      </c>
      <c r="F1370" s="3">
        <v>7</v>
      </c>
      <c r="G1370" s="2" t="s">
        <v>11</v>
      </c>
      <c r="H1370" s="2" t="s">
        <v>1906</v>
      </c>
      <c r="I1370" s="2" t="s">
        <v>133</v>
      </c>
    </row>
    <row r="1371" spans="1:9" ht="16" x14ac:dyDescent="0.8">
      <c r="A1371" s="2" t="s">
        <v>1914</v>
      </c>
      <c r="B1371" s="2" t="s">
        <v>937</v>
      </c>
      <c r="C1371" s="2" t="s">
        <v>938</v>
      </c>
      <c r="D1371" s="2" t="s">
        <v>938</v>
      </c>
      <c r="E1371" s="3">
        <v>1</v>
      </c>
      <c r="F1371" s="3">
        <v>1</v>
      </c>
      <c r="G1371" s="2" t="s">
        <v>11</v>
      </c>
      <c r="H1371" s="2" t="s">
        <v>1906</v>
      </c>
      <c r="I1371" s="2" t="s">
        <v>133</v>
      </c>
    </row>
    <row r="1372" spans="1:9" ht="16" x14ac:dyDescent="0.8">
      <c r="A1372" s="2" t="s">
        <v>1914</v>
      </c>
      <c r="B1372" s="2" t="s">
        <v>1919</v>
      </c>
      <c r="C1372" s="2" t="s">
        <v>1920</v>
      </c>
      <c r="D1372" s="2" t="s">
        <v>1920</v>
      </c>
      <c r="E1372" s="3">
        <v>2</v>
      </c>
      <c r="F1372" s="3">
        <v>2</v>
      </c>
      <c r="G1372" s="2" t="s">
        <v>11</v>
      </c>
      <c r="H1372" s="2" t="s">
        <v>1906</v>
      </c>
      <c r="I1372" s="2" t="s">
        <v>133</v>
      </c>
    </row>
    <row r="1373" spans="1:9" ht="16" x14ac:dyDescent="0.8">
      <c r="A1373" s="2" t="s">
        <v>1914</v>
      </c>
      <c r="B1373" s="2" t="s">
        <v>1921</v>
      </c>
      <c r="C1373" s="2" t="s">
        <v>1922</v>
      </c>
      <c r="D1373" s="2" t="s">
        <v>1922</v>
      </c>
      <c r="E1373" s="3">
        <v>2</v>
      </c>
      <c r="F1373" s="3">
        <v>2</v>
      </c>
      <c r="G1373" s="2" t="s">
        <v>11</v>
      </c>
      <c r="H1373" s="2" t="s">
        <v>1906</v>
      </c>
      <c r="I1373" s="2" t="s">
        <v>133</v>
      </c>
    </row>
    <row r="1374" spans="1:9" ht="16" x14ac:dyDescent="0.8">
      <c r="A1374" s="2" t="s">
        <v>1914</v>
      </c>
      <c r="B1374" s="2" t="s">
        <v>939</v>
      </c>
      <c r="C1374" s="2" t="s">
        <v>940</v>
      </c>
      <c r="D1374" s="2" t="s">
        <v>940</v>
      </c>
      <c r="E1374" s="3">
        <v>1</v>
      </c>
      <c r="F1374" s="3">
        <v>1</v>
      </c>
      <c r="G1374" s="2" t="s">
        <v>11</v>
      </c>
      <c r="H1374" s="2" t="s">
        <v>1906</v>
      </c>
      <c r="I1374" s="2" t="s">
        <v>133</v>
      </c>
    </row>
    <row r="1375" spans="1:9" ht="16" x14ac:dyDescent="0.8">
      <c r="A1375" s="2" t="s">
        <v>1914</v>
      </c>
      <c r="B1375" s="2" t="s">
        <v>162</v>
      </c>
      <c r="C1375" s="2" t="s">
        <v>163</v>
      </c>
      <c r="D1375" s="2" t="s">
        <v>163</v>
      </c>
      <c r="E1375" s="3">
        <v>2</v>
      </c>
      <c r="F1375" s="3">
        <v>2</v>
      </c>
      <c r="G1375" s="2" t="s">
        <v>11</v>
      </c>
      <c r="H1375" s="2" t="s">
        <v>1906</v>
      </c>
      <c r="I1375" s="2" t="s">
        <v>133</v>
      </c>
    </row>
    <row r="1376" spans="1:9" ht="16" x14ac:dyDescent="0.8">
      <c r="A1376" s="2" t="s">
        <v>1914</v>
      </c>
      <c r="B1376" s="2" t="s">
        <v>1097</v>
      </c>
      <c r="C1376" s="2" t="s">
        <v>1098</v>
      </c>
      <c r="D1376" s="2" t="s">
        <v>1098</v>
      </c>
      <c r="E1376" s="3">
        <v>1</v>
      </c>
      <c r="F1376" s="3">
        <v>1</v>
      </c>
      <c r="G1376" s="2" t="s">
        <v>11</v>
      </c>
      <c r="H1376" s="2" t="s">
        <v>1906</v>
      </c>
      <c r="I1376" s="2" t="s">
        <v>133</v>
      </c>
    </row>
    <row r="1377" spans="1:9" ht="16" x14ac:dyDescent="0.8">
      <c r="A1377" s="2" t="s">
        <v>1914</v>
      </c>
      <c r="B1377" s="2" t="s">
        <v>1923</v>
      </c>
      <c r="C1377" s="2" t="s">
        <v>1924</v>
      </c>
      <c r="D1377" s="2" t="s">
        <v>1924</v>
      </c>
      <c r="E1377" s="3">
        <v>1</v>
      </c>
      <c r="F1377" s="3">
        <v>1</v>
      </c>
      <c r="G1377" s="2" t="s">
        <v>11</v>
      </c>
      <c r="H1377" s="2" t="s">
        <v>1906</v>
      </c>
      <c r="I1377" s="2" t="s">
        <v>133</v>
      </c>
    </row>
    <row r="1378" spans="1:9" ht="16" x14ac:dyDescent="0.8">
      <c r="A1378" s="2" t="s">
        <v>1914</v>
      </c>
      <c r="B1378" s="2" t="s">
        <v>154</v>
      </c>
      <c r="C1378" s="2" t="s">
        <v>155</v>
      </c>
      <c r="D1378" s="2" t="s">
        <v>155</v>
      </c>
      <c r="E1378" s="3">
        <v>1</v>
      </c>
      <c r="F1378" s="3">
        <v>1</v>
      </c>
      <c r="G1378" s="2" t="s">
        <v>11</v>
      </c>
      <c r="H1378" s="2" t="s">
        <v>1906</v>
      </c>
      <c r="I1378" s="2" t="s">
        <v>133</v>
      </c>
    </row>
    <row r="1379" spans="1:9" ht="16" x14ac:dyDescent="0.8">
      <c r="A1379" s="2" t="s">
        <v>1925</v>
      </c>
      <c r="B1379" s="2" t="s">
        <v>628</v>
      </c>
      <c r="C1379" s="2" t="s">
        <v>629</v>
      </c>
      <c r="D1379" s="2" t="s">
        <v>629</v>
      </c>
      <c r="E1379" s="3">
        <v>5004</v>
      </c>
      <c r="F1379" s="3">
        <v>4980</v>
      </c>
      <c r="G1379" s="2" t="s">
        <v>196</v>
      </c>
      <c r="H1379" s="2" t="s">
        <v>1926</v>
      </c>
      <c r="I1379" s="2" t="s">
        <v>663</v>
      </c>
    </row>
    <row r="1380" spans="1:9" ht="16" x14ac:dyDescent="0.8">
      <c r="A1380" s="2" t="s">
        <v>1925</v>
      </c>
      <c r="B1380" s="2" t="s">
        <v>632</v>
      </c>
      <c r="C1380" s="2" t="s">
        <v>633</v>
      </c>
      <c r="D1380" s="2" t="s">
        <v>633</v>
      </c>
      <c r="E1380" s="3">
        <v>5004</v>
      </c>
      <c r="F1380" s="3">
        <v>4902</v>
      </c>
      <c r="G1380" s="2" t="s">
        <v>196</v>
      </c>
      <c r="H1380" s="2" t="s">
        <v>1926</v>
      </c>
      <c r="I1380" s="2" t="s">
        <v>663</v>
      </c>
    </row>
    <row r="1381" spans="1:9" ht="16" x14ac:dyDescent="0.8">
      <c r="A1381" s="2" t="s">
        <v>1927</v>
      </c>
      <c r="B1381" s="2" t="s">
        <v>628</v>
      </c>
      <c r="C1381" s="2" t="s">
        <v>629</v>
      </c>
      <c r="D1381" s="2" t="s">
        <v>629</v>
      </c>
      <c r="E1381" s="3">
        <v>7500</v>
      </c>
      <c r="F1381" s="3">
        <v>7500</v>
      </c>
      <c r="G1381" s="2" t="s">
        <v>11</v>
      </c>
      <c r="H1381" s="2" t="s">
        <v>1926</v>
      </c>
      <c r="I1381" s="2" t="s">
        <v>663</v>
      </c>
    </row>
    <row r="1382" spans="1:9" ht="16" x14ac:dyDescent="0.8">
      <c r="A1382" s="2" t="s">
        <v>1927</v>
      </c>
      <c r="B1382" s="2" t="s">
        <v>632</v>
      </c>
      <c r="C1382" s="2" t="s">
        <v>633</v>
      </c>
      <c r="D1382" s="2" t="s">
        <v>633</v>
      </c>
      <c r="E1382" s="3">
        <v>2802</v>
      </c>
      <c r="F1382" s="3">
        <v>2802</v>
      </c>
      <c r="G1382" s="2" t="s">
        <v>11</v>
      </c>
      <c r="H1382" s="2" t="s">
        <v>1926</v>
      </c>
      <c r="I1382" s="2" t="s">
        <v>663</v>
      </c>
    </row>
    <row r="1383" spans="1:9" ht="16" x14ac:dyDescent="0.8">
      <c r="A1383" s="2" t="s">
        <v>1928</v>
      </c>
      <c r="B1383" s="2" t="s">
        <v>1929</v>
      </c>
      <c r="C1383" s="2" t="s">
        <v>447</v>
      </c>
      <c r="D1383" s="2" t="s">
        <v>447</v>
      </c>
      <c r="E1383" s="3">
        <v>65004</v>
      </c>
      <c r="F1383" s="3">
        <v>65004</v>
      </c>
      <c r="G1383" s="2" t="s">
        <v>11</v>
      </c>
      <c r="H1383" s="2" t="s">
        <v>1926</v>
      </c>
      <c r="I1383" s="2" t="s">
        <v>1930</v>
      </c>
    </row>
    <row r="1384" spans="1:9" ht="16" x14ac:dyDescent="0.8">
      <c r="A1384" s="2" t="s">
        <v>1931</v>
      </c>
      <c r="B1384" s="2" t="s">
        <v>1929</v>
      </c>
      <c r="C1384" s="2" t="s">
        <v>447</v>
      </c>
      <c r="D1384" s="2" t="s">
        <v>447</v>
      </c>
      <c r="E1384" s="3">
        <v>94998</v>
      </c>
      <c r="F1384" s="3">
        <v>94998</v>
      </c>
      <c r="G1384" s="2" t="s">
        <v>11</v>
      </c>
      <c r="H1384" s="2" t="s">
        <v>1926</v>
      </c>
      <c r="I1384" s="2" t="s">
        <v>1930</v>
      </c>
    </row>
    <row r="1385" spans="1:9" ht="16" x14ac:dyDescent="0.8">
      <c r="A1385" s="2" t="s">
        <v>1932</v>
      </c>
      <c r="B1385" s="2" t="s">
        <v>1929</v>
      </c>
      <c r="C1385" s="2" t="s">
        <v>447</v>
      </c>
      <c r="D1385" s="2" t="s">
        <v>447</v>
      </c>
      <c r="E1385" s="3">
        <v>40176</v>
      </c>
      <c r="F1385" s="3">
        <v>40176</v>
      </c>
      <c r="G1385" s="2" t="s">
        <v>11</v>
      </c>
      <c r="H1385" s="2" t="s">
        <v>1926</v>
      </c>
      <c r="I1385" s="2" t="s">
        <v>1930</v>
      </c>
    </row>
    <row r="1386" spans="1:9" ht="16" x14ac:dyDescent="0.8">
      <c r="A1386" s="2" t="s">
        <v>1933</v>
      </c>
      <c r="B1386" s="2" t="s">
        <v>1455</v>
      </c>
      <c r="C1386" s="2" t="s">
        <v>1456</v>
      </c>
      <c r="D1386" s="2" t="s">
        <v>1456</v>
      </c>
      <c r="E1386" s="3">
        <v>72102</v>
      </c>
      <c r="F1386" s="3">
        <v>72102</v>
      </c>
      <c r="G1386" s="2" t="s">
        <v>11</v>
      </c>
      <c r="H1386" s="2" t="s">
        <v>1934</v>
      </c>
      <c r="I1386" s="2" t="s">
        <v>1457</v>
      </c>
    </row>
    <row r="1387" spans="1:9" ht="16" x14ac:dyDescent="0.8">
      <c r="A1387" s="2" t="s">
        <v>1935</v>
      </c>
      <c r="B1387" s="2" t="s">
        <v>1452</v>
      </c>
      <c r="C1387" s="2" t="s">
        <v>1453</v>
      </c>
      <c r="D1387" s="2" t="s">
        <v>1453</v>
      </c>
      <c r="E1387" s="3">
        <v>85716</v>
      </c>
      <c r="F1387" s="3">
        <v>85716</v>
      </c>
      <c r="G1387" s="2" t="s">
        <v>11</v>
      </c>
      <c r="H1387" s="2" t="s">
        <v>1934</v>
      </c>
      <c r="I1387" s="2" t="s">
        <v>23</v>
      </c>
    </row>
    <row r="1388" spans="1:9" ht="16" x14ac:dyDescent="0.8">
      <c r="A1388" s="2" t="s">
        <v>1936</v>
      </c>
      <c r="B1388" s="2" t="s">
        <v>1440</v>
      </c>
      <c r="C1388" s="2" t="s">
        <v>1441</v>
      </c>
      <c r="D1388" s="2" t="s">
        <v>1441</v>
      </c>
      <c r="E1388" s="3">
        <v>89256</v>
      </c>
      <c r="F1388" s="3">
        <v>89256</v>
      </c>
      <c r="G1388" s="2" t="s">
        <v>11</v>
      </c>
      <c r="H1388" s="2" t="s">
        <v>1934</v>
      </c>
      <c r="I1388" s="2" t="s">
        <v>1386</v>
      </c>
    </row>
    <row r="1389" spans="1:9" ht="16" x14ac:dyDescent="0.8">
      <c r="A1389" s="2" t="s">
        <v>1937</v>
      </c>
      <c r="B1389" s="2" t="s">
        <v>1437</v>
      </c>
      <c r="C1389" s="2" t="s">
        <v>1438</v>
      </c>
      <c r="D1389" s="2" t="s">
        <v>1438</v>
      </c>
      <c r="E1389" s="3">
        <v>71526</v>
      </c>
      <c r="F1389" s="3">
        <v>71526</v>
      </c>
      <c r="G1389" s="2" t="s">
        <v>11</v>
      </c>
      <c r="H1389" s="2" t="s">
        <v>1934</v>
      </c>
      <c r="I1389" s="2" t="s">
        <v>407</v>
      </c>
    </row>
    <row r="1390" spans="1:9" ht="16" x14ac:dyDescent="0.8">
      <c r="A1390" s="2" t="s">
        <v>1938</v>
      </c>
      <c r="B1390" s="2" t="s">
        <v>1443</v>
      </c>
      <c r="C1390" s="2" t="s">
        <v>1425</v>
      </c>
      <c r="D1390" s="2" t="s">
        <v>1425</v>
      </c>
      <c r="E1390" s="3">
        <v>116898</v>
      </c>
      <c r="F1390" s="3">
        <v>116898</v>
      </c>
      <c r="G1390" s="2" t="s">
        <v>11</v>
      </c>
      <c r="H1390" s="2" t="s">
        <v>1934</v>
      </c>
      <c r="I1390" s="2" t="s">
        <v>1444</v>
      </c>
    </row>
    <row r="1391" spans="1:9" ht="16" x14ac:dyDescent="0.8">
      <c r="A1391" s="2" t="s">
        <v>1938</v>
      </c>
      <c r="B1391" s="2" t="s">
        <v>1445</v>
      </c>
      <c r="C1391" s="2" t="s">
        <v>1446</v>
      </c>
      <c r="D1391" s="2" t="s">
        <v>1446</v>
      </c>
      <c r="E1391" s="3">
        <v>96132</v>
      </c>
      <c r="F1391" s="3">
        <v>96132</v>
      </c>
      <c r="G1391" s="2" t="s">
        <v>11</v>
      </c>
      <c r="H1391" s="2" t="s">
        <v>1934</v>
      </c>
      <c r="I1391" s="2" t="s">
        <v>1444</v>
      </c>
    </row>
    <row r="1392" spans="1:9" ht="16" x14ac:dyDescent="0.8">
      <c r="A1392" s="2" t="s">
        <v>1938</v>
      </c>
      <c r="B1392" s="2" t="s">
        <v>1447</v>
      </c>
      <c r="C1392" s="2" t="s">
        <v>1448</v>
      </c>
      <c r="D1392" s="2" t="s">
        <v>1448</v>
      </c>
      <c r="E1392" s="3">
        <v>82500</v>
      </c>
      <c r="F1392" s="3">
        <v>82480</v>
      </c>
      <c r="G1392" s="2" t="s">
        <v>11</v>
      </c>
      <c r="H1392" s="2" t="s">
        <v>1934</v>
      </c>
      <c r="I1392" s="2" t="s">
        <v>1444</v>
      </c>
    </row>
    <row r="1393" spans="1:9" ht="16" x14ac:dyDescent="0.8">
      <c r="A1393" s="2" t="s">
        <v>1938</v>
      </c>
      <c r="B1393" s="2" t="s">
        <v>1449</v>
      </c>
      <c r="C1393" s="2" t="s">
        <v>1450</v>
      </c>
      <c r="D1393" s="2" t="s">
        <v>1450</v>
      </c>
      <c r="E1393" s="3">
        <v>66780</v>
      </c>
      <c r="F1393" s="3">
        <v>66780</v>
      </c>
      <c r="G1393" s="2" t="s">
        <v>11</v>
      </c>
      <c r="H1393" s="2" t="s">
        <v>1934</v>
      </c>
      <c r="I1393" s="2" t="s">
        <v>1444</v>
      </c>
    </row>
    <row r="1394" spans="1:9" ht="16" x14ac:dyDescent="0.8">
      <c r="A1394" s="2" t="s">
        <v>1940</v>
      </c>
      <c r="B1394" s="2" t="s">
        <v>1941</v>
      </c>
      <c r="C1394" s="2" t="s">
        <v>1942</v>
      </c>
      <c r="D1394" s="2" t="s">
        <v>1942</v>
      </c>
      <c r="E1394" s="3">
        <v>85002</v>
      </c>
      <c r="F1394" s="3">
        <v>85002</v>
      </c>
      <c r="G1394" s="2" t="s">
        <v>11</v>
      </c>
      <c r="H1394" s="2" t="s">
        <v>1943</v>
      </c>
      <c r="I1394" s="2" t="s">
        <v>23</v>
      </c>
    </row>
    <row r="1395" spans="1:9" ht="16" x14ac:dyDescent="0.8">
      <c r="A1395" s="2" t="s">
        <v>1944</v>
      </c>
      <c r="B1395" s="2" t="s">
        <v>1941</v>
      </c>
      <c r="C1395" s="2" t="s">
        <v>1942</v>
      </c>
      <c r="D1395" s="2" t="s">
        <v>1942</v>
      </c>
      <c r="E1395" s="3">
        <v>85002</v>
      </c>
      <c r="F1395" s="3">
        <v>85002</v>
      </c>
      <c r="G1395" s="2" t="s">
        <v>11</v>
      </c>
      <c r="H1395" s="2" t="s">
        <v>1943</v>
      </c>
      <c r="I1395" s="2" t="s">
        <v>23</v>
      </c>
    </row>
    <row r="1396" spans="1:9" ht="16" x14ac:dyDescent="0.8">
      <c r="A1396" s="2" t="s">
        <v>1945</v>
      </c>
      <c r="B1396" s="2" t="s">
        <v>1946</v>
      </c>
      <c r="C1396" s="2" t="s">
        <v>1947</v>
      </c>
      <c r="D1396" s="2" t="s">
        <v>1947</v>
      </c>
      <c r="E1396" s="3">
        <v>90000</v>
      </c>
      <c r="F1396" s="3">
        <v>90000</v>
      </c>
      <c r="G1396" s="2" t="s">
        <v>11</v>
      </c>
      <c r="H1396" s="2" t="s">
        <v>1943</v>
      </c>
      <c r="I1396" s="2" t="s">
        <v>1948</v>
      </c>
    </row>
    <row r="1397" spans="1:9" ht="16" x14ac:dyDescent="0.8">
      <c r="A1397" s="2" t="s">
        <v>1949</v>
      </c>
      <c r="B1397" s="2" t="s">
        <v>1946</v>
      </c>
      <c r="C1397" s="2" t="s">
        <v>1947</v>
      </c>
      <c r="D1397" s="2" t="s">
        <v>1947</v>
      </c>
      <c r="E1397" s="3">
        <v>90000</v>
      </c>
      <c r="F1397" s="3">
        <v>90000</v>
      </c>
      <c r="G1397" s="2" t="s">
        <v>11</v>
      </c>
      <c r="H1397" s="2" t="s">
        <v>1943</v>
      </c>
      <c r="I1397" s="2" t="s">
        <v>1948</v>
      </c>
    </row>
    <row r="1398" spans="1:9" ht="16" x14ac:dyDescent="0.8">
      <c r="A1398" s="2" t="s">
        <v>1950</v>
      </c>
      <c r="B1398" s="2" t="s">
        <v>1951</v>
      </c>
      <c r="C1398" s="2" t="s">
        <v>1952</v>
      </c>
      <c r="D1398" s="2" t="s">
        <v>1952</v>
      </c>
      <c r="E1398" s="3">
        <v>70002</v>
      </c>
      <c r="F1398" s="3">
        <v>70002</v>
      </c>
      <c r="G1398" s="2" t="s">
        <v>11</v>
      </c>
      <c r="H1398" s="2" t="s">
        <v>1943</v>
      </c>
      <c r="I1398" s="2" t="s">
        <v>583</v>
      </c>
    </row>
    <row r="1399" spans="1:9" ht="16" x14ac:dyDescent="0.8">
      <c r="A1399" s="2" t="s">
        <v>1953</v>
      </c>
      <c r="B1399" s="2" t="s">
        <v>1951</v>
      </c>
      <c r="C1399" s="2" t="s">
        <v>1952</v>
      </c>
      <c r="D1399" s="2" t="s">
        <v>1952</v>
      </c>
      <c r="E1399" s="3">
        <v>70002</v>
      </c>
      <c r="F1399" s="3">
        <v>70002</v>
      </c>
      <c r="G1399" s="2" t="s">
        <v>11</v>
      </c>
      <c r="H1399" s="2" t="s">
        <v>1943</v>
      </c>
      <c r="I1399" s="2" t="s">
        <v>583</v>
      </c>
    </row>
    <row r="1400" spans="1:9" ht="16" x14ac:dyDescent="0.8">
      <c r="A1400" s="2" t="s">
        <v>1954</v>
      </c>
      <c r="B1400" s="2" t="s">
        <v>1951</v>
      </c>
      <c r="C1400" s="2" t="s">
        <v>1952</v>
      </c>
      <c r="D1400" s="2" t="s">
        <v>1952</v>
      </c>
      <c r="E1400" s="3">
        <v>60000</v>
      </c>
      <c r="F1400" s="3">
        <v>60000</v>
      </c>
      <c r="G1400" s="2" t="s">
        <v>11</v>
      </c>
      <c r="H1400" s="2" t="s">
        <v>1943</v>
      </c>
      <c r="I1400" s="2" t="s">
        <v>583</v>
      </c>
    </row>
    <row r="1401" spans="1:9" ht="16" x14ac:dyDescent="0.8">
      <c r="A1401" s="2" t="s">
        <v>1955</v>
      </c>
      <c r="B1401" s="2" t="s">
        <v>1775</v>
      </c>
      <c r="C1401" s="2" t="s">
        <v>1776</v>
      </c>
      <c r="D1401" s="2" t="s">
        <v>1776</v>
      </c>
      <c r="E1401" s="3">
        <v>104400</v>
      </c>
      <c r="F1401" s="3">
        <v>0</v>
      </c>
      <c r="G1401" s="2" t="s">
        <v>196</v>
      </c>
      <c r="H1401" s="2" t="s">
        <v>1956</v>
      </c>
      <c r="I1401" s="2" t="s">
        <v>1957</v>
      </c>
    </row>
    <row r="1402" spans="1:9" ht="16" x14ac:dyDescent="0.8">
      <c r="A1402" s="2" t="s">
        <v>1958</v>
      </c>
      <c r="B1402" s="2" t="s">
        <v>786</v>
      </c>
      <c r="C1402" s="2" t="s">
        <v>199</v>
      </c>
      <c r="D1402" s="2" t="s">
        <v>199</v>
      </c>
      <c r="E1402" s="3">
        <v>1938</v>
      </c>
      <c r="F1402" s="3">
        <v>1938</v>
      </c>
      <c r="G1402" s="2" t="s">
        <v>11</v>
      </c>
      <c r="H1402" s="2" t="s">
        <v>1959</v>
      </c>
      <c r="I1402" s="2" t="s">
        <v>201</v>
      </c>
    </row>
    <row r="1403" spans="1:9" ht="16" x14ac:dyDescent="0.8">
      <c r="A1403" s="2" t="s">
        <v>1960</v>
      </c>
      <c r="B1403" s="2" t="s">
        <v>339</v>
      </c>
      <c r="C1403" s="2" t="s">
        <v>340</v>
      </c>
      <c r="D1403" s="2" t="s">
        <v>340</v>
      </c>
      <c r="E1403" s="3">
        <v>2000</v>
      </c>
      <c r="F1403" s="3">
        <v>2000</v>
      </c>
      <c r="G1403" s="2" t="s">
        <v>11</v>
      </c>
      <c r="H1403" s="2" t="s">
        <v>1939</v>
      </c>
      <c r="I1403" s="2" t="s">
        <v>437</v>
      </c>
    </row>
    <row r="1404" spans="1:9" ht="16" x14ac:dyDescent="0.8">
      <c r="A1404" s="2" t="s">
        <v>1961</v>
      </c>
      <c r="B1404" s="2" t="s">
        <v>639</v>
      </c>
      <c r="C1404" s="2" t="s">
        <v>206</v>
      </c>
      <c r="D1404" s="2" t="s">
        <v>206</v>
      </c>
      <c r="E1404" s="3">
        <v>7480</v>
      </c>
      <c r="F1404" s="3">
        <v>7480</v>
      </c>
      <c r="G1404" s="2" t="s">
        <v>11</v>
      </c>
      <c r="H1404" s="2" t="s">
        <v>1939</v>
      </c>
      <c r="I1404" s="2" t="s">
        <v>641</v>
      </c>
    </row>
    <row r="1405" spans="1:9" ht="16" x14ac:dyDescent="0.8">
      <c r="A1405" s="2" t="s">
        <v>1961</v>
      </c>
      <c r="B1405" s="2" t="s">
        <v>644</v>
      </c>
      <c r="C1405" s="2" t="s">
        <v>645</v>
      </c>
      <c r="D1405" s="2" t="s">
        <v>645</v>
      </c>
      <c r="E1405" s="3">
        <v>2012</v>
      </c>
      <c r="F1405" s="3">
        <v>2012</v>
      </c>
      <c r="G1405" s="2" t="s">
        <v>11</v>
      </c>
      <c r="H1405" s="2" t="s">
        <v>1939</v>
      </c>
      <c r="I1405" s="2" t="s">
        <v>641</v>
      </c>
    </row>
    <row r="1406" spans="1:9" ht="16" x14ac:dyDescent="0.8">
      <c r="A1406" s="2" t="s">
        <v>1961</v>
      </c>
      <c r="B1406" s="2" t="s">
        <v>648</v>
      </c>
      <c r="C1406" s="2" t="s">
        <v>649</v>
      </c>
      <c r="D1406" s="2" t="s">
        <v>649</v>
      </c>
      <c r="E1406" s="3">
        <v>5036</v>
      </c>
      <c r="F1406" s="3">
        <v>5036</v>
      </c>
      <c r="G1406" s="2" t="s">
        <v>11</v>
      </c>
      <c r="H1406" s="2" t="s">
        <v>1939</v>
      </c>
      <c r="I1406" s="2" t="s">
        <v>641</v>
      </c>
    </row>
    <row r="1407" spans="1:9" ht="16" x14ac:dyDescent="0.8">
      <c r="A1407" s="2" t="s">
        <v>1961</v>
      </c>
      <c r="B1407" s="2" t="s">
        <v>650</v>
      </c>
      <c r="C1407" s="2" t="s">
        <v>651</v>
      </c>
      <c r="D1407" s="2" t="s">
        <v>651</v>
      </c>
      <c r="E1407" s="3">
        <v>1008</v>
      </c>
      <c r="F1407" s="3">
        <v>1008</v>
      </c>
      <c r="G1407" s="2" t="s">
        <v>11</v>
      </c>
      <c r="H1407" s="2" t="s">
        <v>1939</v>
      </c>
      <c r="I1407" s="2" t="s">
        <v>641</v>
      </c>
    </row>
    <row r="1408" spans="1:9" ht="16" x14ac:dyDescent="0.8">
      <c r="A1408" s="2" t="s">
        <v>1962</v>
      </c>
      <c r="B1408" s="2" t="s">
        <v>684</v>
      </c>
      <c r="C1408" s="2" t="s">
        <v>685</v>
      </c>
      <c r="D1408" s="2" t="s">
        <v>685</v>
      </c>
      <c r="E1408" s="3">
        <v>12000</v>
      </c>
      <c r="F1408" s="3">
        <v>12000</v>
      </c>
      <c r="G1408" s="2" t="s">
        <v>11</v>
      </c>
      <c r="H1408" s="2" t="s">
        <v>1939</v>
      </c>
      <c r="I1408" s="2" t="s">
        <v>238</v>
      </c>
    </row>
    <row r="1409" spans="1:9" ht="16" x14ac:dyDescent="0.8">
      <c r="A1409" s="2" t="s">
        <v>1963</v>
      </c>
      <c r="B1409" s="2" t="s">
        <v>677</v>
      </c>
      <c r="C1409" s="2" t="s">
        <v>678</v>
      </c>
      <c r="D1409" s="2" t="s">
        <v>678</v>
      </c>
      <c r="E1409" s="3">
        <v>2460</v>
      </c>
      <c r="F1409" s="3">
        <v>2460</v>
      </c>
      <c r="G1409" s="2" t="s">
        <v>11</v>
      </c>
      <c r="H1409" s="2" t="s">
        <v>1939</v>
      </c>
      <c r="I1409" s="2" t="s">
        <v>238</v>
      </c>
    </row>
    <row r="1410" spans="1:9" ht="16" x14ac:dyDescent="0.8">
      <c r="A1410" s="2" t="s">
        <v>1963</v>
      </c>
      <c r="B1410" s="2" t="s">
        <v>769</v>
      </c>
      <c r="C1410" s="2" t="s">
        <v>770</v>
      </c>
      <c r="D1410" s="2" t="s">
        <v>770</v>
      </c>
      <c r="E1410" s="3">
        <v>3780</v>
      </c>
      <c r="F1410" s="3">
        <v>3780</v>
      </c>
      <c r="G1410" s="2" t="s">
        <v>11</v>
      </c>
      <c r="H1410" s="2" t="s">
        <v>1939</v>
      </c>
      <c r="I1410" s="2" t="s">
        <v>238</v>
      </c>
    </row>
    <row r="1411" spans="1:9" ht="16" x14ac:dyDescent="0.8">
      <c r="A1411" s="2" t="s">
        <v>1963</v>
      </c>
      <c r="B1411" s="2" t="s">
        <v>1512</v>
      </c>
      <c r="C1411" s="2" t="s">
        <v>1513</v>
      </c>
      <c r="D1411" s="2" t="s">
        <v>1513</v>
      </c>
      <c r="E1411" s="3">
        <v>2000</v>
      </c>
      <c r="F1411" s="3">
        <v>2000</v>
      </c>
      <c r="G1411" s="2" t="s">
        <v>11</v>
      </c>
      <c r="H1411" s="2" t="s">
        <v>1939</v>
      </c>
      <c r="I1411" s="2" t="s">
        <v>238</v>
      </c>
    </row>
    <row r="1412" spans="1:9" ht="16" x14ac:dyDescent="0.8">
      <c r="A1412" s="2" t="s">
        <v>1963</v>
      </c>
      <c r="B1412" s="2" t="s">
        <v>1514</v>
      </c>
      <c r="C1412" s="2" t="s">
        <v>1515</v>
      </c>
      <c r="D1412" s="2" t="s">
        <v>1515</v>
      </c>
      <c r="E1412" s="3">
        <v>3720</v>
      </c>
      <c r="F1412" s="3">
        <v>3720</v>
      </c>
      <c r="G1412" s="2" t="s">
        <v>11</v>
      </c>
      <c r="H1412" s="2" t="s">
        <v>1939</v>
      </c>
      <c r="I1412" s="2" t="s">
        <v>238</v>
      </c>
    </row>
    <row r="1413" spans="1:9" ht="16" x14ac:dyDescent="0.8">
      <c r="A1413" s="2" t="s">
        <v>1963</v>
      </c>
      <c r="B1413" s="2" t="s">
        <v>767</v>
      </c>
      <c r="C1413" s="2" t="s">
        <v>768</v>
      </c>
      <c r="D1413" s="2" t="s">
        <v>768</v>
      </c>
      <c r="E1413" s="3">
        <v>6600</v>
      </c>
      <c r="F1413" s="3">
        <v>6600</v>
      </c>
      <c r="G1413" s="2" t="s">
        <v>11</v>
      </c>
      <c r="H1413" s="2" t="s">
        <v>1939</v>
      </c>
      <c r="I1413" s="2" t="s">
        <v>238</v>
      </c>
    </row>
    <row r="1414" spans="1:9" ht="16" x14ac:dyDescent="0.8">
      <c r="A1414" s="2" t="s">
        <v>1963</v>
      </c>
      <c r="B1414" s="2" t="s">
        <v>1964</v>
      </c>
      <c r="C1414" s="2" t="s">
        <v>685</v>
      </c>
      <c r="D1414" s="2" t="s">
        <v>685</v>
      </c>
      <c r="E1414" s="3">
        <v>3300</v>
      </c>
      <c r="F1414" s="3">
        <v>3300</v>
      </c>
      <c r="G1414" s="2" t="s">
        <v>11</v>
      </c>
      <c r="H1414" s="2" t="s">
        <v>1939</v>
      </c>
      <c r="I1414" s="2" t="s">
        <v>238</v>
      </c>
    </row>
    <row r="1415" spans="1:9" ht="16" x14ac:dyDescent="0.8">
      <c r="A1415" s="2" t="s">
        <v>1965</v>
      </c>
      <c r="B1415" s="2" t="s">
        <v>677</v>
      </c>
      <c r="C1415" s="2" t="s">
        <v>678</v>
      </c>
      <c r="D1415" s="2" t="s">
        <v>678</v>
      </c>
      <c r="E1415" s="3">
        <v>2460</v>
      </c>
      <c r="F1415" s="3">
        <v>2460</v>
      </c>
      <c r="G1415" s="2" t="s">
        <v>196</v>
      </c>
      <c r="H1415" s="2" t="s">
        <v>1939</v>
      </c>
      <c r="I1415" s="2" t="s">
        <v>238</v>
      </c>
    </row>
    <row r="1416" spans="1:9" ht="16" x14ac:dyDescent="0.8">
      <c r="A1416" s="2" t="s">
        <v>1965</v>
      </c>
      <c r="B1416" s="2" t="s">
        <v>769</v>
      </c>
      <c r="C1416" s="2" t="s">
        <v>770</v>
      </c>
      <c r="D1416" s="2" t="s">
        <v>770</v>
      </c>
      <c r="E1416" s="3">
        <v>3720</v>
      </c>
      <c r="F1416" s="3">
        <v>3720</v>
      </c>
      <c r="G1416" s="2" t="s">
        <v>196</v>
      </c>
      <c r="H1416" s="2" t="s">
        <v>1939</v>
      </c>
      <c r="I1416" s="2" t="s">
        <v>238</v>
      </c>
    </row>
    <row r="1417" spans="1:9" ht="16" x14ac:dyDescent="0.8">
      <c r="A1417" s="2" t="s">
        <v>1965</v>
      </c>
      <c r="B1417" s="2" t="s">
        <v>1512</v>
      </c>
      <c r="C1417" s="2" t="s">
        <v>1513</v>
      </c>
      <c r="D1417" s="2" t="s">
        <v>1513</v>
      </c>
      <c r="E1417" s="3">
        <v>10000</v>
      </c>
      <c r="F1417" s="3">
        <v>10000</v>
      </c>
      <c r="G1417" s="2" t="s">
        <v>196</v>
      </c>
      <c r="H1417" s="2" t="s">
        <v>1939</v>
      </c>
      <c r="I1417" s="2" t="s">
        <v>238</v>
      </c>
    </row>
    <row r="1418" spans="1:9" ht="16" x14ac:dyDescent="0.8">
      <c r="A1418" s="2" t="s">
        <v>1966</v>
      </c>
      <c r="B1418" s="2" t="s">
        <v>368</v>
      </c>
      <c r="C1418" s="2" t="s">
        <v>199</v>
      </c>
      <c r="D1418" s="2" t="s">
        <v>199</v>
      </c>
      <c r="E1418" s="3">
        <v>2292</v>
      </c>
      <c r="F1418" s="3">
        <v>2292</v>
      </c>
      <c r="G1418" s="2" t="s">
        <v>11</v>
      </c>
      <c r="H1418" s="2" t="s">
        <v>1939</v>
      </c>
      <c r="I1418" s="2" t="s">
        <v>201</v>
      </c>
    </row>
    <row r="1419" spans="1:9" ht="16" x14ac:dyDescent="0.8">
      <c r="A1419" s="2" t="s">
        <v>1966</v>
      </c>
      <c r="B1419" s="2" t="s">
        <v>1036</v>
      </c>
      <c r="C1419" s="2" t="s">
        <v>1037</v>
      </c>
      <c r="D1419" s="2" t="s">
        <v>1037</v>
      </c>
      <c r="E1419" s="3">
        <v>16998</v>
      </c>
      <c r="F1419" s="3">
        <v>16998</v>
      </c>
      <c r="G1419" s="2" t="s">
        <v>11</v>
      </c>
      <c r="H1419" s="2" t="s">
        <v>1939</v>
      </c>
      <c r="I1419" s="2" t="s">
        <v>201</v>
      </c>
    </row>
    <row r="1420" spans="1:9" ht="16" x14ac:dyDescent="0.8">
      <c r="A1420" s="2" t="s">
        <v>1966</v>
      </c>
      <c r="B1420" s="2" t="s">
        <v>371</v>
      </c>
      <c r="C1420" s="2" t="s">
        <v>372</v>
      </c>
      <c r="D1420" s="2" t="s">
        <v>372</v>
      </c>
      <c r="E1420" s="3">
        <v>2310</v>
      </c>
      <c r="F1420" s="3">
        <v>2310</v>
      </c>
      <c r="G1420" s="2" t="s">
        <v>11</v>
      </c>
      <c r="H1420" s="2" t="s">
        <v>1939</v>
      </c>
      <c r="I1420" s="2" t="s">
        <v>201</v>
      </c>
    </row>
    <row r="1421" spans="1:9" ht="16" x14ac:dyDescent="0.8">
      <c r="A1421" s="2" t="s">
        <v>1966</v>
      </c>
      <c r="B1421" s="2" t="s">
        <v>373</v>
      </c>
      <c r="C1421" s="2" t="s">
        <v>374</v>
      </c>
      <c r="D1421" s="2" t="s">
        <v>374</v>
      </c>
      <c r="E1421" s="3">
        <v>1074</v>
      </c>
      <c r="F1421" s="3">
        <v>1074</v>
      </c>
      <c r="G1421" s="2" t="s">
        <v>11</v>
      </c>
      <c r="H1421" s="2" t="s">
        <v>1939</v>
      </c>
      <c r="I1421" s="2" t="s">
        <v>201</v>
      </c>
    </row>
    <row r="1422" spans="1:9" ht="16" x14ac:dyDescent="0.8">
      <c r="A1422" s="2" t="s">
        <v>1967</v>
      </c>
      <c r="B1422" s="2" t="s">
        <v>1192</v>
      </c>
      <c r="C1422" s="2" t="s">
        <v>1193</v>
      </c>
      <c r="D1422" s="2" t="s">
        <v>1193</v>
      </c>
      <c r="E1422" s="3">
        <v>5000400</v>
      </c>
      <c r="F1422" s="3">
        <v>5000400</v>
      </c>
      <c r="G1422" s="2" t="s">
        <v>11</v>
      </c>
      <c r="H1422" s="2" t="s">
        <v>1968</v>
      </c>
      <c r="I1422" s="2" t="s">
        <v>550</v>
      </c>
    </row>
    <row r="1423" spans="1:9" ht="16" x14ac:dyDescent="0.8">
      <c r="A1423" s="2" t="s">
        <v>1969</v>
      </c>
      <c r="B1423" s="2" t="s">
        <v>418</v>
      </c>
      <c r="C1423" s="2" t="s">
        <v>337</v>
      </c>
      <c r="D1423" s="2" t="s">
        <v>337</v>
      </c>
      <c r="E1423" s="3">
        <v>40698</v>
      </c>
      <c r="F1423" s="3">
        <v>40698</v>
      </c>
      <c r="G1423" s="2" t="s">
        <v>11</v>
      </c>
      <c r="H1423" s="2" t="s">
        <v>1968</v>
      </c>
      <c r="I1423" s="2" t="s">
        <v>201</v>
      </c>
    </row>
    <row r="1424" spans="1:9" ht="16" x14ac:dyDescent="0.8">
      <c r="A1424" s="2" t="s">
        <v>1970</v>
      </c>
      <c r="B1424" s="2" t="s">
        <v>1087</v>
      </c>
      <c r="C1424" s="2" t="s">
        <v>1088</v>
      </c>
      <c r="D1424" s="2" t="s">
        <v>1088</v>
      </c>
      <c r="E1424" s="3">
        <v>4712</v>
      </c>
      <c r="F1424" s="3">
        <v>4712</v>
      </c>
      <c r="G1424" s="2" t="s">
        <v>196</v>
      </c>
      <c r="H1424" s="2" t="s">
        <v>1971</v>
      </c>
      <c r="I1424" s="2" t="s">
        <v>17</v>
      </c>
    </row>
    <row r="1425" spans="1:9" ht="16" x14ac:dyDescent="0.8">
      <c r="A1425" s="2" t="s">
        <v>1970</v>
      </c>
      <c r="B1425" s="2" t="s">
        <v>1089</v>
      </c>
      <c r="C1425" s="2" t="s">
        <v>1090</v>
      </c>
      <c r="D1425" s="2" t="s">
        <v>1090</v>
      </c>
      <c r="E1425" s="3">
        <v>3918</v>
      </c>
      <c r="F1425" s="3">
        <v>0</v>
      </c>
      <c r="G1425" s="2" t="s">
        <v>196</v>
      </c>
      <c r="H1425" s="2" t="s">
        <v>1971</v>
      </c>
      <c r="I1425" s="2" t="s">
        <v>17</v>
      </c>
    </row>
    <row r="1426" spans="1:9" ht="16" x14ac:dyDescent="0.8">
      <c r="A1426" s="2" t="s">
        <v>1972</v>
      </c>
      <c r="B1426" s="2" t="s">
        <v>1973</v>
      </c>
      <c r="C1426" s="2" t="s">
        <v>1974</v>
      </c>
      <c r="D1426" s="2" t="s">
        <v>1974</v>
      </c>
      <c r="E1426" s="3">
        <v>67500</v>
      </c>
      <c r="F1426" s="3">
        <v>67500</v>
      </c>
      <c r="G1426" s="2" t="s">
        <v>11</v>
      </c>
      <c r="H1426" s="2" t="s">
        <v>1975</v>
      </c>
      <c r="I1426" s="2" t="s">
        <v>297</v>
      </c>
    </row>
    <row r="1427" spans="1:9" ht="16" x14ac:dyDescent="0.8">
      <c r="A1427" s="2" t="s">
        <v>1976</v>
      </c>
      <c r="B1427" s="2" t="s">
        <v>1973</v>
      </c>
      <c r="C1427" s="2" t="s">
        <v>1974</v>
      </c>
      <c r="D1427" s="2" t="s">
        <v>1974</v>
      </c>
      <c r="E1427" s="3">
        <v>67500</v>
      </c>
      <c r="F1427" s="3">
        <v>67500</v>
      </c>
      <c r="G1427" s="2" t="s">
        <v>11</v>
      </c>
      <c r="H1427" s="2" t="s">
        <v>1975</v>
      </c>
      <c r="I1427" s="2" t="s">
        <v>297</v>
      </c>
    </row>
    <row r="1428" spans="1:9" ht="16" x14ac:dyDescent="0.8">
      <c r="A1428" s="2" t="s">
        <v>1977</v>
      </c>
      <c r="B1428" s="2" t="s">
        <v>1973</v>
      </c>
      <c r="C1428" s="2" t="s">
        <v>1974</v>
      </c>
      <c r="D1428" s="2" t="s">
        <v>1974</v>
      </c>
      <c r="E1428" s="3">
        <v>40002</v>
      </c>
      <c r="F1428" s="3">
        <v>40002</v>
      </c>
      <c r="G1428" s="2" t="s">
        <v>11</v>
      </c>
      <c r="H1428" s="2" t="s">
        <v>1975</v>
      </c>
      <c r="I1428" s="2" t="s">
        <v>297</v>
      </c>
    </row>
    <row r="1429" spans="1:9" ht="16" x14ac:dyDescent="0.8">
      <c r="A1429" s="2" t="s">
        <v>1978</v>
      </c>
      <c r="B1429" s="2" t="s">
        <v>1973</v>
      </c>
      <c r="C1429" s="2" t="s">
        <v>1974</v>
      </c>
      <c r="D1429" s="2" t="s">
        <v>1974</v>
      </c>
      <c r="E1429" s="3">
        <v>45000</v>
      </c>
      <c r="F1429" s="3">
        <v>45000</v>
      </c>
      <c r="G1429" s="2" t="s">
        <v>11</v>
      </c>
      <c r="H1429" s="2" t="s">
        <v>1975</v>
      </c>
      <c r="I1429" s="2" t="s">
        <v>297</v>
      </c>
    </row>
    <row r="1430" spans="1:9" ht="16" x14ac:dyDescent="0.8">
      <c r="A1430" s="2" t="s">
        <v>1979</v>
      </c>
      <c r="B1430" s="2" t="s">
        <v>1484</v>
      </c>
      <c r="C1430" s="2" t="s">
        <v>1485</v>
      </c>
      <c r="D1430" s="2" t="s">
        <v>1485</v>
      </c>
      <c r="E1430" s="3">
        <v>14544</v>
      </c>
      <c r="F1430" s="3">
        <v>14544</v>
      </c>
      <c r="G1430" s="2" t="s">
        <v>11</v>
      </c>
      <c r="H1430" s="2" t="s">
        <v>1980</v>
      </c>
      <c r="I1430" s="2" t="s">
        <v>1486</v>
      </c>
    </row>
    <row r="1431" spans="1:9" ht="16" x14ac:dyDescent="0.8">
      <c r="A1431" s="2" t="s">
        <v>1979</v>
      </c>
      <c r="B1431" s="2" t="s">
        <v>1488</v>
      </c>
      <c r="C1431" s="2" t="s">
        <v>1489</v>
      </c>
      <c r="D1431" s="2" t="s">
        <v>1489</v>
      </c>
      <c r="E1431" s="3">
        <v>15504</v>
      </c>
      <c r="F1431" s="3">
        <v>15504</v>
      </c>
      <c r="G1431" s="2" t="s">
        <v>11</v>
      </c>
      <c r="H1431" s="2" t="s">
        <v>1980</v>
      </c>
      <c r="I1431" s="2" t="s">
        <v>1486</v>
      </c>
    </row>
    <row r="1432" spans="1:9" ht="16" x14ac:dyDescent="0.8">
      <c r="A1432" s="2" t="s">
        <v>1981</v>
      </c>
      <c r="B1432" s="2" t="s">
        <v>1982</v>
      </c>
      <c r="C1432" s="2" t="s">
        <v>1983</v>
      </c>
      <c r="D1432" s="2" t="s">
        <v>1983</v>
      </c>
      <c r="E1432" s="3">
        <v>546900</v>
      </c>
      <c r="F1432" s="3">
        <v>546900</v>
      </c>
      <c r="G1432" s="2" t="s">
        <v>196</v>
      </c>
      <c r="H1432" s="2" t="s">
        <v>1980</v>
      </c>
      <c r="I1432" s="2" t="s">
        <v>743</v>
      </c>
    </row>
    <row r="1433" spans="1:9" ht="16" x14ac:dyDescent="0.8">
      <c r="A1433" s="2" t="s">
        <v>1981</v>
      </c>
      <c r="B1433" s="2" t="s">
        <v>1984</v>
      </c>
      <c r="C1433" s="2" t="s">
        <v>1985</v>
      </c>
      <c r="D1433" s="2" t="s">
        <v>1985</v>
      </c>
      <c r="E1433" s="3">
        <v>563640</v>
      </c>
      <c r="F1433" s="3">
        <v>1350</v>
      </c>
      <c r="G1433" s="2" t="s">
        <v>196</v>
      </c>
      <c r="H1433" s="2" t="s">
        <v>1980</v>
      </c>
      <c r="I1433" s="2" t="s">
        <v>743</v>
      </c>
    </row>
    <row r="1434" spans="1:9" ht="16" x14ac:dyDescent="0.8">
      <c r="A1434" s="2" t="s">
        <v>1981</v>
      </c>
      <c r="B1434" s="2" t="s">
        <v>1986</v>
      </c>
      <c r="C1434" s="2" t="s">
        <v>1987</v>
      </c>
      <c r="D1434" s="2" t="s">
        <v>1987</v>
      </c>
      <c r="E1434" s="3">
        <v>569220</v>
      </c>
      <c r="F1434" s="3">
        <v>569220</v>
      </c>
      <c r="G1434" s="2" t="s">
        <v>196</v>
      </c>
      <c r="H1434" s="2" t="s">
        <v>1980</v>
      </c>
      <c r="I1434" s="2" t="s">
        <v>743</v>
      </c>
    </row>
    <row r="1435" spans="1:9" ht="16" x14ac:dyDescent="0.8">
      <c r="A1435" s="2" t="s">
        <v>1981</v>
      </c>
      <c r="B1435" s="2" t="s">
        <v>1988</v>
      </c>
      <c r="C1435" s="2" t="s">
        <v>1989</v>
      </c>
      <c r="D1435" s="2" t="s">
        <v>1989</v>
      </c>
      <c r="E1435" s="3">
        <v>546900</v>
      </c>
      <c r="F1435" s="3">
        <v>546900</v>
      </c>
      <c r="G1435" s="2" t="s">
        <v>196</v>
      </c>
      <c r="H1435" s="2" t="s">
        <v>1980</v>
      </c>
      <c r="I1435" s="2" t="s">
        <v>743</v>
      </c>
    </row>
    <row r="1436" spans="1:9" ht="16" x14ac:dyDescent="0.8">
      <c r="A1436" s="2" t="s">
        <v>1981</v>
      </c>
      <c r="B1436" s="2" t="s">
        <v>1990</v>
      </c>
      <c r="C1436" s="2" t="s">
        <v>1991</v>
      </c>
      <c r="D1436" s="2" t="s">
        <v>1991</v>
      </c>
      <c r="E1436" s="3">
        <v>597150</v>
      </c>
      <c r="F1436" s="3">
        <v>1350</v>
      </c>
      <c r="G1436" s="2" t="s">
        <v>196</v>
      </c>
      <c r="H1436" s="2" t="s">
        <v>1980</v>
      </c>
      <c r="I1436" s="2" t="s">
        <v>743</v>
      </c>
    </row>
    <row r="1437" spans="1:9" ht="16" x14ac:dyDescent="0.8">
      <c r="A1437" s="2" t="s">
        <v>1981</v>
      </c>
      <c r="B1437" s="2" t="s">
        <v>1992</v>
      </c>
      <c r="C1437" s="2" t="s">
        <v>1993</v>
      </c>
      <c r="D1437" s="2" t="s">
        <v>1993</v>
      </c>
      <c r="E1437" s="3">
        <v>580410</v>
      </c>
      <c r="F1437" s="3">
        <v>1350</v>
      </c>
      <c r="G1437" s="2" t="s">
        <v>196</v>
      </c>
      <c r="H1437" s="2" t="s">
        <v>1980</v>
      </c>
      <c r="I1437" s="2" t="s">
        <v>743</v>
      </c>
    </row>
    <row r="1438" spans="1:9" ht="16" x14ac:dyDescent="0.8">
      <c r="A1438" s="2" t="s">
        <v>1981</v>
      </c>
      <c r="B1438" s="2" t="s">
        <v>1994</v>
      </c>
      <c r="C1438" s="2" t="s">
        <v>1995</v>
      </c>
      <c r="D1438" s="2" t="s">
        <v>1995</v>
      </c>
      <c r="E1438" s="3">
        <v>20010</v>
      </c>
      <c r="F1438" s="3">
        <v>20010</v>
      </c>
      <c r="G1438" s="2" t="s">
        <v>196</v>
      </c>
      <c r="H1438" s="2" t="s">
        <v>1980</v>
      </c>
      <c r="I1438" s="2" t="s">
        <v>743</v>
      </c>
    </row>
    <row r="1439" spans="1:9" ht="16" x14ac:dyDescent="0.8">
      <c r="A1439" s="2" t="s">
        <v>1981</v>
      </c>
      <c r="B1439" s="2" t="s">
        <v>1996</v>
      </c>
      <c r="C1439" s="2" t="s">
        <v>1997</v>
      </c>
      <c r="D1439" s="2" t="s">
        <v>1997</v>
      </c>
      <c r="E1439" s="3">
        <v>20010</v>
      </c>
      <c r="F1439" s="3">
        <v>20010</v>
      </c>
      <c r="G1439" s="2" t="s">
        <v>196</v>
      </c>
      <c r="H1439" s="2" t="s">
        <v>1980</v>
      </c>
      <c r="I1439" s="2" t="s">
        <v>743</v>
      </c>
    </row>
    <row r="1440" spans="1:9" ht="16" x14ac:dyDescent="0.8">
      <c r="A1440" s="2" t="s">
        <v>1981</v>
      </c>
      <c r="B1440" s="2" t="s">
        <v>1998</v>
      </c>
      <c r="C1440" s="2" t="s">
        <v>1999</v>
      </c>
      <c r="D1440" s="2" t="s">
        <v>1999</v>
      </c>
      <c r="E1440" s="3">
        <v>20010</v>
      </c>
      <c r="F1440" s="3">
        <v>20010</v>
      </c>
      <c r="G1440" s="2" t="s">
        <v>196</v>
      </c>
      <c r="H1440" s="2" t="s">
        <v>1980</v>
      </c>
      <c r="I1440" s="2" t="s">
        <v>743</v>
      </c>
    </row>
    <row r="1441" spans="1:9" ht="16" x14ac:dyDescent="0.8">
      <c r="A1441" s="2" t="s">
        <v>1981</v>
      </c>
      <c r="B1441" s="2" t="s">
        <v>2000</v>
      </c>
      <c r="C1441" s="2" t="s">
        <v>2001</v>
      </c>
      <c r="D1441" s="2" t="s">
        <v>2001</v>
      </c>
      <c r="E1441" s="3">
        <v>20010</v>
      </c>
      <c r="F1441" s="3">
        <v>20010</v>
      </c>
      <c r="G1441" s="2" t="s">
        <v>196</v>
      </c>
      <c r="H1441" s="2" t="s">
        <v>1980</v>
      </c>
      <c r="I1441" s="2" t="s">
        <v>743</v>
      </c>
    </row>
    <row r="1442" spans="1:9" ht="16" x14ac:dyDescent="0.8">
      <c r="A1442" s="2" t="s">
        <v>1981</v>
      </c>
      <c r="B1442" s="2" t="s">
        <v>2002</v>
      </c>
      <c r="C1442" s="2" t="s">
        <v>2003</v>
      </c>
      <c r="D1442" s="2" t="s">
        <v>2003</v>
      </c>
      <c r="E1442" s="3">
        <v>20010</v>
      </c>
      <c r="F1442" s="3">
        <v>20010</v>
      </c>
      <c r="G1442" s="2" t="s">
        <v>196</v>
      </c>
      <c r="H1442" s="2" t="s">
        <v>1980</v>
      </c>
      <c r="I1442" s="2" t="s">
        <v>743</v>
      </c>
    </row>
    <row r="1443" spans="1:9" ht="16" x14ac:dyDescent="0.8">
      <c r="A1443" s="2" t="s">
        <v>1981</v>
      </c>
      <c r="B1443" s="2" t="s">
        <v>2004</v>
      </c>
      <c r="C1443" s="2" t="s">
        <v>2005</v>
      </c>
      <c r="D1443" s="2" t="s">
        <v>2005</v>
      </c>
      <c r="E1443" s="3">
        <v>20010</v>
      </c>
      <c r="F1443" s="3">
        <v>20010</v>
      </c>
      <c r="G1443" s="2" t="s">
        <v>196</v>
      </c>
      <c r="H1443" s="2" t="s">
        <v>1980</v>
      </c>
      <c r="I1443" s="2" t="s">
        <v>743</v>
      </c>
    </row>
    <row r="1444" spans="1:9" ht="16" x14ac:dyDescent="0.8">
      <c r="A1444" s="2" t="s">
        <v>2006</v>
      </c>
      <c r="B1444" s="2" t="s">
        <v>1222</v>
      </c>
      <c r="C1444" s="2" t="s">
        <v>1223</v>
      </c>
      <c r="D1444" s="2" t="s">
        <v>1223</v>
      </c>
      <c r="E1444" s="3">
        <v>13</v>
      </c>
      <c r="F1444" s="3">
        <v>13</v>
      </c>
      <c r="G1444" s="2" t="s">
        <v>11</v>
      </c>
      <c r="H1444" s="2" t="s">
        <v>2007</v>
      </c>
      <c r="I1444" s="2" t="s">
        <v>63</v>
      </c>
    </row>
    <row r="1445" spans="1:9" ht="16" x14ac:dyDescent="0.8">
      <c r="A1445" s="2" t="s">
        <v>2006</v>
      </c>
      <c r="B1445" s="2" t="s">
        <v>1229</v>
      </c>
      <c r="C1445" s="2" t="s">
        <v>1230</v>
      </c>
      <c r="D1445" s="2" t="s">
        <v>1230</v>
      </c>
      <c r="E1445" s="3">
        <v>1</v>
      </c>
      <c r="F1445" s="3">
        <v>1</v>
      </c>
      <c r="G1445" s="2" t="s">
        <v>11</v>
      </c>
      <c r="H1445" s="2" t="s">
        <v>2007</v>
      </c>
      <c r="I1445" s="2" t="s">
        <v>63</v>
      </c>
    </row>
    <row r="1446" spans="1:9" ht="16" x14ac:dyDescent="0.8">
      <c r="A1446" s="2" t="s">
        <v>2006</v>
      </c>
      <c r="B1446" s="2" t="s">
        <v>1227</v>
      </c>
      <c r="C1446" s="2" t="s">
        <v>1228</v>
      </c>
      <c r="D1446" s="2" t="s">
        <v>1228</v>
      </c>
      <c r="E1446" s="3">
        <v>6</v>
      </c>
      <c r="F1446" s="3">
        <v>6</v>
      </c>
      <c r="G1446" s="2" t="s">
        <v>11</v>
      </c>
      <c r="H1446" s="2" t="s">
        <v>2007</v>
      </c>
      <c r="I1446" s="2" t="s">
        <v>63</v>
      </c>
    </row>
    <row r="1447" spans="1:9" ht="16" x14ac:dyDescent="0.8">
      <c r="A1447" s="2" t="s">
        <v>2006</v>
      </c>
      <c r="B1447" s="2" t="s">
        <v>1225</v>
      </c>
      <c r="C1447" s="2" t="s">
        <v>1226</v>
      </c>
      <c r="D1447" s="2" t="s">
        <v>1226</v>
      </c>
      <c r="E1447" s="3">
        <v>4</v>
      </c>
      <c r="F1447" s="3">
        <v>4</v>
      </c>
      <c r="G1447" s="2" t="s">
        <v>11</v>
      </c>
      <c r="H1447" s="2" t="s">
        <v>2007</v>
      </c>
      <c r="I1447" s="2" t="s">
        <v>63</v>
      </c>
    </row>
    <row r="1448" spans="1:9" ht="16" x14ac:dyDescent="0.8">
      <c r="A1448" s="2" t="s">
        <v>2008</v>
      </c>
      <c r="B1448" s="2" t="s">
        <v>1176</v>
      </c>
      <c r="C1448" s="2" t="s">
        <v>1177</v>
      </c>
      <c r="D1448" s="2" t="s">
        <v>1177</v>
      </c>
      <c r="E1448" s="3">
        <v>22194</v>
      </c>
      <c r="F1448" s="3">
        <v>22176</v>
      </c>
      <c r="G1448" s="2" t="s">
        <v>11</v>
      </c>
      <c r="H1448" s="2" t="s">
        <v>2007</v>
      </c>
      <c r="I1448" s="2" t="s">
        <v>297</v>
      </c>
    </row>
    <row r="1449" spans="1:9" ht="16" x14ac:dyDescent="0.8">
      <c r="A1449" s="2" t="s">
        <v>2009</v>
      </c>
      <c r="B1449" s="2" t="s">
        <v>1107</v>
      </c>
      <c r="C1449" s="2" t="s">
        <v>1108</v>
      </c>
      <c r="D1449" s="2" t="s">
        <v>1108</v>
      </c>
      <c r="E1449" s="3">
        <v>15930</v>
      </c>
      <c r="F1449" s="3">
        <v>15930</v>
      </c>
      <c r="G1449" s="2" t="s">
        <v>11</v>
      </c>
      <c r="H1449" s="2" t="s">
        <v>2007</v>
      </c>
      <c r="I1449" s="2" t="s">
        <v>201</v>
      </c>
    </row>
    <row r="1450" spans="1:9" ht="16" x14ac:dyDescent="0.8">
      <c r="A1450" s="2" t="s">
        <v>2009</v>
      </c>
      <c r="B1450" s="2" t="s">
        <v>1842</v>
      </c>
      <c r="C1450" s="2" t="s">
        <v>1843</v>
      </c>
      <c r="D1450" s="2" t="s">
        <v>1843</v>
      </c>
      <c r="E1450" s="3">
        <v>6186</v>
      </c>
      <c r="F1450" s="3">
        <v>6186</v>
      </c>
      <c r="G1450" s="2" t="s">
        <v>11</v>
      </c>
      <c r="H1450" s="2" t="s">
        <v>2007</v>
      </c>
      <c r="I1450" s="2" t="s">
        <v>201</v>
      </c>
    </row>
    <row r="1451" spans="1:9" ht="16" x14ac:dyDescent="0.8">
      <c r="A1451" s="2" t="s">
        <v>2009</v>
      </c>
      <c r="B1451" s="2" t="s">
        <v>1143</v>
      </c>
      <c r="C1451" s="2" t="s">
        <v>199</v>
      </c>
      <c r="D1451" s="2" t="s">
        <v>199</v>
      </c>
      <c r="E1451" s="3">
        <v>4128</v>
      </c>
      <c r="F1451" s="3">
        <v>4128</v>
      </c>
      <c r="G1451" s="2" t="s">
        <v>11</v>
      </c>
      <c r="H1451" s="2" t="s">
        <v>2007</v>
      </c>
      <c r="I1451" s="2" t="s">
        <v>201</v>
      </c>
    </row>
    <row r="1452" spans="1:9" ht="16" x14ac:dyDescent="0.8">
      <c r="A1452" s="2" t="s">
        <v>2010</v>
      </c>
      <c r="B1452" s="2" t="s">
        <v>394</v>
      </c>
      <c r="C1452" s="2" t="s">
        <v>395</v>
      </c>
      <c r="D1452" s="2" t="s">
        <v>395</v>
      </c>
      <c r="E1452" s="3">
        <v>7128</v>
      </c>
      <c r="F1452" s="3">
        <v>7128</v>
      </c>
      <c r="G1452" s="2" t="s">
        <v>196</v>
      </c>
      <c r="H1452" s="2" t="s">
        <v>2011</v>
      </c>
      <c r="I1452" s="2" t="s">
        <v>256</v>
      </c>
    </row>
    <row r="1453" spans="1:9" ht="16" x14ac:dyDescent="0.8">
      <c r="A1453" s="2" t="s">
        <v>2012</v>
      </c>
      <c r="B1453" s="2" t="s">
        <v>677</v>
      </c>
      <c r="C1453" s="2" t="s">
        <v>678</v>
      </c>
      <c r="D1453" s="2" t="s">
        <v>678</v>
      </c>
      <c r="E1453" s="3">
        <v>6180</v>
      </c>
      <c r="F1453" s="3">
        <v>6180</v>
      </c>
      <c r="G1453" s="2" t="s">
        <v>11</v>
      </c>
      <c r="H1453" s="2" t="s">
        <v>2011</v>
      </c>
      <c r="I1453" s="2" t="s">
        <v>238</v>
      </c>
    </row>
    <row r="1454" spans="1:9" ht="16" x14ac:dyDescent="0.8">
      <c r="A1454" s="2" t="s">
        <v>2012</v>
      </c>
      <c r="B1454" s="2" t="s">
        <v>1964</v>
      </c>
      <c r="C1454" s="2" t="s">
        <v>685</v>
      </c>
      <c r="D1454" s="2" t="s">
        <v>685</v>
      </c>
      <c r="E1454" s="3">
        <v>3500</v>
      </c>
      <c r="F1454" s="3">
        <v>3500</v>
      </c>
      <c r="G1454" s="2" t="s">
        <v>11</v>
      </c>
      <c r="H1454" s="2" t="s">
        <v>2011</v>
      </c>
      <c r="I1454" s="2" t="s">
        <v>238</v>
      </c>
    </row>
    <row r="1455" spans="1:9" ht="16" x14ac:dyDescent="0.8">
      <c r="A1455" s="2" t="s">
        <v>2009</v>
      </c>
      <c r="B1455" s="2" t="s">
        <v>1101</v>
      </c>
      <c r="C1455" s="2" t="s">
        <v>1102</v>
      </c>
      <c r="D1455" s="2" t="s">
        <v>1102</v>
      </c>
      <c r="E1455" s="3">
        <v>3000</v>
      </c>
      <c r="F1455" s="3">
        <v>3000</v>
      </c>
      <c r="G1455" s="2" t="s">
        <v>11</v>
      </c>
      <c r="H1455" s="2" t="s">
        <v>2007</v>
      </c>
      <c r="I1455" s="2" t="s">
        <v>201</v>
      </c>
    </row>
    <row r="1456" spans="1:9" ht="16" x14ac:dyDescent="0.8">
      <c r="A1456" s="2" t="s">
        <v>2013</v>
      </c>
      <c r="B1456" s="2" t="s">
        <v>2014</v>
      </c>
      <c r="C1456" s="2" t="s">
        <v>2015</v>
      </c>
      <c r="D1456" s="2" t="s">
        <v>2015</v>
      </c>
      <c r="E1456" s="3">
        <v>12096</v>
      </c>
      <c r="F1456" s="3">
        <v>0</v>
      </c>
      <c r="G1456" s="2" t="s">
        <v>196</v>
      </c>
      <c r="H1456" s="2" t="s">
        <v>2016</v>
      </c>
      <c r="I1456" s="2" t="s">
        <v>1957</v>
      </c>
    </row>
    <row r="1457" spans="1:9" ht="16" x14ac:dyDescent="0.8">
      <c r="A1457" s="2" t="s">
        <v>2017</v>
      </c>
      <c r="B1457" s="2" t="s">
        <v>1362</v>
      </c>
      <c r="C1457" s="2" t="s">
        <v>1362</v>
      </c>
      <c r="D1457" s="2" t="s">
        <v>1362</v>
      </c>
      <c r="E1457" s="3">
        <v>492</v>
      </c>
      <c r="F1457" s="3">
        <v>492</v>
      </c>
      <c r="G1457" s="2" t="s">
        <v>196</v>
      </c>
      <c r="H1457" s="2" t="s">
        <v>2016</v>
      </c>
      <c r="I1457" s="2" t="s">
        <v>238</v>
      </c>
    </row>
    <row r="1458" spans="1:9" ht="16" x14ac:dyDescent="0.8">
      <c r="A1458" s="2" t="s">
        <v>2017</v>
      </c>
      <c r="B1458" s="2" t="s">
        <v>1363</v>
      </c>
      <c r="C1458" s="2" t="s">
        <v>1363</v>
      </c>
      <c r="D1458" s="2" t="s">
        <v>1363</v>
      </c>
      <c r="E1458" s="3">
        <v>492</v>
      </c>
      <c r="F1458" s="3">
        <v>492</v>
      </c>
      <c r="G1458" s="2" t="s">
        <v>196</v>
      </c>
      <c r="H1458" s="2" t="s">
        <v>2016</v>
      </c>
      <c r="I1458" s="2" t="s">
        <v>238</v>
      </c>
    </row>
    <row r="1459" spans="1:9" ht="16" x14ac:dyDescent="0.8">
      <c r="A1459" s="2" t="s">
        <v>2017</v>
      </c>
      <c r="B1459" s="2" t="s">
        <v>1364</v>
      </c>
      <c r="C1459" s="2" t="s">
        <v>1364</v>
      </c>
      <c r="D1459" s="2" t="s">
        <v>1364</v>
      </c>
      <c r="E1459" s="3">
        <v>750</v>
      </c>
      <c r="F1459" s="3">
        <v>0</v>
      </c>
      <c r="G1459" s="2" t="s">
        <v>196</v>
      </c>
      <c r="H1459" s="2" t="s">
        <v>2016</v>
      </c>
      <c r="I1459" s="2" t="s">
        <v>238</v>
      </c>
    </row>
    <row r="1460" spans="1:9" ht="16" x14ac:dyDescent="0.8">
      <c r="A1460" s="2" t="s">
        <v>2017</v>
      </c>
      <c r="B1460" s="2" t="s">
        <v>1881</v>
      </c>
      <c r="C1460" s="2" t="s">
        <v>1881</v>
      </c>
      <c r="D1460" s="2" t="s">
        <v>1881</v>
      </c>
      <c r="E1460" s="3">
        <v>1200</v>
      </c>
      <c r="F1460" s="3">
        <v>1200</v>
      </c>
      <c r="G1460" s="2" t="s">
        <v>196</v>
      </c>
      <c r="H1460" s="2" t="s">
        <v>2016</v>
      </c>
      <c r="I1460" s="2" t="s">
        <v>238</v>
      </c>
    </row>
    <row r="1461" spans="1:9" ht="16" x14ac:dyDescent="0.8">
      <c r="A1461" s="2" t="s">
        <v>2017</v>
      </c>
      <c r="B1461" s="2" t="s">
        <v>1365</v>
      </c>
      <c r="C1461" s="2" t="s">
        <v>1365</v>
      </c>
      <c r="D1461" s="2" t="s">
        <v>1365</v>
      </c>
      <c r="E1461" s="3">
        <v>480</v>
      </c>
      <c r="F1461" s="3">
        <v>0</v>
      </c>
      <c r="G1461" s="2" t="s">
        <v>196</v>
      </c>
      <c r="H1461" s="2" t="s">
        <v>2016</v>
      </c>
      <c r="I1461" s="2" t="s">
        <v>238</v>
      </c>
    </row>
    <row r="1462" spans="1:9" ht="16" x14ac:dyDescent="0.8">
      <c r="A1462" s="2" t="s">
        <v>2017</v>
      </c>
      <c r="B1462" s="2" t="s">
        <v>1366</v>
      </c>
      <c r="C1462" s="2" t="s">
        <v>1366</v>
      </c>
      <c r="D1462" s="2" t="s">
        <v>1366</v>
      </c>
      <c r="E1462" s="3">
        <v>480</v>
      </c>
      <c r="F1462" s="3">
        <v>0</v>
      </c>
      <c r="G1462" s="2" t="s">
        <v>196</v>
      </c>
      <c r="H1462" s="2" t="s">
        <v>2016</v>
      </c>
      <c r="I1462" s="2" t="s">
        <v>238</v>
      </c>
    </row>
    <row r="1463" spans="1:9" ht="16" x14ac:dyDescent="0.8">
      <c r="A1463" s="2" t="s">
        <v>2017</v>
      </c>
      <c r="B1463" s="2" t="s">
        <v>1367</v>
      </c>
      <c r="C1463" s="2" t="s">
        <v>1367</v>
      </c>
      <c r="D1463" s="2" t="s">
        <v>1367</v>
      </c>
      <c r="E1463" s="3">
        <v>660</v>
      </c>
      <c r="F1463" s="3">
        <v>500</v>
      </c>
      <c r="G1463" s="2" t="s">
        <v>196</v>
      </c>
      <c r="H1463" s="2" t="s">
        <v>2016</v>
      </c>
      <c r="I1463" s="2" t="s">
        <v>238</v>
      </c>
    </row>
    <row r="1464" spans="1:9" ht="16" x14ac:dyDescent="0.8">
      <c r="A1464" s="2" t="s">
        <v>2017</v>
      </c>
      <c r="B1464" s="2" t="s">
        <v>1368</v>
      </c>
      <c r="C1464" s="2" t="s">
        <v>1368</v>
      </c>
      <c r="D1464" s="2" t="s">
        <v>1368</v>
      </c>
      <c r="E1464" s="3">
        <v>660</v>
      </c>
      <c r="F1464" s="3">
        <v>750</v>
      </c>
      <c r="G1464" s="2" t="s">
        <v>196</v>
      </c>
      <c r="H1464" s="2" t="s">
        <v>2016</v>
      </c>
      <c r="I1464" s="2" t="s">
        <v>238</v>
      </c>
    </row>
    <row r="1465" spans="1:9" ht="16" x14ac:dyDescent="0.8">
      <c r="A1465" s="2" t="s">
        <v>2017</v>
      </c>
      <c r="B1465" s="2" t="s">
        <v>1882</v>
      </c>
      <c r="C1465" s="2" t="s">
        <v>1882</v>
      </c>
      <c r="D1465" s="2" t="s">
        <v>1882</v>
      </c>
      <c r="E1465" s="3">
        <v>1200</v>
      </c>
      <c r="F1465" s="3">
        <v>1200</v>
      </c>
      <c r="G1465" s="2" t="s">
        <v>196</v>
      </c>
      <c r="H1465" s="2" t="s">
        <v>2016</v>
      </c>
      <c r="I1465" s="2" t="s">
        <v>238</v>
      </c>
    </row>
    <row r="1466" spans="1:9" ht="16" x14ac:dyDescent="0.8">
      <c r="A1466" s="2" t="s">
        <v>2017</v>
      </c>
      <c r="B1466" s="2" t="s">
        <v>1887</v>
      </c>
      <c r="C1466" s="2" t="s">
        <v>1887</v>
      </c>
      <c r="D1466" s="2" t="s">
        <v>1887</v>
      </c>
      <c r="E1466" s="3">
        <v>372</v>
      </c>
      <c r="F1466" s="3">
        <v>160</v>
      </c>
      <c r="G1466" s="2" t="s">
        <v>196</v>
      </c>
      <c r="H1466" s="2" t="s">
        <v>2016</v>
      </c>
      <c r="I1466" s="2" t="s">
        <v>238</v>
      </c>
    </row>
    <row r="1467" spans="1:9" ht="16" x14ac:dyDescent="0.8">
      <c r="A1467" s="2" t="s">
        <v>2017</v>
      </c>
      <c r="B1467" s="2" t="s">
        <v>1888</v>
      </c>
      <c r="C1467" s="2" t="s">
        <v>1888</v>
      </c>
      <c r="D1467" s="2" t="s">
        <v>1888</v>
      </c>
      <c r="E1467" s="3">
        <v>372</v>
      </c>
      <c r="F1467" s="3">
        <v>300</v>
      </c>
      <c r="G1467" s="2" t="s">
        <v>196</v>
      </c>
      <c r="H1467" s="2" t="s">
        <v>2016</v>
      </c>
      <c r="I1467" s="2" t="s">
        <v>238</v>
      </c>
    </row>
    <row r="1468" spans="1:9" ht="16" x14ac:dyDescent="0.8">
      <c r="A1468" s="2" t="s">
        <v>2019</v>
      </c>
      <c r="B1468" s="2" t="s">
        <v>863</v>
      </c>
      <c r="C1468" s="2" t="s">
        <v>864</v>
      </c>
      <c r="D1468" s="2" t="s">
        <v>864</v>
      </c>
      <c r="E1468" s="3">
        <v>19530</v>
      </c>
      <c r="F1468" s="3">
        <v>19530</v>
      </c>
      <c r="G1468" s="2" t="s">
        <v>11</v>
      </c>
      <c r="H1468" s="2" t="s">
        <v>2018</v>
      </c>
      <c r="I1468" s="2" t="s">
        <v>168</v>
      </c>
    </row>
    <row r="1469" spans="1:9" ht="16" x14ac:dyDescent="0.8">
      <c r="A1469" s="2" t="s">
        <v>2019</v>
      </c>
      <c r="B1469" s="2" t="s">
        <v>865</v>
      </c>
      <c r="C1469" s="2" t="s">
        <v>866</v>
      </c>
      <c r="D1469" s="2" t="s">
        <v>866</v>
      </c>
      <c r="E1469" s="3">
        <v>21240</v>
      </c>
      <c r="F1469" s="3">
        <v>21240</v>
      </c>
      <c r="G1469" s="2" t="s">
        <v>11</v>
      </c>
      <c r="H1469" s="2" t="s">
        <v>2018</v>
      </c>
      <c r="I1469" s="2" t="s">
        <v>168</v>
      </c>
    </row>
    <row r="1470" spans="1:9" ht="16" x14ac:dyDescent="0.8">
      <c r="A1470" s="2" t="s">
        <v>2019</v>
      </c>
      <c r="B1470" s="2" t="s">
        <v>867</v>
      </c>
      <c r="C1470" s="2" t="s">
        <v>868</v>
      </c>
      <c r="D1470" s="2" t="s">
        <v>868</v>
      </c>
      <c r="E1470" s="3">
        <v>19560</v>
      </c>
      <c r="F1470" s="3">
        <v>19560</v>
      </c>
      <c r="G1470" s="2" t="s">
        <v>11</v>
      </c>
      <c r="H1470" s="2" t="s">
        <v>2018</v>
      </c>
      <c r="I1470" s="2" t="s">
        <v>168</v>
      </c>
    </row>
    <row r="1471" spans="1:9" ht="16" x14ac:dyDescent="0.8">
      <c r="A1471" s="2" t="s">
        <v>2019</v>
      </c>
      <c r="B1471" s="2" t="s">
        <v>1520</v>
      </c>
      <c r="C1471" s="2" t="s">
        <v>967</v>
      </c>
      <c r="D1471" s="2" t="s">
        <v>967</v>
      </c>
      <c r="E1471" s="3">
        <v>10344</v>
      </c>
      <c r="F1471" s="3">
        <v>10344</v>
      </c>
      <c r="G1471" s="2" t="s">
        <v>11</v>
      </c>
      <c r="H1471" s="2" t="s">
        <v>2018</v>
      </c>
      <c r="I1471" s="2" t="s">
        <v>168</v>
      </c>
    </row>
    <row r="1472" spans="1:9" ht="16" x14ac:dyDescent="0.8">
      <c r="A1472" s="2" t="s">
        <v>2021</v>
      </c>
      <c r="B1472" s="2" t="s">
        <v>1525</v>
      </c>
      <c r="C1472" s="2" t="s">
        <v>1526</v>
      </c>
      <c r="D1472" s="2" t="s">
        <v>1526</v>
      </c>
      <c r="E1472" s="3">
        <v>10564</v>
      </c>
      <c r="F1472" s="3">
        <v>0</v>
      </c>
      <c r="G1472" s="2" t="s">
        <v>196</v>
      </c>
      <c r="H1472" s="2" t="s">
        <v>2022</v>
      </c>
      <c r="I1472" s="2" t="s">
        <v>1353</v>
      </c>
    </row>
    <row r="1473" spans="1:9" ht="16" x14ac:dyDescent="0.8">
      <c r="A1473" s="2" t="s">
        <v>2021</v>
      </c>
      <c r="B1473" s="2" t="s">
        <v>1527</v>
      </c>
      <c r="C1473" s="2" t="s">
        <v>1528</v>
      </c>
      <c r="D1473" s="2" t="s">
        <v>1528</v>
      </c>
      <c r="E1473" s="3">
        <v>5340</v>
      </c>
      <c r="F1473" s="3">
        <v>0</v>
      </c>
      <c r="G1473" s="2" t="s">
        <v>196</v>
      </c>
      <c r="H1473" s="2" t="s">
        <v>2022</v>
      </c>
      <c r="I1473" s="2" t="s">
        <v>1353</v>
      </c>
    </row>
    <row r="1474" spans="1:9" ht="16" x14ac:dyDescent="0.8">
      <c r="A1474" s="2" t="s">
        <v>2021</v>
      </c>
      <c r="B1474" s="2" t="s">
        <v>1534</v>
      </c>
      <c r="C1474" s="2" t="s">
        <v>1535</v>
      </c>
      <c r="D1474" s="2" t="s">
        <v>1535</v>
      </c>
      <c r="E1474" s="3">
        <v>3008</v>
      </c>
      <c r="F1474" s="3">
        <v>0</v>
      </c>
      <c r="G1474" s="2" t="s">
        <v>196</v>
      </c>
      <c r="H1474" s="2" t="s">
        <v>2022</v>
      </c>
      <c r="I1474" s="2" t="s">
        <v>1353</v>
      </c>
    </row>
    <row r="1475" spans="1:9" ht="16" x14ac:dyDescent="0.8">
      <c r="A1475" s="2" t="s">
        <v>2021</v>
      </c>
      <c r="B1475" s="2" t="s">
        <v>1538</v>
      </c>
      <c r="C1475" s="2" t="s">
        <v>1539</v>
      </c>
      <c r="D1475" s="2" t="s">
        <v>1539</v>
      </c>
      <c r="E1475" s="3">
        <v>2172</v>
      </c>
      <c r="F1475" s="3">
        <v>0</v>
      </c>
      <c r="G1475" s="2" t="s">
        <v>196</v>
      </c>
      <c r="H1475" s="2" t="s">
        <v>2022</v>
      </c>
      <c r="I1475" s="2" t="s">
        <v>1353</v>
      </c>
    </row>
    <row r="1476" spans="1:9" ht="16" x14ac:dyDescent="0.8">
      <c r="A1476" s="2" t="s">
        <v>2023</v>
      </c>
      <c r="B1476" s="2" t="s">
        <v>1525</v>
      </c>
      <c r="C1476" s="2" t="s">
        <v>1526</v>
      </c>
      <c r="D1476" s="2" t="s">
        <v>1526</v>
      </c>
      <c r="E1476" s="3">
        <v>4164</v>
      </c>
      <c r="F1476" s="3">
        <v>0</v>
      </c>
      <c r="G1476" s="2" t="s">
        <v>196</v>
      </c>
      <c r="H1476" s="2" t="s">
        <v>2022</v>
      </c>
      <c r="I1476" s="2" t="s">
        <v>256</v>
      </c>
    </row>
    <row r="1477" spans="1:9" ht="16" x14ac:dyDescent="0.8">
      <c r="A1477" s="2" t="s">
        <v>2023</v>
      </c>
      <c r="B1477" s="2" t="s">
        <v>1527</v>
      </c>
      <c r="C1477" s="2" t="s">
        <v>1528</v>
      </c>
      <c r="D1477" s="2" t="s">
        <v>1528</v>
      </c>
      <c r="E1477" s="3">
        <v>5340</v>
      </c>
      <c r="F1477" s="3">
        <v>0</v>
      </c>
      <c r="G1477" s="2" t="s">
        <v>196</v>
      </c>
      <c r="H1477" s="2" t="s">
        <v>2022</v>
      </c>
      <c r="I1477" s="2" t="s">
        <v>256</v>
      </c>
    </row>
    <row r="1478" spans="1:9" ht="16" x14ac:dyDescent="0.8">
      <c r="A1478" s="2" t="s">
        <v>2023</v>
      </c>
      <c r="B1478" s="2" t="s">
        <v>1530</v>
      </c>
      <c r="C1478" s="2" t="s">
        <v>1531</v>
      </c>
      <c r="D1478" s="2" t="s">
        <v>1531</v>
      </c>
      <c r="E1478" s="3">
        <v>2892</v>
      </c>
      <c r="F1478" s="3">
        <v>0</v>
      </c>
      <c r="G1478" s="2" t="s">
        <v>196</v>
      </c>
      <c r="H1478" s="2" t="s">
        <v>2022</v>
      </c>
      <c r="I1478" s="2" t="s">
        <v>256</v>
      </c>
    </row>
    <row r="1479" spans="1:9" ht="16" x14ac:dyDescent="0.8">
      <c r="A1479" s="2" t="s">
        <v>2023</v>
      </c>
      <c r="B1479" s="2" t="s">
        <v>1532</v>
      </c>
      <c r="C1479" s="2" t="s">
        <v>1533</v>
      </c>
      <c r="D1479" s="2" t="s">
        <v>1533</v>
      </c>
      <c r="E1479" s="3">
        <v>4160</v>
      </c>
      <c r="F1479" s="3">
        <v>0</v>
      </c>
      <c r="G1479" s="2" t="s">
        <v>196</v>
      </c>
      <c r="H1479" s="2" t="s">
        <v>2022</v>
      </c>
      <c r="I1479" s="2" t="s">
        <v>256</v>
      </c>
    </row>
    <row r="1480" spans="1:9" ht="16" x14ac:dyDescent="0.8">
      <c r="A1480" s="2" t="s">
        <v>2023</v>
      </c>
      <c r="B1480" s="2" t="s">
        <v>1536</v>
      </c>
      <c r="C1480" s="2" t="s">
        <v>1537</v>
      </c>
      <c r="D1480" s="2" t="s">
        <v>1537</v>
      </c>
      <c r="E1480" s="3">
        <v>3260</v>
      </c>
      <c r="F1480" s="3">
        <v>0</v>
      </c>
      <c r="G1480" s="2" t="s">
        <v>196</v>
      </c>
      <c r="H1480" s="2" t="s">
        <v>2022</v>
      </c>
      <c r="I1480" s="2" t="s">
        <v>256</v>
      </c>
    </row>
    <row r="1481" spans="1:9" ht="16" x14ac:dyDescent="0.8">
      <c r="A1481" s="2" t="s">
        <v>2024</v>
      </c>
      <c r="B1481" s="2" t="s">
        <v>1332</v>
      </c>
      <c r="C1481" s="2" t="s">
        <v>1333</v>
      </c>
      <c r="D1481" s="2" t="s">
        <v>1333</v>
      </c>
      <c r="E1481" s="3">
        <v>5016</v>
      </c>
      <c r="F1481" s="3">
        <v>5016</v>
      </c>
      <c r="G1481" s="2" t="s">
        <v>11</v>
      </c>
      <c r="H1481" s="2" t="s">
        <v>2022</v>
      </c>
      <c r="I1481" s="2" t="s">
        <v>238</v>
      </c>
    </row>
    <row r="1482" spans="1:9" ht="16" x14ac:dyDescent="0.8">
      <c r="A1482" s="2" t="s">
        <v>2024</v>
      </c>
      <c r="B1482" s="2" t="s">
        <v>1334</v>
      </c>
      <c r="C1482" s="2" t="s">
        <v>1335</v>
      </c>
      <c r="D1482" s="2" t="s">
        <v>1335</v>
      </c>
      <c r="E1482" s="3">
        <v>4776</v>
      </c>
      <c r="F1482" s="3">
        <v>4776</v>
      </c>
      <c r="G1482" s="2" t="s">
        <v>11</v>
      </c>
      <c r="H1482" s="2" t="s">
        <v>2022</v>
      </c>
      <c r="I1482" s="2" t="s">
        <v>238</v>
      </c>
    </row>
    <row r="1483" spans="1:9" ht="16" x14ac:dyDescent="0.8">
      <c r="A1483" s="2" t="s">
        <v>2024</v>
      </c>
      <c r="B1483" s="2" t="s">
        <v>1340</v>
      </c>
      <c r="C1483" s="2" t="s">
        <v>1341</v>
      </c>
      <c r="D1483" s="2" t="s">
        <v>1341</v>
      </c>
      <c r="E1483" s="3">
        <v>4060</v>
      </c>
      <c r="F1483" s="3">
        <v>4060</v>
      </c>
      <c r="G1483" s="2" t="s">
        <v>11</v>
      </c>
      <c r="H1483" s="2" t="s">
        <v>2022</v>
      </c>
      <c r="I1483" s="2" t="s">
        <v>238</v>
      </c>
    </row>
    <row r="1484" spans="1:9" ht="16" x14ac:dyDescent="0.8">
      <c r="A1484" s="2" t="s">
        <v>2027</v>
      </c>
      <c r="B1484" s="2" t="s">
        <v>1452</v>
      </c>
      <c r="C1484" s="2" t="s">
        <v>1453</v>
      </c>
      <c r="D1484" s="2" t="s">
        <v>1453</v>
      </c>
      <c r="E1484" s="3">
        <v>45000</v>
      </c>
      <c r="F1484" s="3">
        <v>45000</v>
      </c>
      <c r="G1484" s="2" t="s">
        <v>11</v>
      </c>
      <c r="H1484" s="2" t="s">
        <v>2025</v>
      </c>
      <c r="I1484" s="2" t="s">
        <v>23</v>
      </c>
    </row>
    <row r="1485" spans="1:9" ht="16" x14ac:dyDescent="0.8">
      <c r="A1485" s="2" t="s">
        <v>2028</v>
      </c>
      <c r="B1485" s="2" t="s">
        <v>1445</v>
      </c>
      <c r="C1485" s="2" t="s">
        <v>1446</v>
      </c>
      <c r="D1485" s="2" t="s">
        <v>1446</v>
      </c>
      <c r="E1485" s="3">
        <v>60876</v>
      </c>
      <c r="F1485" s="3">
        <v>60876</v>
      </c>
      <c r="G1485" s="2" t="s">
        <v>11</v>
      </c>
      <c r="H1485" s="2" t="s">
        <v>2025</v>
      </c>
      <c r="I1485" s="2" t="s">
        <v>1444</v>
      </c>
    </row>
    <row r="1486" spans="1:9" ht="16" x14ac:dyDescent="0.8">
      <c r="A1486" s="2" t="s">
        <v>2028</v>
      </c>
      <c r="B1486" s="2" t="s">
        <v>1443</v>
      </c>
      <c r="C1486" s="2" t="s">
        <v>1425</v>
      </c>
      <c r="D1486" s="2" t="s">
        <v>1425</v>
      </c>
      <c r="E1486" s="3">
        <v>12918</v>
      </c>
      <c r="F1486" s="3">
        <v>12918</v>
      </c>
      <c r="G1486" s="2" t="s">
        <v>11</v>
      </c>
      <c r="H1486" s="2" t="s">
        <v>2025</v>
      </c>
      <c r="I1486" s="2" t="s">
        <v>1444</v>
      </c>
    </row>
    <row r="1487" spans="1:9" ht="16" x14ac:dyDescent="0.8">
      <c r="A1487" s="2" t="s">
        <v>2028</v>
      </c>
      <c r="B1487" s="2" t="s">
        <v>1447</v>
      </c>
      <c r="C1487" s="2" t="s">
        <v>1448</v>
      </c>
      <c r="D1487" s="2" t="s">
        <v>1448</v>
      </c>
      <c r="E1487" s="3">
        <v>11068</v>
      </c>
      <c r="F1487" s="3">
        <v>11068</v>
      </c>
      <c r="G1487" s="2" t="s">
        <v>11</v>
      </c>
      <c r="H1487" s="2" t="s">
        <v>2025</v>
      </c>
      <c r="I1487" s="2" t="s">
        <v>1444</v>
      </c>
    </row>
    <row r="1488" spans="1:9" ht="16" x14ac:dyDescent="0.8">
      <c r="A1488" s="2" t="s">
        <v>2028</v>
      </c>
      <c r="B1488" s="2" t="s">
        <v>1449</v>
      </c>
      <c r="C1488" s="2" t="s">
        <v>1450</v>
      </c>
      <c r="D1488" s="2" t="s">
        <v>1450</v>
      </c>
      <c r="E1488" s="3">
        <v>18450</v>
      </c>
      <c r="F1488" s="3">
        <v>18450</v>
      </c>
      <c r="G1488" s="2" t="s">
        <v>11</v>
      </c>
      <c r="H1488" s="2" t="s">
        <v>2025</v>
      </c>
      <c r="I1488" s="2" t="s">
        <v>1444</v>
      </c>
    </row>
    <row r="1489" spans="1:9" ht="16" x14ac:dyDescent="0.8">
      <c r="A1489" s="2" t="s">
        <v>2029</v>
      </c>
      <c r="B1489" s="2" t="s">
        <v>1437</v>
      </c>
      <c r="C1489" s="2" t="s">
        <v>1438</v>
      </c>
      <c r="D1489" s="2" t="s">
        <v>1438</v>
      </c>
      <c r="E1489" s="3">
        <v>19998</v>
      </c>
      <c r="F1489" s="3">
        <v>19998</v>
      </c>
      <c r="G1489" s="2" t="s">
        <v>11</v>
      </c>
      <c r="H1489" s="2" t="s">
        <v>2025</v>
      </c>
      <c r="I1489" s="2" t="s">
        <v>407</v>
      </c>
    </row>
    <row r="1490" spans="1:9" ht="16" x14ac:dyDescent="0.8">
      <c r="A1490" s="2" t="s">
        <v>2030</v>
      </c>
      <c r="B1490" s="2" t="s">
        <v>1437</v>
      </c>
      <c r="C1490" s="2" t="s">
        <v>1438</v>
      </c>
      <c r="D1490" s="2" t="s">
        <v>1438</v>
      </c>
      <c r="E1490" s="3">
        <v>21818</v>
      </c>
      <c r="F1490" s="3">
        <v>21822</v>
      </c>
      <c r="G1490" s="2" t="s">
        <v>196</v>
      </c>
      <c r="H1490" s="2" t="s">
        <v>2025</v>
      </c>
      <c r="I1490" s="2" t="s">
        <v>407</v>
      </c>
    </row>
    <row r="1491" spans="1:9" ht="16" x14ac:dyDescent="0.8">
      <c r="A1491" s="2" t="s">
        <v>2031</v>
      </c>
      <c r="B1491" s="2" t="s">
        <v>1452</v>
      </c>
      <c r="C1491" s="2" t="s">
        <v>1453</v>
      </c>
      <c r="D1491" s="2" t="s">
        <v>1453</v>
      </c>
      <c r="E1491" s="3">
        <v>21408</v>
      </c>
      <c r="F1491" s="3">
        <v>21408</v>
      </c>
      <c r="G1491" s="2" t="s">
        <v>11</v>
      </c>
      <c r="H1491" s="2" t="s">
        <v>2025</v>
      </c>
      <c r="I1491" s="2" t="s">
        <v>23</v>
      </c>
    </row>
    <row r="1492" spans="1:9" ht="16" x14ac:dyDescent="0.8">
      <c r="A1492" s="2" t="s">
        <v>2032</v>
      </c>
      <c r="B1492" s="2" t="s">
        <v>1445</v>
      </c>
      <c r="C1492" s="2" t="s">
        <v>1446</v>
      </c>
      <c r="D1492" s="2" t="s">
        <v>1446</v>
      </c>
      <c r="E1492" s="3">
        <v>20292</v>
      </c>
      <c r="F1492" s="3">
        <v>20292</v>
      </c>
      <c r="G1492" s="2" t="s">
        <v>11</v>
      </c>
      <c r="H1492" s="2" t="s">
        <v>2025</v>
      </c>
      <c r="I1492" s="2" t="s">
        <v>1444</v>
      </c>
    </row>
    <row r="1493" spans="1:9" ht="16" x14ac:dyDescent="0.8">
      <c r="A1493" s="2" t="s">
        <v>2032</v>
      </c>
      <c r="B1493" s="2" t="s">
        <v>1443</v>
      </c>
      <c r="C1493" s="2" t="s">
        <v>1425</v>
      </c>
      <c r="D1493" s="2" t="s">
        <v>1425</v>
      </c>
      <c r="E1493" s="3">
        <v>4308</v>
      </c>
      <c r="F1493" s="3">
        <v>4308</v>
      </c>
      <c r="G1493" s="2" t="s">
        <v>11</v>
      </c>
      <c r="H1493" s="2" t="s">
        <v>2025</v>
      </c>
      <c r="I1493" s="2" t="s">
        <v>1444</v>
      </c>
    </row>
    <row r="1494" spans="1:9" ht="16" x14ac:dyDescent="0.8">
      <c r="A1494" s="2" t="s">
        <v>2032</v>
      </c>
      <c r="B1494" s="2" t="s">
        <v>1447</v>
      </c>
      <c r="C1494" s="2" t="s">
        <v>1448</v>
      </c>
      <c r="D1494" s="2" t="s">
        <v>1448</v>
      </c>
      <c r="E1494" s="3">
        <v>3692</v>
      </c>
      <c r="F1494" s="3">
        <v>3692</v>
      </c>
      <c r="G1494" s="2" t="s">
        <v>11</v>
      </c>
      <c r="H1494" s="2" t="s">
        <v>2025</v>
      </c>
      <c r="I1494" s="2" t="s">
        <v>1444</v>
      </c>
    </row>
    <row r="1495" spans="1:9" ht="16" x14ac:dyDescent="0.8">
      <c r="A1495" s="2" t="s">
        <v>2032</v>
      </c>
      <c r="B1495" s="2" t="s">
        <v>1449</v>
      </c>
      <c r="C1495" s="2" t="s">
        <v>1450</v>
      </c>
      <c r="D1495" s="2" t="s">
        <v>1450</v>
      </c>
      <c r="E1495" s="3">
        <v>6150</v>
      </c>
      <c r="F1495" s="3">
        <v>6150</v>
      </c>
      <c r="G1495" s="2" t="s">
        <v>11</v>
      </c>
      <c r="H1495" s="2" t="s">
        <v>2025</v>
      </c>
      <c r="I1495" s="2" t="s">
        <v>1444</v>
      </c>
    </row>
    <row r="1496" spans="1:9" ht="16" x14ac:dyDescent="0.8">
      <c r="A1496" s="2" t="s">
        <v>2038</v>
      </c>
      <c r="B1496" s="2" t="s">
        <v>1525</v>
      </c>
      <c r="C1496" s="2" t="s">
        <v>1526</v>
      </c>
      <c r="D1496" s="2" t="s">
        <v>1526</v>
      </c>
      <c r="E1496" s="3">
        <v>29624</v>
      </c>
      <c r="F1496" s="3">
        <v>29624</v>
      </c>
      <c r="G1496" s="2" t="s">
        <v>11</v>
      </c>
      <c r="H1496" s="2" t="s">
        <v>2020</v>
      </c>
      <c r="I1496" s="2" t="s">
        <v>256</v>
      </c>
    </row>
    <row r="1497" spans="1:9" ht="16" x14ac:dyDescent="0.8">
      <c r="A1497" s="2" t="s">
        <v>2039</v>
      </c>
      <c r="B1497" s="2" t="s">
        <v>1527</v>
      </c>
      <c r="C1497" s="2" t="s">
        <v>1528</v>
      </c>
      <c r="D1497" s="2" t="s">
        <v>1528</v>
      </c>
      <c r="E1497" s="3">
        <v>5400</v>
      </c>
      <c r="F1497" s="3">
        <v>5400</v>
      </c>
      <c r="G1497" s="2" t="s">
        <v>196</v>
      </c>
      <c r="H1497" s="2" t="s">
        <v>2020</v>
      </c>
      <c r="I1497" s="2" t="s">
        <v>1353</v>
      </c>
    </row>
    <row r="1498" spans="1:9" ht="16" x14ac:dyDescent="0.8">
      <c r="A1498" s="2" t="s">
        <v>2039</v>
      </c>
      <c r="B1498" s="2" t="s">
        <v>1534</v>
      </c>
      <c r="C1498" s="2" t="s">
        <v>1535</v>
      </c>
      <c r="D1498" s="2" t="s">
        <v>1535</v>
      </c>
      <c r="E1498" s="3">
        <v>26732</v>
      </c>
      <c r="F1498" s="3">
        <v>15600</v>
      </c>
      <c r="G1498" s="2" t="s">
        <v>196</v>
      </c>
      <c r="H1498" s="2" t="s">
        <v>2020</v>
      </c>
      <c r="I1498" s="2" t="s">
        <v>1353</v>
      </c>
    </row>
    <row r="1499" spans="1:9" ht="16" x14ac:dyDescent="0.8">
      <c r="A1499" s="2" t="s">
        <v>2039</v>
      </c>
      <c r="B1499" s="2" t="s">
        <v>1538</v>
      </c>
      <c r="C1499" s="2" t="s">
        <v>1539</v>
      </c>
      <c r="D1499" s="2" t="s">
        <v>1539</v>
      </c>
      <c r="E1499" s="3">
        <v>18476</v>
      </c>
      <c r="F1499" s="3">
        <v>18476</v>
      </c>
      <c r="G1499" s="2" t="s">
        <v>196</v>
      </c>
      <c r="H1499" s="2" t="s">
        <v>2020</v>
      </c>
      <c r="I1499" s="2" t="s">
        <v>1353</v>
      </c>
    </row>
    <row r="1500" spans="1:9" ht="16" x14ac:dyDescent="0.8">
      <c r="A1500" s="2" t="s">
        <v>2041</v>
      </c>
      <c r="B1500" s="2" t="s">
        <v>1133</v>
      </c>
      <c r="C1500" s="2" t="s">
        <v>1134</v>
      </c>
      <c r="D1500" s="2" t="s">
        <v>1134</v>
      </c>
      <c r="E1500" s="3">
        <v>9672</v>
      </c>
      <c r="F1500" s="3">
        <v>9672</v>
      </c>
      <c r="G1500" s="2" t="s">
        <v>11</v>
      </c>
      <c r="H1500" s="2" t="s">
        <v>2020</v>
      </c>
      <c r="I1500" s="2" t="s">
        <v>1125</v>
      </c>
    </row>
    <row r="1501" spans="1:9" ht="16" x14ac:dyDescent="0.8">
      <c r="A1501" s="2" t="s">
        <v>2044</v>
      </c>
      <c r="B1501" s="2" t="s">
        <v>2045</v>
      </c>
      <c r="C1501" s="2" t="s">
        <v>2046</v>
      </c>
      <c r="D1501" s="2" t="s">
        <v>2046</v>
      </c>
      <c r="E1501" s="3">
        <v>15834</v>
      </c>
      <c r="F1501" s="3">
        <v>15834</v>
      </c>
      <c r="G1501" s="2" t="s">
        <v>11</v>
      </c>
      <c r="H1501" s="2" t="s">
        <v>2020</v>
      </c>
      <c r="I1501" s="2" t="s">
        <v>589</v>
      </c>
    </row>
    <row r="1502" spans="1:9" ht="16" x14ac:dyDescent="0.8">
      <c r="A1502" s="2" t="s">
        <v>2044</v>
      </c>
      <c r="B1502" s="2" t="s">
        <v>2047</v>
      </c>
      <c r="C1502" s="2" t="s">
        <v>2048</v>
      </c>
      <c r="D1502" s="2" t="s">
        <v>2048</v>
      </c>
      <c r="E1502" s="3">
        <v>16320</v>
      </c>
      <c r="F1502" s="3">
        <v>16320</v>
      </c>
      <c r="G1502" s="2" t="s">
        <v>11</v>
      </c>
      <c r="H1502" s="2" t="s">
        <v>2020</v>
      </c>
      <c r="I1502" s="2" t="s">
        <v>589</v>
      </c>
    </row>
    <row r="1503" spans="1:9" ht="16" x14ac:dyDescent="0.8">
      <c r="A1503" s="2" t="s">
        <v>2044</v>
      </c>
      <c r="B1503" s="2" t="s">
        <v>2049</v>
      </c>
      <c r="C1503" s="2" t="s">
        <v>2050</v>
      </c>
      <c r="D1503" s="2" t="s">
        <v>2050</v>
      </c>
      <c r="E1503" s="3">
        <v>12702</v>
      </c>
      <c r="F1503" s="3">
        <v>12702</v>
      </c>
      <c r="G1503" s="2" t="s">
        <v>11</v>
      </c>
      <c r="H1503" s="2" t="s">
        <v>2020</v>
      </c>
      <c r="I1503" s="2" t="s">
        <v>589</v>
      </c>
    </row>
    <row r="1504" spans="1:9" ht="16" x14ac:dyDescent="0.8">
      <c r="A1504" s="2" t="s">
        <v>2044</v>
      </c>
      <c r="B1504" s="2" t="s">
        <v>2051</v>
      </c>
      <c r="C1504" s="2" t="s">
        <v>2052</v>
      </c>
      <c r="D1504" s="2" t="s">
        <v>2052</v>
      </c>
      <c r="E1504" s="3">
        <v>8514</v>
      </c>
      <c r="F1504" s="3">
        <v>8514</v>
      </c>
      <c r="G1504" s="2" t="s">
        <v>11</v>
      </c>
      <c r="H1504" s="2" t="s">
        <v>2020</v>
      </c>
      <c r="I1504" s="2" t="s">
        <v>589</v>
      </c>
    </row>
    <row r="1505" spans="1:9" ht="16" x14ac:dyDescent="0.8">
      <c r="A1505" s="2" t="s">
        <v>2044</v>
      </c>
      <c r="B1505" s="2" t="s">
        <v>2053</v>
      </c>
      <c r="C1505" s="2" t="s">
        <v>2054</v>
      </c>
      <c r="D1505" s="2" t="s">
        <v>2054</v>
      </c>
      <c r="E1505" s="3">
        <v>16506</v>
      </c>
      <c r="F1505" s="3">
        <v>16506</v>
      </c>
      <c r="G1505" s="2" t="s">
        <v>11</v>
      </c>
      <c r="H1505" s="2" t="s">
        <v>2020</v>
      </c>
      <c r="I1505" s="2" t="s">
        <v>589</v>
      </c>
    </row>
    <row r="1506" spans="1:9" ht="16" x14ac:dyDescent="0.8">
      <c r="A1506" s="2" t="s">
        <v>2044</v>
      </c>
      <c r="B1506" s="2" t="s">
        <v>2055</v>
      </c>
      <c r="C1506" s="2" t="s">
        <v>2056</v>
      </c>
      <c r="D1506" s="2" t="s">
        <v>2056</v>
      </c>
      <c r="E1506" s="3">
        <v>16320</v>
      </c>
      <c r="F1506" s="3">
        <v>16320</v>
      </c>
      <c r="G1506" s="2" t="s">
        <v>11</v>
      </c>
      <c r="H1506" s="2" t="s">
        <v>2020</v>
      </c>
      <c r="I1506" s="2" t="s">
        <v>589</v>
      </c>
    </row>
    <row r="1507" spans="1:9" ht="16" x14ac:dyDescent="0.8">
      <c r="A1507" s="2" t="s">
        <v>2044</v>
      </c>
      <c r="B1507" s="2" t="s">
        <v>2057</v>
      </c>
      <c r="C1507" s="2" t="s">
        <v>2058</v>
      </c>
      <c r="D1507" s="2" t="s">
        <v>2058</v>
      </c>
      <c r="E1507" s="3">
        <v>12702</v>
      </c>
      <c r="F1507" s="3">
        <v>12702</v>
      </c>
      <c r="G1507" s="2" t="s">
        <v>11</v>
      </c>
      <c r="H1507" s="2" t="s">
        <v>2020</v>
      </c>
      <c r="I1507" s="2" t="s">
        <v>589</v>
      </c>
    </row>
    <row r="1508" spans="1:9" ht="16" x14ac:dyDescent="0.8">
      <c r="A1508" s="2" t="s">
        <v>2044</v>
      </c>
      <c r="B1508" s="2" t="s">
        <v>2059</v>
      </c>
      <c r="C1508" s="2" t="s">
        <v>2060</v>
      </c>
      <c r="D1508" s="2" t="s">
        <v>2060</v>
      </c>
      <c r="E1508" s="3">
        <v>8514</v>
      </c>
      <c r="F1508" s="3">
        <v>8514</v>
      </c>
      <c r="G1508" s="2" t="s">
        <v>11</v>
      </c>
      <c r="H1508" s="2" t="s">
        <v>2020</v>
      </c>
      <c r="I1508" s="2" t="s">
        <v>589</v>
      </c>
    </row>
    <row r="1509" spans="1:9" ht="16" x14ac:dyDescent="0.8">
      <c r="A1509" s="2" t="s">
        <v>2061</v>
      </c>
      <c r="B1509" s="2" t="s">
        <v>2062</v>
      </c>
      <c r="C1509" s="2" t="s">
        <v>2063</v>
      </c>
      <c r="D1509" s="2" t="s">
        <v>2063</v>
      </c>
      <c r="E1509" s="3">
        <v>15780</v>
      </c>
      <c r="F1509" s="3">
        <v>15780</v>
      </c>
      <c r="G1509" s="2" t="s">
        <v>11</v>
      </c>
      <c r="H1509" s="2" t="s">
        <v>2020</v>
      </c>
      <c r="I1509" s="2" t="s">
        <v>2064</v>
      </c>
    </row>
    <row r="1510" spans="1:9" ht="16" x14ac:dyDescent="0.8">
      <c r="A1510" s="2" t="s">
        <v>2065</v>
      </c>
      <c r="B1510" s="2" t="s">
        <v>2066</v>
      </c>
      <c r="C1510" s="2" t="s">
        <v>780</v>
      </c>
      <c r="D1510" s="2" t="s">
        <v>780</v>
      </c>
      <c r="E1510" s="3">
        <v>63108</v>
      </c>
      <c r="F1510" s="3">
        <v>63108</v>
      </c>
      <c r="G1510" s="2" t="s">
        <v>196</v>
      </c>
      <c r="H1510" s="2" t="s">
        <v>2020</v>
      </c>
      <c r="I1510" s="2" t="s">
        <v>201</v>
      </c>
    </row>
    <row r="1511" spans="1:9" ht="16" x14ac:dyDescent="0.8">
      <c r="A1511" s="2" t="s">
        <v>2065</v>
      </c>
      <c r="B1511" s="2" t="s">
        <v>2067</v>
      </c>
      <c r="C1511" s="2" t="s">
        <v>337</v>
      </c>
      <c r="D1511" s="2" t="s">
        <v>337</v>
      </c>
      <c r="E1511" s="3">
        <v>68364</v>
      </c>
      <c r="F1511" s="3">
        <v>68364</v>
      </c>
      <c r="G1511" s="2" t="s">
        <v>196</v>
      </c>
      <c r="H1511" s="2" t="s">
        <v>2020</v>
      </c>
      <c r="I1511" s="2" t="s">
        <v>201</v>
      </c>
    </row>
    <row r="1512" spans="1:9" ht="16" x14ac:dyDescent="0.8">
      <c r="A1512" s="2" t="s">
        <v>2065</v>
      </c>
      <c r="B1512" s="2" t="s">
        <v>2068</v>
      </c>
      <c r="C1512" s="2" t="s">
        <v>241</v>
      </c>
      <c r="D1512" s="2" t="s">
        <v>241</v>
      </c>
      <c r="E1512" s="3">
        <v>31554</v>
      </c>
      <c r="F1512" s="3">
        <v>31554</v>
      </c>
      <c r="G1512" s="2" t="s">
        <v>196</v>
      </c>
      <c r="H1512" s="2" t="s">
        <v>2020</v>
      </c>
      <c r="I1512" s="2" t="s">
        <v>201</v>
      </c>
    </row>
    <row r="1513" spans="1:9" ht="16" x14ac:dyDescent="0.8">
      <c r="A1513" s="2" t="s">
        <v>2065</v>
      </c>
      <c r="B1513" s="2" t="s">
        <v>2069</v>
      </c>
      <c r="C1513" s="2" t="s">
        <v>246</v>
      </c>
      <c r="D1513" s="2" t="s">
        <v>246</v>
      </c>
      <c r="E1513" s="3">
        <v>63108</v>
      </c>
      <c r="F1513" s="3">
        <v>63108</v>
      </c>
      <c r="G1513" s="2" t="s">
        <v>196</v>
      </c>
      <c r="H1513" s="2" t="s">
        <v>2020</v>
      </c>
      <c r="I1513" s="2" t="s">
        <v>201</v>
      </c>
    </row>
    <row r="1514" spans="1:9" ht="16" x14ac:dyDescent="0.8">
      <c r="A1514" s="2" t="s">
        <v>2065</v>
      </c>
      <c r="B1514" s="2" t="s">
        <v>2070</v>
      </c>
      <c r="C1514" s="2" t="s">
        <v>243</v>
      </c>
      <c r="D1514" s="2" t="s">
        <v>243</v>
      </c>
      <c r="E1514" s="3">
        <v>68364</v>
      </c>
      <c r="F1514" s="3">
        <v>68364</v>
      </c>
      <c r="G1514" s="2" t="s">
        <v>196</v>
      </c>
      <c r="H1514" s="2" t="s">
        <v>2020</v>
      </c>
      <c r="I1514" s="2" t="s">
        <v>201</v>
      </c>
    </row>
    <row r="1515" spans="1:9" ht="16" x14ac:dyDescent="0.8">
      <c r="A1515" s="2" t="s">
        <v>2065</v>
      </c>
      <c r="B1515" s="2" t="s">
        <v>2071</v>
      </c>
      <c r="C1515" s="2" t="s">
        <v>244</v>
      </c>
      <c r="D1515" s="2" t="s">
        <v>244</v>
      </c>
      <c r="E1515" s="3">
        <v>131466</v>
      </c>
      <c r="F1515" s="3">
        <v>131466</v>
      </c>
      <c r="G1515" s="2" t="s">
        <v>196</v>
      </c>
      <c r="H1515" s="2" t="s">
        <v>2020</v>
      </c>
      <c r="I1515" s="2" t="s">
        <v>201</v>
      </c>
    </row>
    <row r="1516" spans="1:9" ht="16" x14ac:dyDescent="0.8">
      <c r="A1516" s="2" t="s">
        <v>2065</v>
      </c>
      <c r="B1516" s="2" t="s">
        <v>2072</v>
      </c>
      <c r="C1516" s="2" t="s">
        <v>199</v>
      </c>
      <c r="D1516" s="2" t="s">
        <v>199</v>
      </c>
      <c r="E1516" s="3">
        <v>26298</v>
      </c>
      <c r="F1516" s="3">
        <v>26298</v>
      </c>
      <c r="G1516" s="2" t="s">
        <v>196</v>
      </c>
      <c r="H1516" s="2" t="s">
        <v>2020</v>
      </c>
      <c r="I1516" s="2" t="s">
        <v>201</v>
      </c>
    </row>
    <row r="1517" spans="1:9" ht="16" x14ac:dyDescent="0.8">
      <c r="A1517" s="2" t="s">
        <v>2065</v>
      </c>
      <c r="B1517" s="2" t="s">
        <v>2073</v>
      </c>
      <c r="C1517" s="2" t="s">
        <v>2074</v>
      </c>
      <c r="D1517" s="2" t="s">
        <v>2074</v>
      </c>
      <c r="E1517" s="3">
        <v>36810</v>
      </c>
      <c r="F1517" s="3">
        <v>36810</v>
      </c>
      <c r="G1517" s="2" t="s">
        <v>196</v>
      </c>
      <c r="H1517" s="2" t="s">
        <v>2020</v>
      </c>
      <c r="I1517" s="2" t="s">
        <v>201</v>
      </c>
    </row>
    <row r="1518" spans="1:9" ht="16" x14ac:dyDescent="0.8">
      <c r="A1518" s="2" t="s">
        <v>2075</v>
      </c>
      <c r="B1518" s="2" t="s">
        <v>1107</v>
      </c>
      <c r="C1518" s="2" t="s">
        <v>1108</v>
      </c>
      <c r="D1518" s="2" t="s">
        <v>1108</v>
      </c>
      <c r="E1518" s="3">
        <v>9840</v>
      </c>
      <c r="F1518" s="3">
        <v>9840</v>
      </c>
      <c r="G1518" s="2" t="s">
        <v>11</v>
      </c>
      <c r="H1518" s="2" t="s">
        <v>2076</v>
      </c>
      <c r="I1518" s="2" t="s">
        <v>201</v>
      </c>
    </row>
    <row r="1519" spans="1:9" ht="16" x14ac:dyDescent="0.8">
      <c r="A1519" s="2" t="s">
        <v>2075</v>
      </c>
      <c r="B1519" s="2" t="s">
        <v>1842</v>
      </c>
      <c r="C1519" s="2" t="s">
        <v>1843</v>
      </c>
      <c r="D1519" s="2" t="s">
        <v>1843</v>
      </c>
      <c r="E1519" s="3">
        <v>19920</v>
      </c>
      <c r="F1519" s="3">
        <v>19920</v>
      </c>
      <c r="G1519" s="2" t="s">
        <v>11</v>
      </c>
      <c r="H1519" s="2" t="s">
        <v>2076</v>
      </c>
      <c r="I1519" s="2" t="s">
        <v>201</v>
      </c>
    </row>
    <row r="1520" spans="1:9" ht="16" x14ac:dyDescent="0.8">
      <c r="A1520" s="2" t="s">
        <v>2075</v>
      </c>
      <c r="B1520" s="2" t="s">
        <v>1101</v>
      </c>
      <c r="C1520" s="2" t="s">
        <v>1102</v>
      </c>
      <c r="D1520" s="2" t="s">
        <v>1102</v>
      </c>
      <c r="E1520" s="3">
        <v>7944</v>
      </c>
      <c r="F1520" s="3">
        <v>7944</v>
      </c>
      <c r="G1520" s="2" t="s">
        <v>11</v>
      </c>
      <c r="H1520" s="2" t="s">
        <v>2076</v>
      </c>
      <c r="I1520" s="2" t="s">
        <v>201</v>
      </c>
    </row>
    <row r="1521" spans="1:9" ht="16" x14ac:dyDescent="0.8">
      <c r="A1521" s="2" t="s">
        <v>2075</v>
      </c>
      <c r="B1521" s="2" t="s">
        <v>1143</v>
      </c>
      <c r="C1521" s="2" t="s">
        <v>199</v>
      </c>
      <c r="D1521" s="2" t="s">
        <v>199</v>
      </c>
      <c r="E1521" s="3">
        <v>7038</v>
      </c>
      <c r="F1521" s="3">
        <v>7038</v>
      </c>
      <c r="G1521" s="2" t="s">
        <v>11</v>
      </c>
      <c r="H1521" s="2" t="s">
        <v>2076</v>
      </c>
      <c r="I1521" s="2" t="s">
        <v>201</v>
      </c>
    </row>
    <row r="1522" spans="1:9" ht="16" x14ac:dyDescent="0.8">
      <c r="A1522" s="2" t="s">
        <v>2075</v>
      </c>
      <c r="B1522" s="2" t="s">
        <v>1105</v>
      </c>
      <c r="C1522" s="2" t="s">
        <v>1106</v>
      </c>
      <c r="D1522" s="2" t="s">
        <v>1106</v>
      </c>
      <c r="E1522" s="3">
        <v>4998</v>
      </c>
      <c r="F1522" s="3">
        <v>4998</v>
      </c>
      <c r="G1522" s="2" t="s">
        <v>11</v>
      </c>
      <c r="H1522" s="2" t="s">
        <v>2076</v>
      </c>
      <c r="I1522" s="2" t="s">
        <v>201</v>
      </c>
    </row>
    <row r="1523" spans="1:9" ht="16" x14ac:dyDescent="0.8">
      <c r="A1523" s="2" t="s">
        <v>2077</v>
      </c>
      <c r="B1523" s="2" t="s">
        <v>1176</v>
      </c>
      <c r="C1523" s="2" t="s">
        <v>1177</v>
      </c>
      <c r="D1523" s="2" t="s">
        <v>1177</v>
      </c>
      <c r="E1523" s="3">
        <v>16776</v>
      </c>
      <c r="F1523" s="3">
        <v>16776</v>
      </c>
      <c r="G1523" s="2" t="s">
        <v>11</v>
      </c>
      <c r="H1523" s="2" t="s">
        <v>2076</v>
      </c>
      <c r="I1523" s="2" t="s">
        <v>297</v>
      </c>
    </row>
    <row r="1524" spans="1:9" ht="16" x14ac:dyDescent="0.8">
      <c r="A1524" s="2" t="s">
        <v>2078</v>
      </c>
      <c r="B1524" s="2" t="s">
        <v>2045</v>
      </c>
      <c r="C1524" s="2" t="s">
        <v>2046</v>
      </c>
      <c r="D1524" s="2" t="s">
        <v>2046</v>
      </c>
      <c r="E1524" s="3">
        <v>13434</v>
      </c>
      <c r="F1524" s="3">
        <v>13434</v>
      </c>
      <c r="G1524" s="2" t="s">
        <v>11</v>
      </c>
      <c r="H1524" s="2" t="s">
        <v>2076</v>
      </c>
      <c r="I1524" s="2" t="s">
        <v>589</v>
      </c>
    </row>
    <row r="1525" spans="1:9" ht="16" x14ac:dyDescent="0.8">
      <c r="A1525" s="2" t="s">
        <v>2078</v>
      </c>
      <c r="B1525" s="2" t="s">
        <v>2047</v>
      </c>
      <c r="C1525" s="2" t="s">
        <v>2048</v>
      </c>
      <c r="D1525" s="2" t="s">
        <v>2048</v>
      </c>
      <c r="E1525" s="3">
        <v>14364</v>
      </c>
      <c r="F1525" s="3">
        <v>14364</v>
      </c>
      <c r="G1525" s="2" t="s">
        <v>11</v>
      </c>
      <c r="H1525" s="2" t="s">
        <v>2076</v>
      </c>
      <c r="I1525" s="2" t="s">
        <v>589</v>
      </c>
    </row>
    <row r="1526" spans="1:9" ht="16" x14ac:dyDescent="0.8">
      <c r="A1526" s="2" t="s">
        <v>2078</v>
      </c>
      <c r="B1526" s="2" t="s">
        <v>2049</v>
      </c>
      <c r="C1526" s="2" t="s">
        <v>2050</v>
      </c>
      <c r="D1526" s="2" t="s">
        <v>2050</v>
      </c>
      <c r="E1526" s="3">
        <v>11124</v>
      </c>
      <c r="F1526" s="3">
        <v>11124</v>
      </c>
      <c r="G1526" s="2" t="s">
        <v>11</v>
      </c>
      <c r="H1526" s="2" t="s">
        <v>2076</v>
      </c>
      <c r="I1526" s="2" t="s">
        <v>589</v>
      </c>
    </row>
    <row r="1527" spans="1:9" ht="16" x14ac:dyDescent="0.8">
      <c r="A1527" s="2" t="s">
        <v>2078</v>
      </c>
      <c r="B1527" s="2" t="s">
        <v>2051</v>
      </c>
      <c r="C1527" s="2" t="s">
        <v>2052</v>
      </c>
      <c r="D1527" s="2" t="s">
        <v>2052</v>
      </c>
      <c r="E1527" s="3">
        <v>7416</v>
      </c>
      <c r="F1527" s="3">
        <v>7416</v>
      </c>
      <c r="G1527" s="2" t="s">
        <v>11</v>
      </c>
      <c r="H1527" s="2" t="s">
        <v>2076</v>
      </c>
      <c r="I1527" s="2" t="s">
        <v>589</v>
      </c>
    </row>
    <row r="1528" spans="1:9" ht="16" x14ac:dyDescent="0.8">
      <c r="A1528" s="2" t="s">
        <v>2078</v>
      </c>
      <c r="B1528" s="2" t="s">
        <v>2053</v>
      </c>
      <c r="C1528" s="2" t="s">
        <v>2054</v>
      </c>
      <c r="D1528" s="2" t="s">
        <v>2054</v>
      </c>
      <c r="E1528" s="3">
        <v>13434</v>
      </c>
      <c r="F1528" s="3">
        <v>13434</v>
      </c>
      <c r="G1528" s="2" t="s">
        <v>11</v>
      </c>
      <c r="H1528" s="2" t="s">
        <v>2076</v>
      </c>
      <c r="I1528" s="2" t="s">
        <v>589</v>
      </c>
    </row>
    <row r="1529" spans="1:9" ht="16" x14ac:dyDescent="0.8">
      <c r="A1529" s="2" t="s">
        <v>2078</v>
      </c>
      <c r="B1529" s="2" t="s">
        <v>2055</v>
      </c>
      <c r="C1529" s="2" t="s">
        <v>2056</v>
      </c>
      <c r="D1529" s="2" t="s">
        <v>2056</v>
      </c>
      <c r="E1529" s="3">
        <v>14364</v>
      </c>
      <c r="F1529" s="3">
        <v>14364</v>
      </c>
      <c r="G1529" s="2" t="s">
        <v>11</v>
      </c>
      <c r="H1529" s="2" t="s">
        <v>2076</v>
      </c>
      <c r="I1529" s="2" t="s">
        <v>589</v>
      </c>
    </row>
    <row r="1530" spans="1:9" ht="16" x14ac:dyDescent="0.8">
      <c r="A1530" s="2" t="s">
        <v>2078</v>
      </c>
      <c r="B1530" s="2" t="s">
        <v>2057</v>
      </c>
      <c r="C1530" s="2" t="s">
        <v>2058</v>
      </c>
      <c r="D1530" s="2" t="s">
        <v>2058</v>
      </c>
      <c r="E1530" s="3">
        <v>11124</v>
      </c>
      <c r="F1530" s="3">
        <v>11124</v>
      </c>
      <c r="G1530" s="2" t="s">
        <v>11</v>
      </c>
      <c r="H1530" s="2" t="s">
        <v>2076</v>
      </c>
      <c r="I1530" s="2" t="s">
        <v>589</v>
      </c>
    </row>
    <row r="1531" spans="1:9" ht="16" x14ac:dyDescent="0.8">
      <c r="A1531" s="2" t="s">
        <v>2078</v>
      </c>
      <c r="B1531" s="2" t="s">
        <v>2059</v>
      </c>
      <c r="C1531" s="2" t="s">
        <v>2060</v>
      </c>
      <c r="D1531" s="2" t="s">
        <v>2060</v>
      </c>
      <c r="E1531" s="3">
        <v>7416</v>
      </c>
      <c r="F1531" s="3">
        <v>7416</v>
      </c>
      <c r="G1531" s="2" t="s">
        <v>11</v>
      </c>
      <c r="H1531" s="2" t="s">
        <v>2076</v>
      </c>
      <c r="I1531" s="2" t="s">
        <v>589</v>
      </c>
    </row>
    <row r="1532" spans="1:9" ht="16" x14ac:dyDescent="0.8">
      <c r="A1532" s="2" t="s">
        <v>2080</v>
      </c>
      <c r="B1532" s="2" t="s">
        <v>1623</v>
      </c>
      <c r="C1532" s="2" t="s">
        <v>1624</v>
      </c>
      <c r="D1532" s="2" t="s">
        <v>1624</v>
      </c>
      <c r="E1532" s="3">
        <v>1</v>
      </c>
      <c r="F1532" s="3">
        <v>1</v>
      </c>
      <c r="G1532" s="2" t="s">
        <v>11</v>
      </c>
      <c r="H1532" s="2" t="s">
        <v>2076</v>
      </c>
      <c r="I1532" s="2" t="s">
        <v>1234</v>
      </c>
    </row>
    <row r="1533" spans="1:9" ht="16" x14ac:dyDescent="0.8">
      <c r="A1533" s="2" t="s">
        <v>2080</v>
      </c>
      <c r="B1533" s="2" t="s">
        <v>1615</v>
      </c>
      <c r="C1533" s="2" t="s">
        <v>1616</v>
      </c>
      <c r="D1533" s="2" t="s">
        <v>1616</v>
      </c>
      <c r="E1533" s="3">
        <v>1</v>
      </c>
      <c r="F1533" s="3">
        <v>1</v>
      </c>
      <c r="G1533" s="2" t="s">
        <v>11</v>
      </c>
      <c r="H1533" s="2" t="s">
        <v>2076</v>
      </c>
      <c r="I1533" s="2" t="s">
        <v>1234</v>
      </c>
    </row>
    <row r="1534" spans="1:9" ht="16" x14ac:dyDescent="0.8">
      <c r="A1534" s="2" t="s">
        <v>2080</v>
      </c>
      <c r="B1534" s="2" t="s">
        <v>1601</v>
      </c>
      <c r="C1534" s="2" t="s">
        <v>1602</v>
      </c>
      <c r="D1534" s="2" t="s">
        <v>1602</v>
      </c>
      <c r="E1534" s="3">
        <v>1</v>
      </c>
      <c r="F1534" s="3">
        <v>1</v>
      </c>
      <c r="G1534" s="2" t="s">
        <v>11</v>
      </c>
      <c r="H1534" s="2" t="s">
        <v>2076</v>
      </c>
      <c r="I1534" s="2" t="s">
        <v>1234</v>
      </c>
    </row>
    <row r="1535" spans="1:9" ht="16" x14ac:dyDescent="0.8">
      <c r="A1535" s="2" t="s">
        <v>2081</v>
      </c>
      <c r="B1535" s="2" t="s">
        <v>1708</v>
      </c>
      <c r="C1535" s="2" t="s">
        <v>1709</v>
      </c>
      <c r="D1535" s="2" t="s">
        <v>1709</v>
      </c>
      <c r="E1535" s="3">
        <v>5</v>
      </c>
      <c r="F1535" s="3">
        <v>5</v>
      </c>
      <c r="G1535" s="2" t="s">
        <v>11</v>
      </c>
      <c r="H1535" s="2" t="s">
        <v>2076</v>
      </c>
      <c r="I1535" s="2" t="s">
        <v>63</v>
      </c>
    </row>
    <row r="1536" spans="1:9" ht="16" x14ac:dyDescent="0.8">
      <c r="A1536" s="2" t="s">
        <v>2081</v>
      </c>
      <c r="B1536" s="2" t="s">
        <v>1640</v>
      </c>
      <c r="C1536" s="2" t="s">
        <v>1641</v>
      </c>
      <c r="D1536" s="2" t="s">
        <v>1641</v>
      </c>
      <c r="E1536" s="3">
        <v>1</v>
      </c>
      <c r="F1536" s="3">
        <v>1</v>
      </c>
      <c r="G1536" s="2" t="s">
        <v>11</v>
      </c>
      <c r="H1536" s="2" t="s">
        <v>2076</v>
      </c>
      <c r="I1536" s="2" t="s">
        <v>63</v>
      </c>
    </row>
    <row r="1537" spans="1:9" ht="16" x14ac:dyDescent="0.8">
      <c r="A1537" s="2" t="s">
        <v>2081</v>
      </c>
      <c r="B1537" s="2" t="s">
        <v>1710</v>
      </c>
      <c r="C1537" s="2" t="s">
        <v>1711</v>
      </c>
      <c r="D1537" s="2" t="s">
        <v>1711</v>
      </c>
      <c r="E1537" s="3">
        <v>3</v>
      </c>
      <c r="F1537" s="3">
        <v>0</v>
      </c>
      <c r="G1537" s="2" t="s">
        <v>11</v>
      </c>
      <c r="H1537" s="2" t="s">
        <v>2076</v>
      </c>
      <c r="I1537" s="2" t="s">
        <v>63</v>
      </c>
    </row>
    <row r="1538" spans="1:9" ht="16" x14ac:dyDescent="0.8">
      <c r="A1538" s="2" t="s">
        <v>2081</v>
      </c>
      <c r="B1538" s="2" t="s">
        <v>1676</v>
      </c>
      <c r="C1538" s="2" t="s">
        <v>1677</v>
      </c>
      <c r="D1538" s="2" t="s">
        <v>1677</v>
      </c>
      <c r="E1538" s="3">
        <v>1</v>
      </c>
      <c r="F1538" s="3">
        <v>1</v>
      </c>
      <c r="G1538" s="2" t="s">
        <v>11</v>
      </c>
      <c r="H1538" s="2" t="s">
        <v>2076</v>
      </c>
      <c r="I1538" s="2" t="s">
        <v>63</v>
      </c>
    </row>
    <row r="1539" spans="1:9" ht="16" x14ac:dyDescent="0.8">
      <c r="A1539" s="2" t="s">
        <v>2081</v>
      </c>
      <c r="B1539" s="2" t="s">
        <v>1680</v>
      </c>
      <c r="C1539" s="2" t="s">
        <v>1681</v>
      </c>
      <c r="D1539" s="2" t="s">
        <v>1681</v>
      </c>
      <c r="E1539" s="3">
        <v>1</v>
      </c>
      <c r="F1539" s="3">
        <v>1</v>
      </c>
      <c r="G1539" s="2" t="s">
        <v>11</v>
      </c>
      <c r="H1539" s="2" t="s">
        <v>2076</v>
      </c>
      <c r="I1539" s="2" t="s">
        <v>63</v>
      </c>
    </row>
    <row r="1540" spans="1:9" ht="16" x14ac:dyDescent="0.8">
      <c r="A1540" s="2" t="s">
        <v>2081</v>
      </c>
      <c r="B1540" s="2" t="s">
        <v>1630</v>
      </c>
      <c r="C1540" s="2" t="s">
        <v>1631</v>
      </c>
      <c r="D1540" s="2" t="s">
        <v>1631</v>
      </c>
      <c r="E1540" s="3">
        <v>5</v>
      </c>
      <c r="F1540" s="3">
        <v>5</v>
      </c>
      <c r="G1540" s="2" t="s">
        <v>11</v>
      </c>
      <c r="H1540" s="2" t="s">
        <v>2076</v>
      </c>
      <c r="I1540" s="2" t="s">
        <v>63</v>
      </c>
    </row>
    <row r="1541" spans="1:9" ht="16" x14ac:dyDescent="0.8">
      <c r="A1541" s="2" t="s">
        <v>2081</v>
      </c>
      <c r="B1541" s="2" t="s">
        <v>1690</v>
      </c>
      <c r="C1541" s="2" t="s">
        <v>1691</v>
      </c>
      <c r="D1541" s="2" t="s">
        <v>1691</v>
      </c>
      <c r="E1541" s="3">
        <v>1</v>
      </c>
      <c r="F1541" s="3">
        <v>1</v>
      </c>
      <c r="G1541" s="2" t="s">
        <v>11</v>
      </c>
      <c r="H1541" s="2" t="s">
        <v>2076</v>
      </c>
      <c r="I1541" s="2" t="s">
        <v>63</v>
      </c>
    </row>
    <row r="1542" spans="1:9" ht="16" x14ac:dyDescent="0.8">
      <c r="A1542" s="2" t="s">
        <v>2082</v>
      </c>
      <c r="B1542" s="2" t="s">
        <v>1806</v>
      </c>
      <c r="C1542" s="2" t="s">
        <v>1807</v>
      </c>
      <c r="D1542" s="2" t="s">
        <v>1807</v>
      </c>
      <c r="E1542" s="3">
        <v>15</v>
      </c>
      <c r="F1542" s="3">
        <v>8</v>
      </c>
      <c r="G1542" s="2" t="s">
        <v>196</v>
      </c>
      <c r="H1542" s="2" t="s">
        <v>2076</v>
      </c>
      <c r="I1542" s="2" t="s">
        <v>1274</v>
      </c>
    </row>
    <row r="1543" spans="1:9" ht="16" x14ac:dyDescent="0.8">
      <c r="A1543" s="2" t="s">
        <v>2082</v>
      </c>
      <c r="B1543" s="2" t="s">
        <v>1800</v>
      </c>
      <c r="C1543" s="2" t="s">
        <v>1801</v>
      </c>
      <c r="D1543" s="2" t="s">
        <v>1801</v>
      </c>
      <c r="E1543" s="3">
        <v>1</v>
      </c>
      <c r="F1543" s="3">
        <v>0</v>
      </c>
      <c r="G1543" s="2" t="s">
        <v>196</v>
      </c>
      <c r="H1543" s="2" t="s">
        <v>2076</v>
      </c>
      <c r="I1543" s="2" t="s">
        <v>1274</v>
      </c>
    </row>
    <row r="1544" spans="1:9" ht="16" x14ac:dyDescent="0.8">
      <c r="A1544" s="2" t="s">
        <v>2084</v>
      </c>
      <c r="B1544" s="2" t="s">
        <v>56</v>
      </c>
      <c r="C1544" s="2" t="s">
        <v>57</v>
      </c>
      <c r="D1544" s="2" t="s">
        <v>57</v>
      </c>
      <c r="E1544" s="3">
        <v>3</v>
      </c>
      <c r="F1544" s="3">
        <v>0</v>
      </c>
      <c r="G1544" s="2" t="s">
        <v>196</v>
      </c>
      <c r="H1544" s="2" t="s">
        <v>2085</v>
      </c>
      <c r="I1544" s="2" t="s">
        <v>53</v>
      </c>
    </row>
    <row r="1545" spans="1:9" ht="16" x14ac:dyDescent="0.8">
      <c r="A1545" s="2" t="s">
        <v>2084</v>
      </c>
      <c r="B1545" s="2" t="s">
        <v>51</v>
      </c>
      <c r="C1545" s="2" t="s">
        <v>52</v>
      </c>
      <c r="D1545" s="2" t="s">
        <v>52</v>
      </c>
      <c r="E1545" s="3">
        <v>2</v>
      </c>
      <c r="F1545" s="3">
        <v>2</v>
      </c>
      <c r="G1545" s="2" t="s">
        <v>196</v>
      </c>
      <c r="H1545" s="2" t="s">
        <v>2085</v>
      </c>
      <c r="I1545" s="2" t="s">
        <v>53</v>
      </c>
    </row>
    <row r="1546" spans="1:9" ht="16" x14ac:dyDescent="0.8">
      <c r="A1546" s="2" t="s">
        <v>2084</v>
      </c>
      <c r="B1546" s="2" t="s">
        <v>885</v>
      </c>
      <c r="C1546" s="2" t="s">
        <v>886</v>
      </c>
      <c r="D1546" s="2" t="s">
        <v>886</v>
      </c>
      <c r="E1546" s="3">
        <v>2</v>
      </c>
      <c r="F1546" s="3">
        <v>2</v>
      </c>
      <c r="G1546" s="2" t="s">
        <v>196</v>
      </c>
      <c r="H1546" s="2" t="s">
        <v>2085</v>
      </c>
      <c r="I1546" s="2" t="s">
        <v>53</v>
      </c>
    </row>
    <row r="1547" spans="1:9" ht="16" x14ac:dyDescent="0.8">
      <c r="A1547" s="2" t="s">
        <v>2086</v>
      </c>
      <c r="B1547" s="2" t="s">
        <v>665</v>
      </c>
      <c r="C1547" s="2" t="s">
        <v>666</v>
      </c>
      <c r="D1547" s="2" t="s">
        <v>666</v>
      </c>
      <c r="E1547" s="3">
        <v>1</v>
      </c>
      <c r="F1547" s="3">
        <v>1</v>
      </c>
      <c r="G1547" s="2" t="s">
        <v>11</v>
      </c>
      <c r="H1547" s="2" t="s">
        <v>2085</v>
      </c>
      <c r="I1547" s="2" t="s">
        <v>63</v>
      </c>
    </row>
    <row r="1548" spans="1:9" ht="16" x14ac:dyDescent="0.8">
      <c r="A1548" s="2" t="s">
        <v>2086</v>
      </c>
      <c r="B1548" s="2" t="s">
        <v>1310</v>
      </c>
      <c r="C1548" s="2" t="s">
        <v>1311</v>
      </c>
      <c r="D1548" s="2" t="s">
        <v>1311</v>
      </c>
      <c r="E1548" s="3">
        <v>1</v>
      </c>
      <c r="F1548" s="3">
        <v>1</v>
      </c>
      <c r="G1548" s="2" t="s">
        <v>11</v>
      </c>
      <c r="H1548" s="2" t="s">
        <v>2085</v>
      </c>
      <c r="I1548" s="2" t="s">
        <v>63</v>
      </c>
    </row>
    <row r="1549" spans="1:9" ht="16" x14ac:dyDescent="0.8">
      <c r="A1549" s="2" t="s">
        <v>2088</v>
      </c>
      <c r="B1549" s="2" t="s">
        <v>1525</v>
      </c>
      <c r="C1549" s="2" t="s">
        <v>1526</v>
      </c>
      <c r="D1549" s="2" t="s">
        <v>1526</v>
      </c>
      <c r="E1549" s="3">
        <v>15004</v>
      </c>
      <c r="F1549" s="3">
        <v>0</v>
      </c>
      <c r="G1549" s="2" t="s">
        <v>196</v>
      </c>
      <c r="H1549" s="2" t="s">
        <v>2085</v>
      </c>
      <c r="I1549" s="2" t="s">
        <v>256</v>
      </c>
    </row>
    <row r="1550" spans="1:9" ht="16" x14ac:dyDescent="0.8">
      <c r="A1550" s="2" t="s">
        <v>2088</v>
      </c>
      <c r="B1550" s="2" t="s">
        <v>1527</v>
      </c>
      <c r="C1550" s="2" t="s">
        <v>1528</v>
      </c>
      <c r="D1550" s="2" t="s">
        <v>1528</v>
      </c>
      <c r="E1550" s="3">
        <v>19276</v>
      </c>
      <c r="F1550" s="3">
        <v>0</v>
      </c>
      <c r="G1550" s="2" t="s">
        <v>196</v>
      </c>
      <c r="H1550" s="2" t="s">
        <v>2085</v>
      </c>
      <c r="I1550" s="2" t="s">
        <v>256</v>
      </c>
    </row>
    <row r="1551" spans="1:9" ht="16" x14ac:dyDescent="0.8">
      <c r="A1551" s="2" t="s">
        <v>2088</v>
      </c>
      <c r="B1551" s="2" t="s">
        <v>1530</v>
      </c>
      <c r="C1551" s="2" t="s">
        <v>1531</v>
      </c>
      <c r="D1551" s="2" t="s">
        <v>1531</v>
      </c>
      <c r="E1551" s="3">
        <v>10384</v>
      </c>
      <c r="F1551" s="3">
        <v>0</v>
      </c>
      <c r="G1551" s="2" t="s">
        <v>196</v>
      </c>
      <c r="H1551" s="2" t="s">
        <v>2085</v>
      </c>
      <c r="I1551" s="2" t="s">
        <v>256</v>
      </c>
    </row>
    <row r="1552" spans="1:9" ht="16" x14ac:dyDescent="0.8">
      <c r="A1552" s="2" t="s">
        <v>2088</v>
      </c>
      <c r="B1552" s="2" t="s">
        <v>1532</v>
      </c>
      <c r="C1552" s="2" t="s">
        <v>1533</v>
      </c>
      <c r="D1552" s="2" t="s">
        <v>1533</v>
      </c>
      <c r="E1552" s="3">
        <v>14972</v>
      </c>
      <c r="F1552" s="3">
        <v>0</v>
      </c>
      <c r="G1552" s="2" t="s">
        <v>196</v>
      </c>
      <c r="H1552" s="2" t="s">
        <v>2085</v>
      </c>
      <c r="I1552" s="2" t="s">
        <v>256</v>
      </c>
    </row>
    <row r="1553" spans="1:9" ht="16" x14ac:dyDescent="0.8">
      <c r="A1553" s="2" t="s">
        <v>2088</v>
      </c>
      <c r="B1553" s="2" t="s">
        <v>1536</v>
      </c>
      <c r="C1553" s="2" t="s">
        <v>1537</v>
      </c>
      <c r="D1553" s="2" t="s">
        <v>1537</v>
      </c>
      <c r="E1553" s="3">
        <v>11696</v>
      </c>
      <c r="F1553" s="3">
        <v>0</v>
      </c>
      <c r="G1553" s="2" t="s">
        <v>196</v>
      </c>
      <c r="H1553" s="2" t="s">
        <v>2085</v>
      </c>
      <c r="I1553" s="2" t="s">
        <v>256</v>
      </c>
    </row>
    <row r="1554" spans="1:9" ht="16" x14ac:dyDescent="0.8">
      <c r="A1554" s="2" t="s">
        <v>2091</v>
      </c>
      <c r="B1554" s="2" t="s">
        <v>2092</v>
      </c>
      <c r="C1554" s="2" t="s">
        <v>2093</v>
      </c>
      <c r="D1554" s="2" t="s">
        <v>2093</v>
      </c>
      <c r="E1554" s="3">
        <v>4608</v>
      </c>
      <c r="F1554" s="3">
        <v>4608</v>
      </c>
      <c r="G1554" s="2" t="s">
        <v>11</v>
      </c>
      <c r="H1554" s="2" t="s">
        <v>2037</v>
      </c>
      <c r="I1554" s="2" t="s">
        <v>437</v>
      </c>
    </row>
    <row r="1555" spans="1:9" ht="16" x14ac:dyDescent="0.8">
      <c r="A1555" s="2" t="s">
        <v>2094</v>
      </c>
      <c r="B1555" s="2" t="s">
        <v>2095</v>
      </c>
      <c r="C1555" s="2" t="s">
        <v>2096</v>
      </c>
      <c r="D1555" s="2" t="s">
        <v>2096</v>
      </c>
      <c r="E1555" s="3">
        <v>13110</v>
      </c>
      <c r="F1555" s="3">
        <v>13110</v>
      </c>
      <c r="G1555" s="2" t="s">
        <v>11</v>
      </c>
      <c r="H1555" s="2" t="s">
        <v>2037</v>
      </c>
      <c r="I1555" s="2" t="s">
        <v>201</v>
      </c>
    </row>
    <row r="1556" spans="1:9" ht="16" x14ac:dyDescent="0.8">
      <c r="A1556" s="2" t="s">
        <v>2097</v>
      </c>
      <c r="B1556" s="2" t="s">
        <v>1455</v>
      </c>
      <c r="C1556" s="2" t="s">
        <v>1456</v>
      </c>
      <c r="D1556" s="2" t="s">
        <v>1456</v>
      </c>
      <c r="E1556" s="3">
        <v>33964</v>
      </c>
      <c r="F1556" s="3">
        <v>33000</v>
      </c>
      <c r="G1556" s="2" t="s">
        <v>196</v>
      </c>
      <c r="H1556" s="2" t="s">
        <v>2037</v>
      </c>
      <c r="I1556" s="2" t="s">
        <v>1457</v>
      </c>
    </row>
    <row r="1557" spans="1:9" ht="16" x14ac:dyDescent="0.8">
      <c r="A1557" s="2" t="s">
        <v>2098</v>
      </c>
      <c r="B1557" s="2" t="s">
        <v>1440</v>
      </c>
      <c r="C1557" s="2" t="s">
        <v>1441</v>
      </c>
      <c r="D1557" s="2" t="s">
        <v>1441</v>
      </c>
      <c r="E1557" s="3">
        <v>62148</v>
      </c>
      <c r="F1557" s="3">
        <v>61110</v>
      </c>
      <c r="G1557" s="2" t="s">
        <v>196</v>
      </c>
      <c r="H1557" s="2" t="s">
        <v>2037</v>
      </c>
      <c r="I1557" s="2" t="s">
        <v>1386</v>
      </c>
    </row>
    <row r="1558" spans="1:9" ht="16" x14ac:dyDescent="0.8">
      <c r="A1558" s="2" t="s">
        <v>2099</v>
      </c>
      <c r="B1558" s="2" t="s">
        <v>1452</v>
      </c>
      <c r="C1558" s="2" t="s">
        <v>1453</v>
      </c>
      <c r="D1558" s="2" t="s">
        <v>1453</v>
      </c>
      <c r="E1558" s="3">
        <v>101400</v>
      </c>
      <c r="F1558" s="3">
        <v>101400</v>
      </c>
      <c r="G1558" s="2" t="s">
        <v>11</v>
      </c>
      <c r="H1558" s="2" t="s">
        <v>2037</v>
      </c>
      <c r="I1558" s="2" t="s">
        <v>23</v>
      </c>
    </row>
    <row r="1559" spans="1:9" ht="16" x14ac:dyDescent="0.8">
      <c r="A1559" s="2" t="s">
        <v>2100</v>
      </c>
      <c r="B1559" s="2" t="s">
        <v>1437</v>
      </c>
      <c r="C1559" s="2" t="s">
        <v>1438</v>
      </c>
      <c r="D1559" s="2" t="s">
        <v>1438</v>
      </c>
      <c r="E1559" s="3">
        <v>24534</v>
      </c>
      <c r="F1559" s="3">
        <v>24534</v>
      </c>
      <c r="G1559" s="2" t="s">
        <v>196</v>
      </c>
      <c r="H1559" s="2" t="s">
        <v>2037</v>
      </c>
      <c r="I1559" s="2" t="s">
        <v>407</v>
      </c>
    </row>
    <row r="1560" spans="1:9" ht="16" x14ac:dyDescent="0.8">
      <c r="A1560" s="2" t="s">
        <v>2101</v>
      </c>
      <c r="B1560" s="2" t="s">
        <v>1443</v>
      </c>
      <c r="C1560" s="2" t="s">
        <v>1425</v>
      </c>
      <c r="D1560" s="2" t="s">
        <v>1425</v>
      </c>
      <c r="E1560" s="3">
        <v>25770</v>
      </c>
      <c r="F1560" s="3">
        <v>0</v>
      </c>
      <c r="G1560" s="2" t="s">
        <v>196</v>
      </c>
      <c r="H1560" s="2" t="s">
        <v>2037</v>
      </c>
      <c r="I1560" s="2" t="s">
        <v>1444</v>
      </c>
    </row>
    <row r="1561" spans="1:9" ht="16" x14ac:dyDescent="0.8">
      <c r="A1561" s="2" t="s">
        <v>2101</v>
      </c>
      <c r="B1561" s="2" t="s">
        <v>1445</v>
      </c>
      <c r="C1561" s="2" t="s">
        <v>1446</v>
      </c>
      <c r="D1561" s="2" t="s">
        <v>1446</v>
      </c>
      <c r="E1561" s="3">
        <v>6540</v>
      </c>
      <c r="F1561" s="3">
        <v>0</v>
      </c>
      <c r="G1561" s="2" t="s">
        <v>196</v>
      </c>
      <c r="H1561" s="2" t="s">
        <v>2037</v>
      </c>
      <c r="I1561" s="2" t="s">
        <v>1444</v>
      </c>
    </row>
    <row r="1562" spans="1:9" ht="16" x14ac:dyDescent="0.8">
      <c r="A1562" s="2" t="s">
        <v>2101</v>
      </c>
      <c r="B1562" s="2" t="s">
        <v>1447</v>
      </c>
      <c r="C1562" s="2" t="s">
        <v>1448</v>
      </c>
      <c r="D1562" s="2" t="s">
        <v>1448</v>
      </c>
      <c r="E1562" s="3">
        <v>68688</v>
      </c>
      <c r="F1562" s="3">
        <v>0</v>
      </c>
      <c r="G1562" s="2" t="s">
        <v>196</v>
      </c>
      <c r="H1562" s="2" t="s">
        <v>2037</v>
      </c>
      <c r="I1562" s="2" t="s">
        <v>1444</v>
      </c>
    </row>
    <row r="1563" spans="1:9" ht="16" x14ac:dyDescent="0.8">
      <c r="A1563" s="2" t="s">
        <v>2101</v>
      </c>
      <c r="B1563" s="2" t="s">
        <v>1449</v>
      </c>
      <c r="C1563" s="2" t="s">
        <v>1450</v>
      </c>
      <c r="D1563" s="2" t="s">
        <v>1450</v>
      </c>
      <c r="E1563" s="3">
        <v>3276</v>
      </c>
      <c r="F1563" s="3">
        <v>0</v>
      </c>
      <c r="G1563" s="2" t="s">
        <v>196</v>
      </c>
      <c r="H1563" s="2" t="s">
        <v>2037</v>
      </c>
      <c r="I1563" s="2" t="s">
        <v>1444</v>
      </c>
    </row>
    <row r="1564" spans="1:9" ht="16" x14ac:dyDescent="0.8">
      <c r="A1564" s="2" t="s">
        <v>2102</v>
      </c>
      <c r="B1564" s="2" t="s">
        <v>1525</v>
      </c>
      <c r="C1564" s="2" t="s">
        <v>1526</v>
      </c>
      <c r="D1564" s="2" t="s">
        <v>1526</v>
      </c>
      <c r="E1564" s="3">
        <v>15008</v>
      </c>
      <c r="F1564" s="3">
        <v>0</v>
      </c>
      <c r="G1564" s="2" t="s">
        <v>196</v>
      </c>
      <c r="H1564" s="2" t="s">
        <v>2037</v>
      </c>
      <c r="I1564" s="2" t="s">
        <v>1353</v>
      </c>
    </row>
    <row r="1565" spans="1:9" ht="16" x14ac:dyDescent="0.8">
      <c r="A1565" s="2" t="s">
        <v>2102</v>
      </c>
      <c r="B1565" s="2" t="s">
        <v>1527</v>
      </c>
      <c r="C1565" s="2" t="s">
        <v>1528</v>
      </c>
      <c r="D1565" s="2" t="s">
        <v>1528</v>
      </c>
      <c r="E1565" s="3">
        <v>19280</v>
      </c>
      <c r="F1565" s="3">
        <v>0</v>
      </c>
      <c r="G1565" s="2" t="s">
        <v>196</v>
      </c>
      <c r="H1565" s="2" t="s">
        <v>2037</v>
      </c>
      <c r="I1565" s="2" t="s">
        <v>1353</v>
      </c>
    </row>
    <row r="1566" spans="1:9" ht="16" x14ac:dyDescent="0.8">
      <c r="A1566" s="2" t="s">
        <v>2102</v>
      </c>
      <c r="B1566" s="2" t="s">
        <v>1534</v>
      </c>
      <c r="C1566" s="2" t="s">
        <v>1535</v>
      </c>
      <c r="D1566" s="2" t="s">
        <v>1535</v>
      </c>
      <c r="E1566" s="3">
        <v>11696</v>
      </c>
      <c r="F1566" s="3">
        <v>0</v>
      </c>
      <c r="G1566" s="2" t="s">
        <v>196</v>
      </c>
      <c r="H1566" s="2" t="s">
        <v>2037</v>
      </c>
      <c r="I1566" s="2" t="s">
        <v>1353</v>
      </c>
    </row>
    <row r="1567" spans="1:9" ht="16" x14ac:dyDescent="0.8">
      <c r="A1567" s="2" t="s">
        <v>2102</v>
      </c>
      <c r="B1567" s="2" t="s">
        <v>1538</v>
      </c>
      <c r="C1567" s="2" t="s">
        <v>1539</v>
      </c>
      <c r="D1567" s="2" t="s">
        <v>1539</v>
      </c>
      <c r="E1567" s="3">
        <v>7764</v>
      </c>
      <c r="F1567" s="3">
        <v>0</v>
      </c>
      <c r="G1567" s="2" t="s">
        <v>196</v>
      </c>
      <c r="H1567" s="2" t="s">
        <v>2037</v>
      </c>
      <c r="I1567" s="2" t="s">
        <v>1353</v>
      </c>
    </row>
    <row r="1568" spans="1:9" ht="16" x14ac:dyDescent="0.8">
      <c r="A1568" s="2" t="s">
        <v>2103</v>
      </c>
      <c r="B1568" s="2" t="s">
        <v>1351</v>
      </c>
      <c r="C1568" s="2" t="s">
        <v>1352</v>
      </c>
      <c r="D1568" s="2" t="s">
        <v>1352</v>
      </c>
      <c r="E1568" s="3">
        <v>3600</v>
      </c>
      <c r="F1568" s="3">
        <v>3600</v>
      </c>
      <c r="G1568" s="2" t="s">
        <v>11</v>
      </c>
      <c r="H1568" s="2" t="s">
        <v>2037</v>
      </c>
      <c r="I1568" s="2" t="s">
        <v>1353</v>
      </c>
    </row>
    <row r="1569" spans="1:9" ht="16" x14ac:dyDescent="0.8">
      <c r="A1569" s="2" t="s">
        <v>2103</v>
      </c>
      <c r="B1569" s="2" t="s">
        <v>1354</v>
      </c>
      <c r="C1569" s="2" t="s">
        <v>1355</v>
      </c>
      <c r="D1569" s="2" t="s">
        <v>1355</v>
      </c>
      <c r="E1569" s="3">
        <v>1000</v>
      </c>
      <c r="F1569" s="3">
        <v>1000</v>
      </c>
      <c r="G1569" s="2" t="s">
        <v>11</v>
      </c>
      <c r="H1569" s="2" t="s">
        <v>2037</v>
      </c>
      <c r="I1569" s="2" t="s">
        <v>1353</v>
      </c>
    </row>
    <row r="1570" spans="1:9" ht="16" x14ac:dyDescent="0.8">
      <c r="A1570" s="2" t="s">
        <v>2104</v>
      </c>
      <c r="B1570" s="2" t="s">
        <v>1376</v>
      </c>
      <c r="C1570" s="2" t="s">
        <v>1377</v>
      </c>
      <c r="D1570" s="2" t="s">
        <v>1377</v>
      </c>
      <c r="E1570" s="3">
        <v>588</v>
      </c>
      <c r="F1570" s="3">
        <v>588</v>
      </c>
      <c r="G1570" s="2" t="s">
        <v>11</v>
      </c>
      <c r="H1570" s="2" t="s">
        <v>2037</v>
      </c>
      <c r="I1570" s="2" t="s">
        <v>256</v>
      </c>
    </row>
    <row r="1571" spans="1:9" ht="16" x14ac:dyDescent="0.8">
      <c r="A1571" s="2" t="s">
        <v>2105</v>
      </c>
      <c r="B1571" s="2" t="s">
        <v>1754</v>
      </c>
      <c r="C1571" s="2" t="s">
        <v>1755</v>
      </c>
      <c r="D1571" s="2" t="s">
        <v>1755</v>
      </c>
      <c r="E1571" s="3">
        <v>3288</v>
      </c>
      <c r="F1571" s="3">
        <v>0</v>
      </c>
      <c r="G1571" s="2" t="s">
        <v>196</v>
      </c>
      <c r="H1571" s="2" t="s">
        <v>2037</v>
      </c>
      <c r="I1571" s="2" t="s">
        <v>1756</v>
      </c>
    </row>
    <row r="1572" spans="1:9" ht="16" x14ac:dyDescent="0.8">
      <c r="A1572" s="2" t="s">
        <v>2106</v>
      </c>
      <c r="B1572" s="2" t="s">
        <v>842</v>
      </c>
      <c r="C1572" s="2" t="s">
        <v>843</v>
      </c>
      <c r="D1572" s="2" t="s">
        <v>843</v>
      </c>
      <c r="E1572" s="3">
        <v>1002</v>
      </c>
      <c r="F1572" s="3">
        <v>1002</v>
      </c>
      <c r="G1572" s="2" t="s">
        <v>11</v>
      </c>
      <c r="H1572" s="2" t="s">
        <v>2037</v>
      </c>
      <c r="I1572" s="2" t="s">
        <v>238</v>
      </c>
    </row>
    <row r="1573" spans="1:9" ht="16" x14ac:dyDescent="0.8">
      <c r="A1573" s="2" t="s">
        <v>1758</v>
      </c>
      <c r="B1573" s="2" t="s">
        <v>2107</v>
      </c>
      <c r="C1573" s="2" t="s">
        <v>861</v>
      </c>
      <c r="D1573" s="2" t="s">
        <v>861</v>
      </c>
      <c r="E1573" s="3">
        <v>19968</v>
      </c>
      <c r="F1573" s="3">
        <v>19968</v>
      </c>
      <c r="G1573" s="2" t="s">
        <v>196</v>
      </c>
      <c r="H1573" s="2" t="s">
        <v>1727</v>
      </c>
      <c r="I1573" s="2" t="s">
        <v>390</v>
      </c>
    </row>
    <row r="1574" spans="1:9" ht="16" x14ac:dyDescent="0.8">
      <c r="A1574" s="2" t="s">
        <v>1758</v>
      </c>
      <c r="B1574" s="2" t="s">
        <v>2108</v>
      </c>
      <c r="C1574" s="2" t="s">
        <v>858</v>
      </c>
      <c r="D1574" s="2" t="s">
        <v>858</v>
      </c>
      <c r="E1574" s="3">
        <v>55300</v>
      </c>
      <c r="F1574" s="3">
        <v>38400</v>
      </c>
      <c r="G1574" s="2" t="s">
        <v>196</v>
      </c>
      <c r="H1574" s="2" t="s">
        <v>1727</v>
      </c>
      <c r="I1574" s="2" t="s">
        <v>390</v>
      </c>
    </row>
    <row r="1575" spans="1:9" ht="16" x14ac:dyDescent="0.8">
      <c r="A1575" s="2" t="s">
        <v>2109</v>
      </c>
      <c r="B1575" s="2" t="s">
        <v>2110</v>
      </c>
      <c r="C1575" s="2" t="s">
        <v>2111</v>
      </c>
      <c r="D1575" s="2" t="s">
        <v>2111</v>
      </c>
      <c r="E1575" s="3">
        <v>21036</v>
      </c>
      <c r="F1575" s="3">
        <v>21036</v>
      </c>
      <c r="G1575" s="2" t="s">
        <v>11</v>
      </c>
      <c r="H1575" s="2" t="s">
        <v>2037</v>
      </c>
      <c r="I1575" s="2" t="s">
        <v>437</v>
      </c>
    </row>
    <row r="1576" spans="1:9" ht="16" x14ac:dyDescent="0.8">
      <c r="A1576" s="2" t="s">
        <v>2112</v>
      </c>
      <c r="B1576" s="2" t="s">
        <v>558</v>
      </c>
      <c r="C1576" s="2" t="s">
        <v>559</v>
      </c>
      <c r="D1576" s="2" t="s">
        <v>559</v>
      </c>
      <c r="E1576" s="3">
        <v>1</v>
      </c>
      <c r="F1576" s="3">
        <v>1</v>
      </c>
      <c r="G1576" s="2" t="s">
        <v>11</v>
      </c>
      <c r="H1576" s="2" t="s">
        <v>2026</v>
      </c>
      <c r="I1576" s="2" t="s">
        <v>560</v>
      </c>
    </row>
    <row r="1577" spans="1:9" ht="16" x14ac:dyDescent="0.8">
      <c r="A1577" s="2" t="s">
        <v>2112</v>
      </c>
      <c r="B1577" s="2" t="s">
        <v>561</v>
      </c>
      <c r="C1577" s="2" t="s">
        <v>562</v>
      </c>
      <c r="D1577" s="2" t="s">
        <v>562</v>
      </c>
      <c r="E1577" s="3">
        <v>1</v>
      </c>
      <c r="F1577" s="3">
        <v>1</v>
      </c>
      <c r="G1577" s="2" t="s">
        <v>11</v>
      </c>
      <c r="H1577" s="2" t="s">
        <v>2026</v>
      </c>
      <c r="I1577" s="2" t="s">
        <v>560</v>
      </c>
    </row>
    <row r="1578" spans="1:9" ht="16" x14ac:dyDescent="0.8">
      <c r="A1578" s="2" t="s">
        <v>2113</v>
      </c>
      <c r="B1578" s="2" t="s">
        <v>1362</v>
      </c>
      <c r="C1578" s="2" t="s">
        <v>1362</v>
      </c>
      <c r="D1578" s="2" t="s">
        <v>1362</v>
      </c>
      <c r="E1578" s="3">
        <v>618</v>
      </c>
      <c r="F1578" s="3">
        <v>618</v>
      </c>
      <c r="G1578" s="2" t="s">
        <v>11</v>
      </c>
      <c r="H1578" s="2" t="s">
        <v>2026</v>
      </c>
      <c r="I1578" s="2" t="s">
        <v>238</v>
      </c>
    </row>
    <row r="1579" spans="1:9" ht="16" x14ac:dyDescent="0.8">
      <c r="A1579" s="2" t="s">
        <v>2113</v>
      </c>
      <c r="B1579" s="2" t="s">
        <v>1363</v>
      </c>
      <c r="C1579" s="2" t="s">
        <v>1363</v>
      </c>
      <c r="D1579" s="2" t="s">
        <v>1363</v>
      </c>
      <c r="E1579" s="3">
        <v>618</v>
      </c>
      <c r="F1579" s="3">
        <v>618</v>
      </c>
      <c r="G1579" s="2" t="s">
        <v>11</v>
      </c>
      <c r="H1579" s="2" t="s">
        <v>2026</v>
      </c>
      <c r="I1579" s="2" t="s">
        <v>238</v>
      </c>
    </row>
    <row r="1580" spans="1:9" ht="16" x14ac:dyDescent="0.8">
      <c r="A1580" s="2" t="s">
        <v>2081</v>
      </c>
      <c r="B1580" s="2" t="s">
        <v>1642</v>
      </c>
      <c r="C1580" s="2" t="s">
        <v>1643</v>
      </c>
      <c r="D1580" s="2" t="s">
        <v>1643</v>
      </c>
      <c r="E1580" s="3">
        <v>3</v>
      </c>
      <c r="F1580" s="3">
        <v>3</v>
      </c>
      <c r="G1580" s="2" t="s">
        <v>11</v>
      </c>
      <c r="H1580" s="2" t="s">
        <v>2076</v>
      </c>
      <c r="I1580" s="2" t="s">
        <v>63</v>
      </c>
    </row>
    <row r="1581" spans="1:9" ht="16" x14ac:dyDescent="0.8">
      <c r="A1581" s="2" t="s">
        <v>2114</v>
      </c>
      <c r="B1581" s="2" t="s">
        <v>972</v>
      </c>
      <c r="C1581" s="2" t="s">
        <v>973</v>
      </c>
      <c r="D1581" s="2" t="s">
        <v>973</v>
      </c>
      <c r="E1581" s="3">
        <v>29946</v>
      </c>
      <c r="F1581" s="3">
        <v>29946</v>
      </c>
      <c r="G1581" s="2" t="s">
        <v>11</v>
      </c>
      <c r="H1581" s="2" t="s">
        <v>2026</v>
      </c>
      <c r="I1581" s="2" t="s">
        <v>262</v>
      </c>
    </row>
    <row r="1582" spans="1:9" ht="16" x14ac:dyDescent="0.8">
      <c r="A1582" s="2" t="s">
        <v>2114</v>
      </c>
      <c r="B1582" s="2" t="s">
        <v>974</v>
      </c>
      <c r="C1582" s="2" t="s">
        <v>975</v>
      </c>
      <c r="D1582" s="2" t="s">
        <v>975</v>
      </c>
      <c r="E1582" s="3">
        <v>20370</v>
      </c>
      <c r="F1582" s="3">
        <v>20370</v>
      </c>
      <c r="G1582" s="2" t="s">
        <v>11</v>
      </c>
      <c r="H1582" s="2" t="s">
        <v>2026</v>
      </c>
      <c r="I1582" s="2" t="s">
        <v>262</v>
      </c>
    </row>
    <row r="1583" spans="1:9" ht="16" x14ac:dyDescent="0.8">
      <c r="A1583" s="2" t="s">
        <v>2115</v>
      </c>
      <c r="B1583" s="2" t="s">
        <v>980</v>
      </c>
      <c r="C1583" s="2" t="s">
        <v>981</v>
      </c>
      <c r="D1583" s="2" t="s">
        <v>981</v>
      </c>
      <c r="E1583" s="3">
        <v>40388</v>
      </c>
      <c r="F1583" s="3">
        <v>40388</v>
      </c>
      <c r="G1583" s="2" t="s">
        <v>11</v>
      </c>
      <c r="H1583" s="2" t="s">
        <v>2026</v>
      </c>
      <c r="I1583" s="2" t="s">
        <v>23</v>
      </c>
    </row>
    <row r="1584" spans="1:9" ht="16" x14ac:dyDescent="0.8">
      <c r="A1584" s="2" t="s">
        <v>2115</v>
      </c>
      <c r="B1584" s="2" t="s">
        <v>982</v>
      </c>
      <c r="C1584" s="2" t="s">
        <v>983</v>
      </c>
      <c r="D1584" s="2" t="s">
        <v>983</v>
      </c>
      <c r="E1584" s="3">
        <v>20000</v>
      </c>
      <c r="F1584" s="3">
        <v>20000</v>
      </c>
      <c r="G1584" s="2" t="s">
        <v>11</v>
      </c>
      <c r="H1584" s="2" t="s">
        <v>2026</v>
      </c>
      <c r="I1584" s="2" t="s">
        <v>23</v>
      </c>
    </row>
    <row r="1585" spans="1:9" ht="16" x14ac:dyDescent="0.8">
      <c r="A1585" s="2" t="s">
        <v>2116</v>
      </c>
      <c r="B1585" s="2" t="s">
        <v>985</v>
      </c>
      <c r="C1585" s="2" t="s">
        <v>986</v>
      </c>
      <c r="D1585" s="2" t="s">
        <v>986</v>
      </c>
      <c r="E1585" s="3">
        <v>51726</v>
      </c>
      <c r="F1585" s="3">
        <v>51726</v>
      </c>
      <c r="G1585" s="2" t="s">
        <v>11</v>
      </c>
      <c r="H1585" s="2" t="s">
        <v>2026</v>
      </c>
      <c r="I1585" s="2" t="s">
        <v>412</v>
      </c>
    </row>
    <row r="1586" spans="1:9" ht="16" x14ac:dyDescent="0.8">
      <c r="A1586" s="2" t="s">
        <v>2117</v>
      </c>
      <c r="B1586" s="2" t="s">
        <v>1310</v>
      </c>
      <c r="C1586" s="2" t="s">
        <v>1311</v>
      </c>
      <c r="D1586" s="2" t="s">
        <v>1311</v>
      </c>
      <c r="E1586" s="3">
        <v>1</v>
      </c>
      <c r="F1586" s="3">
        <v>1</v>
      </c>
      <c r="G1586" s="2" t="s">
        <v>11</v>
      </c>
      <c r="H1586" s="2" t="s">
        <v>2033</v>
      </c>
      <c r="I1586" s="2" t="s">
        <v>63</v>
      </c>
    </row>
    <row r="1587" spans="1:9" ht="16" x14ac:dyDescent="0.8">
      <c r="A1587" s="2" t="s">
        <v>2118</v>
      </c>
      <c r="B1587" s="2" t="s">
        <v>1543</v>
      </c>
      <c r="C1587" s="2" t="s">
        <v>1544</v>
      </c>
      <c r="D1587" s="2" t="s">
        <v>1544</v>
      </c>
      <c r="E1587" s="3">
        <v>1</v>
      </c>
      <c r="F1587" s="3">
        <v>1</v>
      </c>
      <c r="G1587" s="2" t="s">
        <v>11</v>
      </c>
      <c r="H1587" s="2" t="s">
        <v>2033</v>
      </c>
      <c r="I1587" s="2" t="s">
        <v>53</v>
      </c>
    </row>
    <row r="1588" spans="1:9" ht="16" x14ac:dyDescent="0.8">
      <c r="A1588" s="2" t="s">
        <v>2118</v>
      </c>
      <c r="B1588" s="2" t="s">
        <v>1567</v>
      </c>
      <c r="C1588" s="2" t="s">
        <v>1568</v>
      </c>
      <c r="D1588" s="2" t="s">
        <v>1568</v>
      </c>
      <c r="E1588" s="3">
        <v>2</v>
      </c>
      <c r="F1588" s="3">
        <v>2</v>
      </c>
      <c r="G1588" s="2" t="s">
        <v>11</v>
      </c>
      <c r="H1588" s="2" t="s">
        <v>2033</v>
      </c>
      <c r="I1588" s="2" t="s">
        <v>53</v>
      </c>
    </row>
    <row r="1589" spans="1:9" ht="16" x14ac:dyDescent="0.8">
      <c r="A1589" s="2" t="s">
        <v>2119</v>
      </c>
      <c r="B1589" s="2" t="s">
        <v>1596</v>
      </c>
      <c r="C1589" s="2" t="s">
        <v>1597</v>
      </c>
      <c r="D1589" s="2" t="s">
        <v>1597</v>
      </c>
      <c r="E1589" s="3">
        <v>3</v>
      </c>
      <c r="F1589" s="3">
        <v>3</v>
      </c>
      <c r="G1589" s="2" t="s">
        <v>11</v>
      </c>
      <c r="H1589" s="2" t="s">
        <v>2033</v>
      </c>
      <c r="I1589" s="2" t="s">
        <v>1240</v>
      </c>
    </row>
    <row r="1590" spans="1:9" ht="16" x14ac:dyDescent="0.8">
      <c r="A1590" s="2" t="s">
        <v>2120</v>
      </c>
      <c r="B1590" s="2" t="s">
        <v>1615</v>
      </c>
      <c r="C1590" s="2" t="s">
        <v>1616</v>
      </c>
      <c r="D1590" s="2" t="s">
        <v>1616</v>
      </c>
      <c r="E1590" s="3">
        <v>2</v>
      </c>
      <c r="F1590" s="3">
        <v>0</v>
      </c>
      <c r="G1590" s="2" t="s">
        <v>196</v>
      </c>
      <c r="H1590" s="2" t="s">
        <v>2033</v>
      </c>
      <c r="I1590" s="2" t="s">
        <v>1234</v>
      </c>
    </row>
    <row r="1591" spans="1:9" ht="16" x14ac:dyDescent="0.8">
      <c r="A1591" s="2" t="s">
        <v>2120</v>
      </c>
      <c r="B1591" s="2" t="s">
        <v>1627</v>
      </c>
      <c r="C1591" s="2" t="s">
        <v>1628</v>
      </c>
      <c r="D1591" s="2" t="s">
        <v>1628</v>
      </c>
      <c r="E1591" s="3">
        <v>1</v>
      </c>
      <c r="F1591" s="3">
        <v>0</v>
      </c>
      <c r="G1591" s="2" t="s">
        <v>196</v>
      </c>
      <c r="H1591" s="2" t="s">
        <v>2033</v>
      </c>
      <c r="I1591" s="2" t="s">
        <v>1234</v>
      </c>
    </row>
    <row r="1592" spans="1:9" ht="16" x14ac:dyDescent="0.8">
      <c r="A1592" s="2" t="s">
        <v>2120</v>
      </c>
      <c r="B1592" s="2" t="s">
        <v>1623</v>
      </c>
      <c r="C1592" s="2" t="s">
        <v>1624</v>
      </c>
      <c r="D1592" s="2" t="s">
        <v>1624</v>
      </c>
      <c r="E1592" s="3">
        <v>2</v>
      </c>
      <c r="F1592" s="3">
        <v>0</v>
      </c>
      <c r="G1592" s="2" t="s">
        <v>196</v>
      </c>
      <c r="H1592" s="2" t="s">
        <v>2033</v>
      </c>
      <c r="I1592" s="2" t="s">
        <v>1234</v>
      </c>
    </row>
    <row r="1593" spans="1:9" ht="16" x14ac:dyDescent="0.8">
      <c r="A1593" s="2" t="s">
        <v>2120</v>
      </c>
      <c r="B1593" s="2" t="s">
        <v>1609</v>
      </c>
      <c r="C1593" s="2" t="s">
        <v>1610</v>
      </c>
      <c r="D1593" s="2" t="s">
        <v>1610</v>
      </c>
      <c r="E1593" s="3">
        <v>2</v>
      </c>
      <c r="F1593" s="3">
        <v>0</v>
      </c>
      <c r="G1593" s="2" t="s">
        <v>196</v>
      </c>
      <c r="H1593" s="2" t="s">
        <v>2033</v>
      </c>
      <c r="I1593" s="2" t="s">
        <v>1234</v>
      </c>
    </row>
    <row r="1594" spans="1:9" ht="16" x14ac:dyDescent="0.8">
      <c r="A1594" s="2" t="s">
        <v>2121</v>
      </c>
      <c r="B1594" s="2" t="s">
        <v>1630</v>
      </c>
      <c r="C1594" s="2" t="s">
        <v>1631</v>
      </c>
      <c r="D1594" s="2" t="s">
        <v>1631</v>
      </c>
      <c r="E1594" s="3">
        <v>1</v>
      </c>
      <c r="F1594" s="3">
        <v>1</v>
      </c>
      <c r="G1594" s="2" t="s">
        <v>11</v>
      </c>
      <c r="H1594" s="2" t="s">
        <v>2033</v>
      </c>
      <c r="I1594" s="2" t="s">
        <v>63</v>
      </c>
    </row>
    <row r="1595" spans="1:9" ht="16" x14ac:dyDescent="0.8">
      <c r="A1595" s="2" t="s">
        <v>2121</v>
      </c>
      <c r="B1595" s="2" t="s">
        <v>1634</v>
      </c>
      <c r="C1595" s="2" t="s">
        <v>1635</v>
      </c>
      <c r="D1595" s="2" t="s">
        <v>1635</v>
      </c>
      <c r="E1595" s="3">
        <v>1</v>
      </c>
      <c r="F1595" s="3">
        <v>1</v>
      </c>
      <c r="G1595" s="2" t="s">
        <v>11</v>
      </c>
      <c r="H1595" s="2" t="s">
        <v>2033</v>
      </c>
      <c r="I1595" s="2" t="s">
        <v>63</v>
      </c>
    </row>
    <row r="1596" spans="1:9" ht="16" x14ac:dyDescent="0.8">
      <c r="A1596" s="2" t="s">
        <v>2121</v>
      </c>
      <c r="B1596" s="2" t="s">
        <v>1638</v>
      </c>
      <c r="C1596" s="2" t="s">
        <v>1639</v>
      </c>
      <c r="D1596" s="2" t="s">
        <v>1639</v>
      </c>
      <c r="E1596" s="3">
        <v>1</v>
      </c>
      <c r="F1596" s="3">
        <v>1</v>
      </c>
      <c r="G1596" s="2" t="s">
        <v>11</v>
      </c>
      <c r="H1596" s="2" t="s">
        <v>2033</v>
      </c>
      <c r="I1596" s="2" t="s">
        <v>63</v>
      </c>
    </row>
    <row r="1597" spans="1:9" ht="16" x14ac:dyDescent="0.8">
      <c r="A1597" s="2" t="s">
        <v>2121</v>
      </c>
      <c r="B1597" s="2" t="s">
        <v>1642</v>
      </c>
      <c r="C1597" s="2" t="s">
        <v>1643</v>
      </c>
      <c r="D1597" s="2" t="s">
        <v>1643</v>
      </c>
      <c r="E1597" s="3">
        <v>4</v>
      </c>
      <c r="F1597" s="3">
        <v>4</v>
      </c>
      <c r="G1597" s="2" t="s">
        <v>11</v>
      </c>
      <c r="H1597" s="2" t="s">
        <v>2033</v>
      </c>
      <c r="I1597" s="2" t="s">
        <v>63</v>
      </c>
    </row>
    <row r="1598" spans="1:9" ht="16" x14ac:dyDescent="0.8">
      <c r="A1598" s="2" t="s">
        <v>2121</v>
      </c>
      <c r="B1598" s="2" t="s">
        <v>1644</v>
      </c>
      <c r="C1598" s="2" t="s">
        <v>1645</v>
      </c>
      <c r="D1598" s="2" t="s">
        <v>1645</v>
      </c>
      <c r="E1598" s="3">
        <v>1</v>
      </c>
      <c r="F1598" s="3">
        <v>1</v>
      </c>
      <c r="G1598" s="2" t="s">
        <v>11</v>
      </c>
      <c r="H1598" s="2" t="s">
        <v>2033</v>
      </c>
      <c r="I1598" s="2" t="s">
        <v>63</v>
      </c>
    </row>
    <row r="1599" spans="1:9" ht="16" x14ac:dyDescent="0.8">
      <c r="A1599" s="2" t="s">
        <v>2121</v>
      </c>
      <c r="B1599" s="2" t="s">
        <v>1652</v>
      </c>
      <c r="C1599" s="2" t="s">
        <v>1653</v>
      </c>
      <c r="D1599" s="2" t="s">
        <v>1653</v>
      </c>
      <c r="E1599" s="3">
        <v>2</v>
      </c>
      <c r="F1599" s="3">
        <v>2</v>
      </c>
      <c r="G1599" s="2" t="s">
        <v>11</v>
      </c>
      <c r="H1599" s="2" t="s">
        <v>2033</v>
      </c>
      <c r="I1599" s="2" t="s">
        <v>63</v>
      </c>
    </row>
    <row r="1600" spans="1:9" ht="16" x14ac:dyDescent="0.8">
      <c r="A1600" s="2" t="s">
        <v>2121</v>
      </c>
      <c r="B1600" s="2" t="s">
        <v>1658</v>
      </c>
      <c r="C1600" s="2" t="s">
        <v>1659</v>
      </c>
      <c r="D1600" s="2" t="s">
        <v>1659</v>
      </c>
      <c r="E1600" s="3">
        <v>1</v>
      </c>
      <c r="F1600" s="3">
        <v>1</v>
      </c>
      <c r="G1600" s="2" t="s">
        <v>11</v>
      </c>
      <c r="H1600" s="2" t="s">
        <v>2033</v>
      </c>
      <c r="I1600" s="2" t="s">
        <v>63</v>
      </c>
    </row>
    <row r="1601" spans="1:9" ht="16" x14ac:dyDescent="0.8">
      <c r="A1601" s="2" t="s">
        <v>2121</v>
      </c>
      <c r="B1601" s="2" t="s">
        <v>1674</v>
      </c>
      <c r="C1601" s="2" t="s">
        <v>1675</v>
      </c>
      <c r="D1601" s="2" t="s">
        <v>1675</v>
      </c>
      <c r="E1601" s="3">
        <v>2</v>
      </c>
      <c r="F1601" s="3">
        <v>2</v>
      </c>
      <c r="G1601" s="2" t="s">
        <v>11</v>
      </c>
      <c r="H1601" s="2" t="s">
        <v>2033</v>
      </c>
      <c r="I1601" s="2" t="s">
        <v>63</v>
      </c>
    </row>
    <row r="1602" spans="1:9" ht="16" x14ac:dyDescent="0.8">
      <c r="A1602" s="2" t="s">
        <v>2121</v>
      </c>
      <c r="B1602" s="2" t="s">
        <v>1688</v>
      </c>
      <c r="C1602" s="2" t="s">
        <v>1689</v>
      </c>
      <c r="D1602" s="2" t="s">
        <v>1689</v>
      </c>
      <c r="E1602" s="3">
        <v>1</v>
      </c>
      <c r="F1602" s="3">
        <v>1</v>
      </c>
      <c r="G1602" s="2" t="s">
        <v>11</v>
      </c>
      <c r="H1602" s="2" t="s">
        <v>2033</v>
      </c>
      <c r="I1602" s="2" t="s">
        <v>63</v>
      </c>
    </row>
    <row r="1603" spans="1:9" ht="16" x14ac:dyDescent="0.8">
      <c r="A1603" s="2" t="s">
        <v>2121</v>
      </c>
      <c r="B1603" s="2" t="s">
        <v>1706</v>
      </c>
      <c r="C1603" s="2" t="s">
        <v>1707</v>
      </c>
      <c r="D1603" s="2" t="s">
        <v>1707</v>
      </c>
      <c r="E1603" s="3">
        <v>2</v>
      </c>
      <c r="F1603" s="3">
        <v>2</v>
      </c>
      <c r="G1603" s="2" t="s">
        <v>11</v>
      </c>
      <c r="H1603" s="2" t="s">
        <v>2033</v>
      </c>
      <c r="I1603" s="2" t="s">
        <v>63</v>
      </c>
    </row>
    <row r="1604" spans="1:9" ht="16" x14ac:dyDescent="0.8">
      <c r="A1604" s="2" t="s">
        <v>2121</v>
      </c>
      <c r="B1604" s="2" t="s">
        <v>1708</v>
      </c>
      <c r="C1604" s="2" t="s">
        <v>1709</v>
      </c>
      <c r="D1604" s="2" t="s">
        <v>1709</v>
      </c>
      <c r="E1604" s="3">
        <v>2</v>
      </c>
      <c r="F1604" s="3">
        <v>2</v>
      </c>
      <c r="G1604" s="2" t="s">
        <v>11</v>
      </c>
      <c r="H1604" s="2" t="s">
        <v>2033</v>
      </c>
      <c r="I1604" s="2" t="s">
        <v>63</v>
      </c>
    </row>
    <row r="1605" spans="1:9" ht="16" x14ac:dyDescent="0.8">
      <c r="A1605" s="2" t="s">
        <v>2121</v>
      </c>
      <c r="B1605" s="2" t="s">
        <v>1710</v>
      </c>
      <c r="C1605" s="2" t="s">
        <v>1711</v>
      </c>
      <c r="D1605" s="2" t="s">
        <v>1711</v>
      </c>
      <c r="E1605" s="3">
        <v>1</v>
      </c>
      <c r="F1605" s="3">
        <v>1</v>
      </c>
      <c r="G1605" s="2" t="s">
        <v>11</v>
      </c>
      <c r="H1605" s="2" t="s">
        <v>2033</v>
      </c>
      <c r="I1605" s="2" t="s">
        <v>63</v>
      </c>
    </row>
    <row r="1606" spans="1:9" ht="16" x14ac:dyDescent="0.8">
      <c r="A1606" s="2" t="s">
        <v>2121</v>
      </c>
      <c r="B1606" s="2" t="s">
        <v>1712</v>
      </c>
      <c r="C1606" s="2" t="s">
        <v>1713</v>
      </c>
      <c r="D1606" s="2" t="s">
        <v>1713</v>
      </c>
      <c r="E1606" s="3">
        <v>1</v>
      </c>
      <c r="F1606" s="3">
        <v>1</v>
      </c>
      <c r="G1606" s="2" t="s">
        <v>11</v>
      </c>
      <c r="H1606" s="2" t="s">
        <v>2033</v>
      </c>
      <c r="I1606" s="2" t="s">
        <v>63</v>
      </c>
    </row>
    <row r="1607" spans="1:9" ht="16" x14ac:dyDescent="0.8">
      <c r="A1607" s="2" t="s">
        <v>2121</v>
      </c>
      <c r="B1607" s="2" t="s">
        <v>1716</v>
      </c>
      <c r="C1607" s="2" t="s">
        <v>1717</v>
      </c>
      <c r="D1607" s="2" t="s">
        <v>1717</v>
      </c>
      <c r="E1607" s="3">
        <v>1</v>
      </c>
      <c r="F1607" s="3">
        <v>1</v>
      </c>
      <c r="G1607" s="2" t="s">
        <v>11</v>
      </c>
      <c r="H1607" s="2" t="s">
        <v>2033</v>
      </c>
      <c r="I1607" s="2" t="s">
        <v>63</v>
      </c>
    </row>
    <row r="1608" spans="1:9" ht="16" x14ac:dyDescent="0.8">
      <c r="A1608" s="2" t="s">
        <v>2121</v>
      </c>
      <c r="B1608" s="2" t="s">
        <v>1718</v>
      </c>
      <c r="C1608" s="2" t="s">
        <v>1719</v>
      </c>
      <c r="D1608" s="2" t="s">
        <v>1719</v>
      </c>
      <c r="E1608" s="3">
        <v>2</v>
      </c>
      <c r="F1608" s="3">
        <v>2</v>
      </c>
      <c r="G1608" s="2" t="s">
        <v>11</v>
      </c>
      <c r="H1608" s="2" t="s">
        <v>2033</v>
      </c>
      <c r="I1608" s="2" t="s">
        <v>63</v>
      </c>
    </row>
    <row r="1609" spans="1:9" ht="16" x14ac:dyDescent="0.8">
      <c r="A1609" s="2" t="s">
        <v>2121</v>
      </c>
      <c r="B1609" s="2" t="s">
        <v>1720</v>
      </c>
      <c r="C1609" s="2" t="s">
        <v>666</v>
      </c>
      <c r="D1609" s="2" t="s">
        <v>666</v>
      </c>
      <c r="E1609" s="3">
        <v>1</v>
      </c>
      <c r="F1609" s="3">
        <v>1</v>
      </c>
      <c r="G1609" s="2" t="s">
        <v>11</v>
      </c>
      <c r="H1609" s="2" t="s">
        <v>2033</v>
      </c>
      <c r="I1609" s="2" t="s">
        <v>63</v>
      </c>
    </row>
    <row r="1610" spans="1:9" ht="16" x14ac:dyDescent="0.8">
      <c r="A1610" s="2" t="s">
        <v>2122</v>
      </c>
      <c r="B1610" s="2" t="s">
        <v>1725</v>
      </c>
      <c r="C1610" s="2" t="s">
        <v>1726</v>
      </c>
      <c r="D1610" s="2" t="s">
        <v>1726</v>
      </c>
      <c r="E1610" s="3">
        <v>1</v>
      </c>
      <c r="F1610" s="3">
        <v>1</v>
      </c>
      <c r="G1610" s="2" t="s">
        <v>11</v>
      </c>
      <c r="H1610" s="2" t="s">
        <v>2033</v>
      </c>
      <c r="I1610" s="2" t="s">
        <v>1724</v>
      </c>
    </row>
    <row r="1611" spans="1:9" ht="16" x14ac:dyDescent="0.8">
      <c r="A1611" s="2" t="s">
        <v>2123</v>
      </c>
      <c r="B1611" s="2" t="s">
        <v>1742</v>
      </c>
      <c r="C1611" s="2" t="s">
        <v>1743</v>
      </c>
      <c r="D1611" s="2" t="s">
        <v>1743</v>
      </c>
      <c r="E1611" s="3">
        <v>2</v>
      </c>
      <c r="F1611" s="3">
        <v>0</v>
      </c>
      <c r="G1611" s="2" t="s">
        <v>196</v>
      </c>
      <c r="H1611" s="2" t="s">
        <v>2033</v>
      </c>
      <c r="I1611" s="2" t="s">
        <v>1744</v>
      </c>
    </row>
    <row r="1612" spans="1:9" ht="16" x14ac:dyDescent="0.8">
      <c r="A1612" s="2" t="s">
        <v>2124</v>
      </c>
      <c r="B1612" s="2" t="s">
        <v>1792</v>
      </c>
      <c r="C1612" s="2" t="s">
        <v>1793</v>
      </c>
      <c r="D1612" s="2" t="s">
        <v>1793</v>
      </c>
      <c r="E1612" s="3">
        <v>4</v>
      </c>
      <c r="F1612" s="3">
        <v>4</v>
      </c>
      <c r="G1612" s="2" t="s">
        <v>196</v>
      </c>
      <c r="H1612" s="2" t="s">
        <v>2033</v>
      </c>
      <c r="I1612" s="2" t="s">
        <v>1274</v>
      </c>
    </row>
    <row r="1613" spans="1:9" ht="16" x14ac:dyDescent="0.8">
      <c r="A1613" s="2" t="s">
        <v>2124</v>
      </c>
      <c r="B1613" s="2" t="s">
        <v>1804</v>
      </c>
      <c r="C1613" s="2" t="s">
        <v>1805</v>
      </c>
      <c r="D1613" s="2" t="s">
        <v>1805</v>
      </c>
      <c r="E1613" s="3">
        <v>1</v>
      </c>
      <c r="F1613" s="3">
        <v>0</v>
      </c>
      <c r="G1613" s="2" t="s">
        <v>196</v>
      </c>
      <c r="H1613" s="2" t="s">
        <v>2033</v>
      </c>
      <c r="I1613" s="2" t="s">
        <v>1274</v>
      </c>
    </row>
    <row r="1614" spans="1:9" ht="16" x14ac:dyDescent="0.8">
      <c r="A1614" s="2" t="s">
        <v>2124</v>
      </c>
      <c r="B1614" s="2" t="s">
        <v>1816</v>
      </c>
      <c r="C1614" s="2" t="s">
        <v>1817</v>
      </c>
      <c r="D1614" s="2" t="s">
        <v>1817</v>
      </c>
      <c r="E1614" s="3">
        <v>2</v>
      </c>
      <c r="F1614" s="3">
        <v>2</v>
      </c>
      <c r="G1614" s="2" t="s">
        <v>196</v>
      </c>
      <c r="H1614" s="2" t="s">
        <v>2033</v>
      </c>
      <c r="I1614" s="2" t="s">
        <v>1274</v>
      </c>
    </row>
    <row r="1615" spans="1:9" ht="16" x14ac:dyDescent="0.8">
      <c r="A1615" s="2" t="s">
        <v>2125</v>
      </c>
      <c r="B1615" s="2" t="s">
        <v>2062</v>
      </c>
      <c r="C1615" s="2" t="s">
        <v>2063</v>
      </c>
      <c r="D1615" s="2" t="s">
        <v>2063</v>
      </c>
      <c r="E1615" s="3">
        <v>7890</v>
      </c>
      <c r="F1615" s="3">
        <v>7890</v>
      </c>
      <c r="G1615" s="2" t="s">
        <v>196</v>
      </c>
      <c r="H1615" s="2" t="s">
        <v>2033</v>
      </c>
      <c r="I1615" s="2" t="s">
        <v>2064</v>
      </c>
    </row>
    <row r="1616" spans="1:9" ht="16" x14ac:dyDescent="0.8">
      <c r="A1616" s="2" t="s">
        <v>2126</v>
      </c>
      <c r="B1616" s="2" t="s">
        <v>2066</v>
      </c>
      <c r="C1616" s="2" t="s">
        <v>780</v>
      </c>
      <c r="D1616" s="2" t="s">
        <v>780</v>
      </c>
      <c r="E1616" s="3">
        <v>31554</v>
      </c>
      <c r="F1616" s="3">
        <v>31554</v>
      </c>
      <c r="G1616" s="2" t="s">
        <v>196</v>
      </c>
      <c r="H1616" s="2" t="s">
        <v>2033</v>
      </c>
      <c r="I1616" s="2" t="s">
        <v>201</v>
      </c>
    </row>
    <row r="1617" spans="1:9" ht="16" x14ac:dyDescent="0.8">
      <c r="A1617" s="2" t="s">
        <v>2126</v>
      </c>
      <c r="B1617" s="2" t="s">
        <v>2067</v>
      </c>
      <c r="C1617" s="2" t="s">
        <v>337</v>
      </c>
      <c r="D1617" s="2" t="s">
        <v>337</v>
      </c>
      <c r="E1617" s="3">
        <v>34182</v>
      </c>
      <c r="F1617" s="3">
        <v>34182</v>
      </c>
      <c r="G1617" s="2" t="s">
        <v>196</v>
      </c>
      <c r="H1617" s="2" t="s">
        <v>2033</v>
      </c>
      <c r="I1617" s="2" t="s">
        <v>201</v>
      </c>
    </row>
    <row r="1618" spans="1:9" ht="16" x14ac:dyDescent="0.8">
      <c r="A1618" s="2" t="s">
        <v>2126</v>
      </c>
      <c r="B1618" s="2" t="s">
        <v>2068</v>
      </c>
      <c r="C1618" s="2" t="s">
        <v>241</v>
      </c>
      <c r="D1618" s="2" t="s">
        <v>241</v>
      </c>
      <c r="E1618" s="3">
        <v>15780</v>
      </c>
      <c r="F1618" s="3">
        <v>15780</v>
      </c>
      <c r="G1618" s="2" t="s">
        <v>196</v>
      </c>
      <c r="H1618" s="2" t="s">
        <v>2033</v>
      </c>
      <c r="I1618" s="2" t="s">
        <v>201</v>
      </c>
    </row>
    <row r="1619" spans="1:9" ht="16" x14ac:dyDescent="0.8">
      <c r="A1619" s="2" t="s">
        <v>2126</v>
      </c>
      <c r="B1619" s="2" t="s">
        <v>2069</v>
      </c>
      <c r="C1619" s="2" t="s">
        <v>246</v>
      </c>
      <c r="D1619" s="2" t="s">
        <v>246</v>
      </c>
      <c r="E1619" s="3">
        <v>31554</v>
      </c>
      <c r="F1619" s="3">
        <v>31554</v>
      </c>
      <c r="G1619" s="2" t="s">
        <v>196</v>
      </c>
      <c r="H1619" s="2" t="s">
        <v>2033</v>
      </c>
      <c r="I1619" s="2" t="s">
        <v>201</v>
      </c>
    </row>
    <row r="1620" spans="1:9" ht="16" x14ac:dyDescent="0.8">
      <c r="A1620" s="2" t="s">
        <v>2126</v>
      </c>
      <c r="B1620" s="2" t="s">
        <v>2070</v>
      </c>
      <c r="C1620" s="2" t="s">
        <v>243</v>
      </c>
      <c r="D1620" s="2" t="s">
        <v>243</v>
      </c>
      <c r="E1620" s="3">
        <v>34182</v>
      </c>
      <c r="F1620" s="3">
        <v>34182</v>
      </c>
      <c r="G1620" s="2" t="s">
        <v>196</v>
      </c>
      <c r="H1620" s="2" t="s">
        <v>2033</v>
      </c>
      <c r="I1620" s="2" t="s">
        <v>201</v>
      </c>
    </row>
    <row r="1621" spans="1:9" ht="16" x14ac:dyDescent="0.8">
      <c r="A1621" s="2" t="s">
        <v>2126</v>
      </c>
      <c r="B1621" s="2" t="s">
        <v>2071</v>
      </c>
      <c r="C1621" s="2" t="s">
        <v>244</v>
      </c>
      <c r="D1621" s="2" t="s">
        <v>244</v>
      </c>
      <c r="E1621" s="3">
        <v>65736</v>
      </c>
      <c r="F1621" s="3">
        <v>65736</v>
      </c>
      <c r="G1621" s="2" t="s">
        <v>196</v>
      </c>
      <c r="H1621" s="2" t="s">
        <v>2033</v>
      </c>
      <c r="I1621" s="2" t="s">
        <v>201</v>
      </c>
    </row>
    <row r="1622" spans="1:9" ht="16" x14ac:dyDescent="0.8">
      <c r="A1622" s="2" t="s">
        <v>2126</v>
      </c>
      <c r="B1622" s="2" t="s">
        <v>2072</v>
      </c>
      <c r="C1622" s="2" t="s">
        <v>199</v>
      </c>
      <c r="D1622" s="2" t="s">
        <v>199</v>
      </c>
      <c r="E1622" s="3">
        <v>13152</v>
      </c>
      <c r="F1622" s="3">
        <v>13152</v>
      </c>
      <c r="G1622" s="2" t="s">
        <v>196</v>
      </c>
      <c r="H1622" s="2" t="s">
        <v>2033</v>
      </c>
      <c r="I1622" s="2" t="s">
        <v>201</v>
      </c>
    </row>
    <row r="1623" spans="1:9" ht="16" x14ac:dyDescent="0.8">
      <c r="A1623" s="2" t="s">
        <v>2126</v>
      </c>
      <c r="B1623" s="2" t="s">
        <v>2073</v>
      </c>
      <c r="C1623" s="2" t="s">
        <v>2074</v>
      </c>
      <c r="D1623" s="2" t="s">
        <v>2074</v>
      </c>
      <c r="E1623" s="3">
        <v>18408</v>
      </c>
      <c r="F1623" s="3">
        <v>18408</v>
      </c>
      <c r="G1623" s="2" t="s">
        <v>196</v>
      </c>
      <c r="H1623" s="2" t="s">
        <v>2033</v>
      </c>
      <c r="I1623" s="2" t="s">
        <v>201</v>
      </c>
    </row>
    <row r="1624" spans="1:9" ht="16" x14ac:dyDescent="0.8">
      <c r="A1624" s="2" t="s">
        <v>2127</v>
      </c>
      <c r="B1624" s="2" t="s">
        <v>2110</v>
      </c>
      <c r="C1624" s="2" t="s">
        <v>2111</v>
      </c>
      <c r="D1624" s="2" t="s">
        <v>2111</v>
      </c>
      <c r="E1624" s="3">
        <v>10520</v>
      </c>
      <c r="F1624" s="3">
        <v>10520</v>
      </c>
      <c r="G1624" s="2" t="s">
        <v>196</v>
      </c>
      <c r="H1624" s="2" t="s">
        <v>2033</v>
      </c>
      <c r="I1624" s="2" t="s">
        <v>437</v>
      </c>
    </row>
    <row r="1625" spans="1:9" ht="16" x14ac:dyDescent="0.8">
      <c r="A1625" s="2" t="s">
        <v>2128</v>
      </c>
      <c r="B1625" s="2" t="s">
        <v>2129</v>
      </c>
      <c r="C1625" s="2" t="s">
        <v>2130</v>
      </c>
      <c r="D1625" s="2" t="s">
        <v>2130</v>
      </c>
      <c r="E1625" s="3">
        <v>15576</v>
      </c>
      <c r="F1625" s="3">
        <v>15576</v>
      </c>
      <c r="G1625" s="2" t="s">
        <v>11</v>
      </c>
      <c r="H1625" s="2" t="s">
        <v>2033</v>
      </c>
      <c r="I1625" s="2" t="s">
        <v>23</v>
      </c>
    </row>
    <row r="1626" spans="1:9" ht="16" x14ac:dyDescent="0.8">
      <c r="A1626" s="2" t="s">
        <v>2128</v>
      </c>
      <c r="B1626" s="2" t="s">
        <v>2131</v>
      </c>
      <c r="C1626" s="2" t="s">
        <v>2132</v>
      </c>
      <c r="D1626" s="2" t="s">
        <v>2132</v>
      </c>
      <c r="E1626" s="3">
        <v>4352</v>
      </c>
      <c r="F1626" s="3">
        <v>4352</v>
      </c>
      <c r="G1626" s="2" t="s">
        <v>11</v>
      </c>
      <c r="H1626" s="2" t="s">
        <v>2033</v>
      </c>
      <c r="I1626" s="2" t="s">
        <v>23</v>
      </c>
    </row>
    <row r="1627" spans="1:9" ht="16" x14ac:dyDescent="0.8">
      <c r="A1627" s="2" t="s">
        <v>2128</v>
      </c>
      <c r="B1627" s="2" t="s">
        <v>2133</v>
      </c>
      <c r="C1627" s="2" t="s">
        <v>2134</v>
      </c>
      <c r="D1627" s="2" t="s">
        <v>2134</v>
      </c>
      <c r="E1627" s="3">
        <v>5808</v>
      </c>
      <c r="F1627" s="3">
        <v>5808</v>
      </c>
      <c r="G1627" s="2" t="s">
        <v>11</v>
      </c>
      <c r="H1627" s="2" t="s">
        <v>2033</v>
      </c>
      <c r="I1627" s="2" t="s">
        <v>23</v>
      </c>
    </row>
    <row r="1628" spans="1:9" ht="16" x14ac:dyDescent="0.8">
      <c r="A1628" s="2" t="s">
        <v>2128</v>
      </c>
      <c r="B1628" s="2" t="s">
        <v>2135</v>
      </c>
      <c r="C1628" s="2" t="s">
        <v>2136</v>
      </c>
      <c r="D1628" s="2" t="s">
        <v>2136</v>
      </c>
      <c r="E1628" s="3">
        <v>7712</v>
      </c>
      <c r="F1628" s="3">
        <v>7712</v>
      </c>
      <c r="G1628" s="2" t="s">
        <v>11</v>
      </c>
      <c r="H1628" s="2" t="s">
        <v>2033</v>
      </c>
      <c r="I1628" s="2" t="s">
        <v>23</v>
      </c>
    </row>
    <row r="1629" spans="1:9" ht="16" x14ac:dyDescent="0.8">
      <c r="A1629" s="2" t="s">
        <v>2137</v>
      </c>
      <c r="B1629" s="2" t="s">
        <v>786</v>
      </c>
      <c r="C1629" s="2" t="s">
        <v>199</v>
      </c>
      <c r="D1629" s="2" t="s">
        <v>199</v>
      </c>
      <c r="E1629" s="3">
        <v>2514</v>
      </c>
      <c r="F1629" s="3">
        <v>2514</v>
      </c>
      <c r="G1629" s="2" t="s">
        <v>11</v>
      </c>
      <c r="H1629" s="2" t="s">
        <v>2040</v>
      </c>
      <c r="I1629" s="2" t="s">
        <v>201</v>
      </c>
    </row>
    <row r="1630" spans="1:9" ht="16" x14ac:dyDescent="0.8">
      <c r="A1630" s="2" t="s">
        <v>2138</v>
      </c>
      <c r="B1630" s="2" t="s">
        <v>2139</v>
      </c>
      <c r="C1630" s="2" t="s">
        <v>2140</v>
      </c>
      <c r="D1630" s="2" t="s">
        <v>2140</v>
      </c>
      <c r="E1630" s="3">
        <v>11610</v>
      </c>
      <c r="F1630" s="3">
        <v>0</v>
      </c>
      <c r="G1630" s="2" t="s">
        <v>196</v>
      </c>
      <c r="H1630" s="2" t="s">
        <v>2040</v>
      </c>
      <c r="I1630" s="2" t="s">
        <v>2141</v>
      </c>
    </row>
    <row r="1631" spans="1:9" ht="16" x14ac:dyDescent="0.8">
      <c r="A1631" s="2" t="s">
        <v>2142</v>
      </c>
      <c r="B1631" s="2" t="s">
        <v>2107</v>
      </c>
      <c r="C1631" s="2" t="s">
        <v>861</v>
      </c>
      <c r="D1631" s="2" t="s">
        <v>861</v>
      </c>
      <c r="E1631" s="3">
        <v>9600</v>
      </c>
      <c r="F1631" s="3">
        <v>8448</v>
      </c>
      <c r="G1631" s="2" t="s">
        <v>196</v>
      </c>
      <c r="H1631" s="2" t="s">
        <v>2040</v>
      </c>
      <c r="I1631" s="2" t="s">
        <v>390</v>
      </c>
    </row>
    <row r="1632" spans="1:9" ht="16" x14ac:dyDescent="0.8">
      <c r="A1632" s="2" t="s">
        <v>2142</v>
      </c>
      <c r="B1632" s="2" t="s">
        <v>1761</v>
      </c>
      <c r="C1632" s="2" t="s">
        <v>854</v>
      </c>
      <c r="D1632" s="2" t="s">
        <v>854</v>
      </c>
      <c r="E1632" s="3">
        <v>16632</v>
      </c>
      <c r="F1632" s="3">
        <v>9504</v>
      </c>
      <c r="G1632" s="2" t="s">
        <v>196</v>
      </c>
      <c r="H1632" s="2" t="s">
        <v>2040</v>
      </c>
      <c r="I1632" s="2" t="s">
        <v>390</v>
      </c>
    </row>
    <row r="1633" spans="1:9" ht="16" x14ac:dyDescent="0.8">
      <c r="A1633" s="2" t="s">
        <v>2142</v>
      </c>
      <c r="B1633" s="2" t="s">
        <v>1762</v>
      </c>
      <c r="C1633" s="2" t="s">
        <v>856</v>
      </c>
      <c r="D1633" s="2" t="s">
        <v>856</v>
      </c>
      <c r="E1633" s="3">
        <v>14625</v>
      </c>
      <c r="F1633" s="3">
        <v>4500</v>
      </c>
      <c r="G1633" s="2" t="s">
        <v>196</v>
      </c>
      <c r="H1633" s="2" t="s">
        <v>2040</v>
      </c>
      <c r="I1633" s="2" t="s">
        <v>390</v>
      </c>
    </row>
    <row r="1634" spans="1:9" ht="16" x14ac:dyDescent="0.8">
      <c r="A1634" s="2" t="s">
        <v>2150</v>
      </c>
      <c r="B1634" s="2" t="s">
        <v>2151</v>
      </c>
      <c r="C1634" s="2" t="s">
        <v>2152</v>
      </c>
      <c r="D1634" s="2" t="s">
        <v>2152</v>
      </c>
      <c r="E1634" s="3">
        <v>463040</v>
      </c>
      <c r="F1634" s="3">
        <v>0</v>
      </c>
      <c r="G1634" s="2" t="s">
        <v>196</v>
      </c>
      <c r="H1634" s="2" t="s">
        <v>2036</v>
      </c>
      <c r="I1634" s="2" t="s">
        <v>847</v>
      </c>
    </row>
    <row r="1635" spans="1:9" ht="16" x14ac:dyDescent="0.8">
      <c r="A1635" s="2" t="s">
        <v>2153</v>
      </c>
      <c r="B1635" s="2" t="s">
        <v>2154</v>
      </c>
      <c r="C1635" s="2" t="s">
        <v>2155</v>
      </c>
      <c r="D1635" s="2" t="s">
        <v>2155</v>
      </c>
      <c r="E1635" s="3">
        <v>1080</v>
      </c>
      <c r="F1635" s="3">
        <v>1080</v>
      </c>
      <c r="G1635" s="2" t="s">
        <v>11</v>
      </c>
      <c r="H1635" s="2" t="s">
        <v>2036</v>
      </c>
      <c r="I1635" s="2" t="s">
        <v>1113</v>
      </c>
    </row>
    <row r="1636" spans="1:9" ht="16" x14ac:dyDescent="0.8">
      <c r="A1636" s="2" t="s">
        <v>2156</v>
      </c>
      <c r="B1636" s="2" t="s">
        <v>21</v>
      </c>
      <c r="C1636" s="2" t="s">
        <v>22</v>
      </c>
      <c r="D1636" s="2" t="s">
        <v>22</v>
      </c>
      <c r="E1636" s="3">
        <v>19840</v>
      </c>
      <c r="F1636" s="3">
        <v>0</v>
      </c>
      <c r="G1636" s="2" t="s">
        <v>196</v>
      </c>
      <c r="H1636" s="2" t="s">
        <v>2036</v>
      </c>
      <c r="I1636" s="2" t="s">
        <v>23</v>
      </c>
    </row>
    <row r="1637" spans="1:9" ht="16" x14ac:dyDescent="0.8">
      <c r="A1637" s="2" t="s">
        <v>2156</v>
      </c>
      <c r="B1637" s="2" t="s">
        <v>24</v>
      </c>
      <c r="C1637" s="2" t="s">
        <v>25</v>
      </c>
      <c r="D1637" s="2" t="s">
        <v>25</v>
      </c>
      <c r="E1637" s="3">
        <v>10240</v>
      </c>
      <c r="F1637" s="3">
        <v>0</v>
      </c>
      <c r="G1637" s="2" t="s">
        <v>196</v>
      </c>
      <c r="H1637" s="2" t="s">
        <v>2036</v>
      </c>
      <c r="I1637" s="2" t="s">
        <v>23</v>
      </c>
    </row>
    <row r="1638" spans="1:9" ht="16" x14ac:dyDescent="0.8">
      <c r="A1638" s="2" t="s">
        <v>2156</v>
      </c>
      <c r="B1638" s="2" t="s">
        <v>26</v>
      </c>
      <c r="C1638" s="2" t="s">
        <v>27</v>
      </c>
      <c r="D1638" s="2" t="s">
        <v>27</v>
      </c>
      <c r="E1638" s="3">
        <v>33920</v>
      </c>
      <c r="F1638" s="3">
        <v>0</v>
      </c>
      <c r="G1638" s="2" t="s">
        <v>196</v>
      </c>
      <c r="H1638" s="2" t="s">
        <v>2036</v>
      </c>
      <c r="I1638" s="2" t="s">
        <v>23</v>
      </c>
    </row>
    <row r="1639" spans="1:9" ht="16" x14ac:dyDescent="0.8">
      <c r="A1639" s="2" t="s">
        <v>2156</v>
      </c>
      <c r="B1639" s="2" t="s">
        <v>28</v>
      </c>
      <c r="C1639" s="2" t="s">
        <v>29</v>
      </c>
      <c r="D1639" s="2" t="s">
        <v>29</v>
      </c>
      <c r="E1639" s="3">
        <v>30080</v>
      </c>
      <c r="F1639" s="3">
        <v>0</v>
      </c>
      <c r="G1639" s="2" t="s">
        <v>196</v>
      </c>
      <c r="H1639" s="2" t="s">
        <v>2036</v>
      </c>
      <c r="I1639" s="2" t="s">
        <v>23</v>
      </c>
    </row>
    <row r="1640" spans="1:9" ht="16" x14ac:dyDescent="0.8">
      <c r="A1640" s="2" t="s">
        <v>2157</v>
      </c>
      <c r="B1640" s="2" t="s">
        <v>2158</v>
      </c>
      <c r="C1640" s="2" t="s">
        <v>2159</v>
      </c>
      <c r="D1640" s="2" t="s">
        <v>2159</v>
      </c>
      <c r="E1640" s="3">
        <v>15000000</v>
      </c>
      <c r="F1640" s="3">
        <v>0</v>
      </c>
      <c r="G1640" s="2" t="s">
        <v>196</v>
      </c>
      <c r="H1640" s="2" t="s">
        <v>2036</v>
      </c>
      <c r="I1640" s="2" t="s">
        <v>847</v>
      </c>
    </row>
    <row r="1641" spans="1:9" ht="16" x14ac:dyDescent="0.8">
      <c r="A1641" s="2" t="s">
        <v>2160</v>
      </c>
      <c r="B1641" s="2" t="s">
        <v>160</v>
      </c>
      <c r="C1641" s="2" t="s">
        <v>161</v>
      </c>
      <c r="D1641" s="2" t="s">
        <v>161</v>
      </c>
      <c r="E1641" s="3">
        <v>1</v>
      </c>
      <c r="F1641" s="3">
        <v>0</v>
      </c>
      <c r="G1641" s="2" t="s">
        <v>196</v>
      </c>
      <c r="H1641" s="2" t="s">
        <v>2079</v>
      </c>
      <c r="I1641" s="2" t="s">
        <v>133</v>
      </c>
    </row>
    <row r="1642" spans="1:9" ht="16" x14ac:dyDescent="0.8">
      <c r="A1642" s="2" t="s">
        <v>2160</v>
      </c>
      <c r="B1642" s="2" t="s">
        <v>140</v>
      </c>
      <c r="C1642" s="2" t="s">
        <v>141</v>
      </c>
      <c r="D1642" s="2" t="s">
        <v>141</v>
      </c>
      <c r="E1642" s="3">
        <v>1</v>
      </c>
      <c r="F1642" s="3">
        <v>0</v>
      </c>
      <c r="G1642" s="2" t="s">
        <v>196</v>
      </c>
      <c r="H1642" s="2" t="s">
        <v>2079</v>
      </c>
      <c r="I1642" s="2" t="s">
        <v>133</v>
      </c>
    </row>
    <row r="1643" spans="1:9" ht="16" x14ac:dyDescent="0.8">
      <c r="A1643" s="2" t="s">
        <v>2160</v>
      </c>
      <c r="B1643" s="2" t="s">
        <v>150</v>
      </c>
      <c r="C1643" s="2" t="s">
        <v>151</v>
      </c>
      <c r="D1643" s="2" t="s">
        <v>151</v>
      </c>
      <c r="E1643" s="3">
        <v>2</v>
      </c>
      <c r="F1643" s="3">
        <v>0</v>
      </c>
      <c r="G1643" s="2" t="s">
        <v>196</v>
      </c>
      <c r="H1643" s="2" t="s">
        <v>2079</v>
      </c>
      <c r="I1643" s="2" t="s">
        <v>133</v>
      </c>
    </row>
    <row r="1644" spans="1:9" ht="16" x14ac:dyDescent="0.8">
      <c r="A1644" s="2" t="s">
        <v>2160</v>
      </c>
      <c r="B1644" s="2" t="s">
        <v>148</v>
      </c>
      <c r="C1644" s="2" t="s">
        <v>149</v>
      </c>
      <c r="D1644" s="2" t="s">
        <v>149</v>
      </c>
      <c r="E1644" s="3">
        <v>4</v>
      </c>
      <c r="F1644" s="3">
        <v>0</v>
      </c>
      <c r="G1644" s="2" t="s">
        <v>196</v>
      </c>
      <c r="H1644" s="2" t="s">
        <v>2079</v>
      </c>
      <c r="I1644" s="2" t="s">
        <v>133</v>
      </c>
    </row>
    <row r="1645" spans="1:9" ht="16" x14ac:dyDescent="0.8">
      <c r="A1645" s="2" t="s">
        <v>2160</v>
      </c>
      <c r="B1645" s="2" t="s">
        <v>2161</v>
      </c>
      <c r="C1645" s="2" t="s">
        <v>2162</v>
      </c>
      <c r="D1645" s="2" t="s">
        <v>2162</v>
      </c>
      <c r="E1645" s="3">
        <v>1</v>
      </c>
      <c r="F1645" s="3">
        <v>0</v>
      </c>
      <c r="G1645" s="2" t="s">
        <v>196</v>
      </c>
      <c r="H1645" s="2" t="s">
        <v>2079</v>
      </c>
      <c r="I1645" s="2" t="s">
        <v>133</v>
      </c>
    </row>
    <row r="1646" spans="1:9" ht="16" x14ac:dyDescent="0.8">
      <c r="A1646" s="2" t="s">
        <v>2163</v>
      </c>
      <c r="B1646" s="2" t="s">
        <v>1484</v>
      </c>
      <c r="C1646" s="2" t="s">
        <v>1485</v>
      </c>
      <c r="D1646" s="2" t="s">
        <v>1485</v>
      </c>
      <c r="E1646" s="3">
        <v>6756</v>
      </c>
      <c r="F1646" s="3">
        <v>6756</v>
      </c>
      <c r="G1646" s="2" t="s">
        <v>11</v>
      </c>
      <c r="H1646" s="2" t="s">
        <v>2079</v>
      </c>
      <c r="I1646" s="2" t="s">
        <v>1486</v>
      </c>
    </row>
    <row r="1647" spans="1:9" ht="16" x14ac:dyDescent="0.8">
      <c r="A1647" s="2" t="s">
        <v>2163</v>
      </c>
      <c r="B1647" s="2" t="s">
        <v>1488</v>
      </c>
      <c r="C1647" s="2" t="s">
        <v>1489</v>
      </c>
      <c r="D1647" s="2" t="s">
        <v>1489</v>
      </c>
      <c r="E1647" s="3">
        <v>4380</v>
      </c>
      <c r="F1647" s="3">
        <v>4380</v>
      </c>
      <c r="G1647" s="2" t="s">
        <v>11</v>
      </c>
      <c r="H1647" s="2" t="s">
        <v>2079</v>
      </c>
      <c r="I1647" s="2" t="s">
        <v>1486</v>
      </c>
    </row>
    <row r="1648" spans="1:9" ht="16" x14ac:dyDescent="0.8">
      <c r="A1648" s="2" t="s">
        <v>2164</v>
      </c>
      <c r="B1648" s="2" t="s">
        <v>1491</v>
      </c>
      <c r="C1648" s="2" t="s">
        <v>1492</v>
      </c>
      <c r="D1648" s="2" t="s">
        <v>1492</v>
      </c>
      <c r="E1648" s="3">
        <v>2900</v>
      </c>
      <c r="F1648" s="3">
        <v>2900</v>
      </c>
      <c r="G1648" s="2" t="s">
        <v>11</v>
      </c>
      <c r="H1648" s="2" t="s">
        <v>2079</v>
      </c>
      <c r="I1648" s="2" t="s">
        <v>1125</v>
      </c>
    </row>
    <row r="1649" spans="1:9" ht="16" x14ac:dyDescent="0.8">
      <c r="A1649" s="2" t="s">
        <v>2165</v>
      </c>
      <c r="B1649" s="2" t="s">
        <v>73</v>
      </c>
      <c r="C1649" s="2" t="s">
        <v>74</v>
      </c>
      <c r="D1649" s="2" t="s">
        <v>74</v>
      </c>
      <c r="E1649" s="3">
        <v>1</v>
      </c>
      <c r="F1649" s="3">
        <v>0</v>
      </c>
      <c r="G1649" s="2" t="s">
        <v>11</v>
      </c>
      <c r="H1649" s="2" t="s">
        <v>1841</v>
      </c>
      <c r="I1649" s="2" t="s">
        <v>75</v>
      </c>
    </row>
    <row r="1650" spans="1:9" ht="16" x14ac:dyDescent="0.8">
      <c r="A1650" s="2" t="s">
        <v>2166</v>
      </c>
      <c r="B1650" s="2" t="s">
        <v>943</v>
      </c>
      <c r="C1650" s="2" t="s">
        <v>944</v>
      </c>
      <c r="D1650" s="2" t="s">
        <v>944</v>
      </c>
      <c r="E1650" s="3">
        <v>3060</v>
      </c>
      <c r="F1650" s="3">
        <v>3060</v>
      </c>
      <c r="G1650" s="2" t="s">
        <v>11</v>
      </c>
      <c r="H1650" s="2" t="s">
        <v>2079</v>
      </c>
      <c r="I1650" s="2" t="s">
        <v>168</v>
      </c>
    </row>
    <row r="1651" spans="1:9" ht="16" x14ac:dyDescent="0.8">
      <c r="A1651" s="2" t="s">
        <v>2166</v>
      </c>
      <c r="B1651" s="2" t="s">
        <v>863</v>
      </c>
      <c r="C1651" s="2" t="s">
        <v>864</v>
      </c>
      <c r="D1651" s="2" t="s">
        <v>864</v>
      </c>
      <c r="E1651" s="3">
        <v>47970</v>
      </c>
      <c r="F1651" s="3">
        <v>47970</v>
      </c>
      <c r="G1651" s="2" t="s">
        <v>11</v>
      </c>
      <c r="H1651" s="2" t="s">
        <v>2079</v>
      </c>
      <c r="I1651" s="2" t="s">
        <v>168</v>
      </c>
    </row>
    <row r="1652" spans="1:9" ht="16" x14ac:dyDescent="0.8">
      <c r="A1652" s="2" t="s">
        <v>2166</v>
      </c>
      <c r="B1652" s="2" t="s">
        <v>865</v>
      </c>
      <c r="C1652" s="2" t="s">
        <v>866</v>
      </c>
      <c r="D1652" s="2" t="s">
        <v>866</v>
      </c>
      <c r="E1652" s="3">
        <v>33240</v>
      </c>
      <c r="F1652" s="3">
        <v>33240</v>
      </c>
      <c r="G1652" s="2" t="s">
        <v>11</v>
      </c>
      <c r="H1652" s="2" t="s">
        <v>2079</v>
      </c>
      <c r="I1652" s="2" t="s">
        <v>168</v>
      </c>
    </row>
    <row r="1653" spans="1:9" ht="16" x14ac:dyDescent="0.8">
      <c r="A1653" s="2" t="s">
        <v>2167</v>
      </c>
      <c r="B1653" s="2" t="s">
        <v>1792</v>
      </c>
      <c r="C1653" s="2" t="s">
        <v>1793</v>
      </c>
      <c r="D1653" s="2" t="s">
        <v>1793</v>
      </c>
      <c r="E1653" s="3">
        <v>2</v>
      </c>
      <c r="F1653" s="3">
        <v>2</v>
      </c>
      <c r="G1653" s="2" t="s">
        <v>11</v>
      </c>
      <c r="H1653" s="2" t="s">
        <v>2168</v>
      </c>
      <c r="I1653" s="2" t="s">
        <v>1274</v>
      </c>
    </row>
    <row r="1654" spans="1:9" ht="16" x14ac:dyDescent="0.8">
      <c r="A1654" s="2" t="s">
        <v>2169</v>
      </c>
      <c r="B1654" s="2" t="s">
        <v>1024</v>
      </c>
      <c r="C1654" s="2" t="s">
        <v>1025</v>
      </c>
      <c r="D1654" s="2" t="s">
        <v>1025</v>
      </c>
      <c r="E1654" s="3">
        <v>360</v>
      </c>
      <c r="F1654" s="3">
        <v>360</v>
      </c>
      <c r="G1654" s="2" t="s">
        <v>11</v>
      </c>
      <c r="H1654" s="2" t="s">
        <v>2168</v>
      </c>
      <c r="I1654" s="2" t="s">
        <v>17</v>
      </c>
    </row>
    <row r="1655" spans="1:9" ht="16" x14ac:dyDescent="0.8">
      <c r="A1655" s="2" t="s">
        <v>2170</v>
      </c>
      <c r="B1655" s="2" t="s">
        <v>90</v>
      </c>
      <c r="C1655" s="2" t="s">
        <v>91</v>
      </c>
      <c r="D1655" s="2" t="s">
        <v>91</v>
      </c>
      <c r="E1655" s="3">
        <v>5</v>
      </c>
      <c r="F1655" s="3">
        <v>5</v>
      </c>
      <c r="G1655" s="2" t="s">
        <v>11</v>
      </c>
      <c r="H1655" s="2" t="s">
        <v>2168</v>
      </c>
      <c r="I1655" s="2" t="s">
        <v>87</v>
      </c>
    </row>
    <row r="1656" spans="1:9" ht="16" x14ac:dyDescent="0.8">
      <c r="A1656" s="2" t="s">
        <v>2170</v>
      </c>
      <c r="B1656" s="2" t="s">
        <v>102</v>
      </c>
      <c r="C1656" s="2" t="s">
        <v>103</v>
      </c>
      <c r="D1656" s="2" t="s">
        <v>103</v>
      </c>
      <c r="E1656" s="3">
        <v>1</v>
      </c>
      <c r="F1656" s="3">
        <v>1</v>
      </c>
      <c r="G1656" s="2" t="s">
        <v>11</v>
      </c>
      <c r="H1656" s="2" t="s">
        <v>2168</v>
      </c>
      <c r="I1656" s="2" t="s">
        <v>87</v>
      </c>
    </row>
    <row r="1657" spans="1:9" ht="16" x14ac:dyDescent="0.8">
      <c r="A1657" s="2" t="s">
        <v>2170</v>
      </c>
      <c r="B1657" s="2" t="s">
        <v>94</v>
      </c>
      <c r="C1657" s="2" t="s">
        <v>95</v>
      </c>
      <c r="D1657" s="2" t="s">
        <v>95</v>
      </c>
      <c r="E1657" s="3">
        <v>1</v>
      </c>
      <c r="F1657" s="3">
        <v>1</v>
      </c>
      <c r="G1657" s="2" t="s">
        <v>11</v>
      </c>
      <c r="H1657" s="2" t="s">
        <v>2168</v>
      </c>
      <c r="I1657" s="2" t="s">
        <v>87</v>
      </c>
    </row>
    <row r="1658" spans="1:9" ht="16" x14ac:dyDescent="0.8">
      <c r="A1658" s="2" t="s">
        <v>2170</v>
      </c>
      <c r="B1658" s="2" t="s">
        <v>98</v>
      </c>
      <c r="C1658" s="2" t="s">
        <v>99</v>
      </c>
      <c r="D1658" s="2" t="s">
        <v>99</v>
      </c>
      <c r="E1658" s="3">
        <v>1</v>
      </c>
      <c r="F1658" s="3">
        <v>1</v>
      </c>
      <c r="G1658" s="2" t="s">
        <v>11</v>
      </c>
      <c r="H1658" s="2" t="s">
        <v>2168</v>
      </c>
      <c r="I1658" s="2" t="s">
        <v>87</v>
      </c>
    </row>
    <row r="1659" spans="1:9" ht="16" x14ac:dyDescent="0.8">
      <c r="A1659" s="2" t="s">
        <v>2170</v>
      </c>
      <c r="B1659" s="2" t="s">
        <v>85</v>
      </c>
      <c r="C1659" s="2" t="s">
        <v>86</v>
      </c>
      <c r="D1659" s="2" t="s">
        <v>86</v>
      </c>
      <c r="E1659" s="3">
        <v>4</v>
      </c>
      <c r="F1659" s="3">
        <v>4</v>
      </c>
      <c r="G1659" s="2" t="s">
        <v>11</v>
      </c>
      <c r="H1659" s="2" t="s">
        <v>2168</v>
      </c>
      <c r="I1659" s="2" t="s">
        <v>87</v>
      </c>
    </row>
    <row r="1660" spans="1:9" ht="16" x14ac:dyDescent="0.8">
      <c r="A1660" s="2" t="s">
        <v>2171</v>
      </c>
      <c r="B1660" s="2" t="s">
        <v>2172</v>
      </c>
      <c r="C1660" s="2" t="s">
        <v>2173</v>
      </c>
      <c r="D1660" s="2" t="s">
        <v>2173</v>
      </c>
      <c r="E1660" s="3">
        <v>6800</v>
      </c>
      <c r="F1660" s="3">
        <v>6800</v>
      </c>
      <c r="G1660" s="2" t="s">
        <v>11</v>
      </c>
      <c r="H1660" s="2" t="s">
        <v>2168</v>
      </c>
      <c r="I1660" s="2" t="s">
        <v>256</v>
      </c>
    </row>
    <row r="1661" spans="1:9" ht="16" x14ac:dyDescent="0.8">
      <c r="A1661" s="2" t="s">
        <v>2174</v>
      </c>
      <c r="B1661" s="2" t="s">
        <v>764</v>
      </c>
      <c r="C1661" s="2" t="s">
        <v>765</v>
      </c>
      <c r="D1661" s="2" t="s">
        <v>765</v>
      </c>
      <c r="E1661" s="3">
        <v>2000</v>
      </c>
      <c r="F1661" s="3">
        <v>2000</v>
      </c>
      <c r="G1661" s="2" t="s">
        <v>11</v>
      </c>
      <c r="H1661" s="2" t="s">
        <v>2042</v>
      </c>
      <c r="I1661" s="2" t="s">
        <v>1353</v>
      </c>
    </row>
    <row r="1662" spans="1:9" ht="16" x14ac:dyDescent="0.8">
      <c r="A1662" s="2" t="s">
        <v>2175</v>
      </c>
      <c r="B1662" s="2" t="s">
        <v>2172</v>
      </c>
      <c r="C1662" s="2" t="s">
        <v>2173</v>
      </c>
      <c r="D1662" s="2" t="s">
        <v>2173</v>
      </c>
      <c r="E1662" s="3">
        <v>3200</v>
      </c>
      <c r="F1662" s="3">
        <v>3200</v>
      </c>
      <c r="G1662" s="2" t="s">
        <v>11</v>
      </c>
      <c r="H1662" s="2" t="s">
        <v>2042</v>
      </c>
      <c r="I1662" s="2" t="s">
        <v>256</v>
      </c>
    </row>
    <row r="1663" spans="1:9" ht="16" x14ac:dyDescent="0.8">
      <c r="A1663" s="2" t="s">
        <v>2176</v>
      </c>
      <c r="B1663" s="2" t="s">
        <v>2177</v>
      </c>
      <c r="C1663" s="2" t="s">
        <v>2178</v>
      </c>
      <c r="D1663" s="2" t="s">
        <v>2178</v>
      </c>
      <c r="E1663" s="3">
        <v>251136</v>
      </c>
      <c r="F1663" s="3">
        <v>0</v>
      </c>
      <c r="G1663" s="2" t="s">
        <v>196</v>
      </c>
      <c r="H1663" s="2" t="s">
        <v>2042</v>
      </c>
      <c r="I1663" s="2" t="s">
        <v>2179</v>
      </c>
    </row>
    <row r="1664" spans="1:9" ht="16" x14ac:dyDescent="0.8">
      <c r="A1664" s="2" t="s">
        <v>2180</v>
      </c>
      <c r="B1664" s="2" t="s">
        <v>2177</v>
      </c>
      <c r="C1664" s="2" t="s">
        <v>2178</v>
      </c>
      <c r="D1664" s="2" t="s">
        <v>2178</v>
      </c>
      <c r="E1664" s="3">
        <v>251136</v>
      </c>
      <c r="F1664" s="3">
        <v>0</v>
      </c>
      <c r="G1664" s="2" t="s">
        <v>196</v>
      </c>
      <c r="H1664" s="2" t="s">
        <v>2042</v>
      </c>
      <c r="I1664" s="2" t="s">
        <v>2179</v>
      </c>
    </row>
    <row r="1665" spans="1:9" ht="16" x14ac:dyDescent="0.8">
      <c r="A1665" s="2" t="s">
        <v>2181</v>
      </c>
      <c r="B1665" s="2" t="s">
        <v>2182</v>
      </c>
      <c r="C1665" s="2" t="s">
        <v>245</v>
      </c>
      <c r="D1665" s="2" t="s">
        <v>245</v>
      </c>
      <c r="E1665" s="3">
        <v>5082</v>
      </c>
      <c r="F1665" s="3">
        <v>5082</v>
      </c>
      <c r="G1665" s="2" t="s">
        <v>11</v>
      </c>
      <c r="H1665" s="2" t="s">
        <v>2042</v>
      </c>
      <c r="I1665" s="2" t="s">
        <v>201</v>
      </c>
    </row>
    <row r="1666" spans="1:9" ht="16" x14ac:dyDescent="0.8">
      <c r="A1666" s="2" t="s">
        <v>2181</v>
      </c>
      <c r="B1666" s="2" t="s">
        <v>2183</v>
      </c>
      <c r="C1666" s="2" t="s">
        <v>2184</v>
      </c>
      <c r="D1666" s="2" t="s">
        <v>2184</v>
      </c>
      <c r="E1666" s="3">
        <v>5082</v>
      </c>
      <c r="F1666" s="3">
        <v>5082</v>
      </c>
      <c r="G1666" s="2" t="s">
        <v>11</v>
      </c>
      <c r="H1666" s="2" t="s">
        <v>2042</v>
      </c>
      <c r="I1666" s="2" t="s">
        <v>201</v>
      </c>
    </row>
    <row r="1667" spans="1:9" ht="16" x14ac:dyDescent="0.8">
      <c r="A1667" s="2" t="s">
        <v>2181</v>
      </c>
      <c r="B1667" s="2" t="s">
        <v>2185</v>
      </c>
      <c r="C1667" s="2" t="s">
        <v>2186</v>
      </c>
      <c r="D1667" s="2" t="s">
        <v>2186</v>
      </c>
      <c r="E1667" s="3">
        <v>5082</v>
      </c>
      <c r="F1667" s="3">
        <v>5082</v>
      </c>
      <c r="G1667" s="2" t="s">
        <v>11</v>
      </c>
      <c r="H1667" s="2" t="s">
        <v>2042</v>
      </c>
      <c r="I1667" s="2" t="s">
        <v>201</v>
      </c>
    </row>
    <row r="1668" spans="1:9" ht="16" x14ac:dyDescent="0.8">
      <c r="A1668" s="2" t="s">
        <v>2187</v>
      </c>
      <c r="B1668" s="2" t="s">
        <v>2182</v>
      </c>
      <c r="C1668" s="2" t="s">
        <v>245</v>
      </c>
      <c r="D1668" s="2" t="s">
        <v>245</v>
      </c>
      <c r="E1668" s="3">
        <v>8316</v>
      </c>
      <c r="F1668" s="3">
        <v>8316</v>
      </c>
      <c r="G1668" s="2" t="s">
        <v>11</v>
      </c>
      <c r="H1668" s="2" t="s">
        <v>2042</v>
      </c>
      <c r="I1668" s="2" t="s">
        <v>201</v>
      </c>
    </row>
    <row r="1669" spans="1:9" ht="16" x14ac:dyDescent="0.8">
      <c r="A1669" s="2" t="s">
        <v>2187</v>
      </c>
      <c r="B1669" s="2" t="s">
        <v>2183</v>
      </c>
      <c r="C1669" s="2" t="s">
        <v>2184</v>
      </c>
      <c r="D1669" s="2" t="s">
        <v>2184</v>
      </c>
      <c r="E1669" s="3">
        <v>6978</v>
      </c>
      <c r="F1669" s="3">
        <v>6978</v>
      </c>
      <c r="G1669" s="2" t="s">
        <v>11</v>
      </c>
      <c r="H1669" s="2" t="s">
        <v>2042</v>
      </c>
      <c r="I1669" s="2" t="s">
        <v>201</v>
      </c>
    </row>
    <row r="1670" spans="1:9" ht="16" x14ac:dyDescent="0.8">
      <c r="A1670" s="2" t="s">
        <v>2187</v>
      </c>
      <c r="B1670" s="2" t="s">
        <v>2185</v>
      </c>
      <c r="C1670" s="2" t="s">
        <v>2186</v>
      </c>
      <c r="D1670" s="2" t="s">
        <v>2186</v>
      </c>
      <c r="E1670" s="3">
        <v>9660</v>
      </c>
      <c r="F1670" s="3">
        <v>9660</v>
      </c>
      <c r="G1670" s="2" t="s">
        <v>11</v>
      </c>
      <c r="H1670" s="2" t="s">
        <v>2042</v>
      </c>
      <c r="I1670" s="2" t="s">
        <v>201</v>
      </c>
    </row>
    <row r="1671" spans="1:9" ht="16" x14ac:dyDescent="0.8">
      <c r="A1671" s="2" t="s">
        <v>2188</v>
      </c>
      <c r="B1671" s="2" t="s">
        <v>2189</v>
      </c>
      <c r="C1671" s="2" t="s">
        <v>2190</v>
      </c>
      <c r="D1671" s="2" t="s">
        <v>2190</v>
      </c>
      <c r="E1671" s="3">
        <v>10</v>
      </c>
      <c r="F1671" s="3">
        <v>10</v>
      </c>
      <c r="G1671" s="2" t="s">
        <v>196</v>
      </c>
      <c r="H1671" s="2" t="s">
        <v>2042</v>
      </c>
      <c r="I1671" s="2" t="s">
        <v>53</v>
      </c>
    </row>
    <row r="1672" spans="1:9" ht="16" x14ac:dyDescent="0.8">
      <c r="A1672" s="2" t="s">
        <v>2188</v>
      </c>
      <c r="B1672" s="2" t="s">
        <v>2191</v>
      </c>
      <c r="C1672" s="2" t="s">
        <v>2192</v>
      </c>
      <c r="D1672" s="2" t="s">
        <v>2192</v>
      </c>
      <c r="E1672" s="3">
        <v>35</v>
      </c>
      <c r="F1672" s="3">
        <v>35</v>
      </c>
      <c r="G1672" s="2" t="s">
        <v>196</v>
      </c>
      <c r="H1672" s="2" t="s">
        <v>2042</v>
      </c>
      <c r="I1672" s="2" t="s">
        <v>53</v>
      </c>
    </row>
    <row r="1673" spans="1:9" ht="16" x14ac:dyDescent="0.8">
      <c r="A1673" s="2" t="s">
        <v>2188</v>
      </c>
      <c r="B1673" s="2" t="s">
        <v>2193</v>
      </c>
      <c r="C1673" s="2" t="s">
        <v>2194</v>
      </c>
      <c r="D1673" s="2" t="s">
        <v>2194</v>
      </c>
      <c r="E1673" s="3">
        <v>378</v>
      </c>
      <c r="F1673" s="3">
        <v>378</v>
      </c>
      <c r="G1673" s="2" t="s">
        <v>196</v>
      </c>
      <c r="H1673" s="2" t="s">
        <v>2042</v>
      </c>
      <c r="I1673" s="2" t="s">
        <v>53</v>
      </c>
    </row>
    <row r="1674" spans="1:9" ht="16" x14ac:dyDescent="0.8">
      <c r="A1674" s="2" t="s">
        <v>2188</v>
      </c>
      <c r="B1674" s="2" t="s">
        <v>2195</v>
      </c>
      <c r="C1674" s="2" t="s">
        <v>2196</v>
      </c>
      <c r="D1674" s="2" t="s">
        <v>2196</v>
      </c>
      <c r="E1674" s="3">
        <v>15</v>
      </c>
      <c r="F1674" s="3">
        <v>15</v>
      </c>
      <c r="G1674" s="2" t="s">
        <v>196</v>
      </c>
      <c r="H1674" s="2" t="s">
        <v>2042</v>
      </c>
      <c r="I1674" s="2" t="s">
        <v>53</v>
      </c>
    </row>
    <row r="1675" spans="1:9" ht="16" x14ac:dyDescent="0.8">
      <c r="A1675" s="2" t="s">
        <v>2188</v>
      </c>
      <c r="B1675" s="2" t="s">
        <v>2197</v>
      </c>
      <c r="C1675" s="2" t="s">
        <v>2198</v>
      </c>
      <c r="D1675" s="2" t="s">
        <v>2198</v>
      </c>
      <c r="E1675" s="3">
        <v>72</v>
      </c>
      <c r="F1675" s="3">
        <v>72</v>
      </c>
      <c r="G1675" s="2" t="s">
        <v>196</v>
      </c>
      <c r="H1675" s="2" t="s">
        <v>2042</v>
      </c>
      <c r="I1675" s="2" t="s">
        <v>53</v>
      </c>
    </row>
    <row r="1676" spans="1:9" ht="16" x14ac:dyDescent="0.8">
      <c r="A1676" s="2" t="s">
        <v>2188</v>
      </c>
      <c r="B1676" s="2" t="s">
        <v>2199</v>
      </c>
      <c r="C1676" s="2" t="s">
        <v>2200</v>
      </c>
      <c r="D1676" s="2" t="s">
        <v>2200</v>
      </c>
      <c r="E1676" s="3">
        <v>34</v>
      </c>
      <c r="F1676" s="3">
        <v>34</v>
      </c>
      <c r="G1676" s="2" t="s">
        <v>196</v>
      </c>
      <c r="H1676" s="2" t="s">
        <v>2042</v>
      </c>
      <c r="I1676" s="2" t="s">
        <v>53</v>
      </c>
    </row>
    <row r="1677" spans="1:9" ht="16" x14ac:dyDescent="0.8">
      <c r="A1677" s="2" t="s">
        <v>2188</v>
      </c>
      <c r="B1677" s="2" t="s">
        <v>2201</v>
      </c>
      <c r="C1677" s="2" t="s">
        <v>2202</v>
      </c>
      <c r="D1677" s="2" t="s">
        <v>2202</v>
      </c>
      <c r="E1677" s="3">
        <v>135</v>
      </c>
      <c r="F1677" s="3">
        <v>135</v>
      </c>
      <c r="G1677" s="2" t="s">
        <v>196</v>
      </c>
      <c r="H1677" s="2" t="s">
        <v>2042</v>
      </c>
      <c r="I1677" s="2" t="s">
        <v>53</v>
      </c>
    </row>
    <row r="1678" spans="1:9" ht="16" x14ac:dyDescent="0.8">
      <c r="A1678" s="2" t="s">
        <v>2188</v>
      </c>
      <c r="B1678" s="2" t="s">
        <v>2203</v>
      </c>
      <c r="C1678" s="2" t="s">
        <v>2204</v>
      </c>
      <c r="D1678" s="2" t="s">
        <v>2204</v>
      </c>
      <c r="E1678" s="3">
        <v>10</v>
      </c>
      <c r="F1678" s="3">
        <v>10</v>
      </c>
      <c r="G1678" s="2" t="s">
        <v>196</v>
      </c>
      <c r="H1678" s="2" t="s">
        <v>2042</v>
      </c>
      <c r="I1678" s="2" t="s">
        <v>53</v>
      </c>
    </row>
    <row r="1679" spans="1:9" ht="16" x14ac:dyDescent="0.8">
      <c r="A1679" s="2" t="s">
        <v>2188</v>
      </c>
      <c r="B1679" s="2" t="s">
        <v>2205</v>
      </c>
      <c r="C1679" s="2" t="s">
        <v>2206</v>
      </c>
      <c r="D1679" s="2" t="s">
        <v>2206</v>
      </c>
      <c r="E1679" s="3">
        <v>5</v>
      </c>
      <c r="F1679" s="3">
        <v>5</v>
      </c>
      <c r="G1679" s="2" t="s">
        <v>196</v>
      </c>
      <c r="H1679" s="2" t="s">
        <v>2042</v>
      </c>
      <c r="I1679" s="2" t="s">
        <v>53</v>
      </c>
    </row>
    <row r="1680" spans="1:9" ht="16" x14ac:dyDescent="0.8">
      <c r="A1680" s="2" t="s">
        <v>2188</v>
      </c>
      <c r="B1680" s="2" t="s">
        <v>2207</v>
      </c>
      <c r="C1680" s="2" t="s">
        <v>2208</v>
      </c>
      <c r="D1680" s="2" t="s">
        <v>2208</v>
      </c>
      <c r="E1680" s="3">
        <v>11</v>
      </c>
      <c r="F1680" s="3">
        <v>11</v>
      </c>
      <c r="G1680" s="2" t="s">
        <v>196</v>
      </c>
      <c r="H1680" s="2" t="s">
        <v>2042</v>
      </c>
      <c r="I1680" s="2" t="s">
        <v>53</v>
      </c>
    </row>
    <row r="1681" spans="1:9" ht="16" x14ac:dyDescent="0.8">
      <c r="A1681" s="2" t="s">
        <v>2188</v>
      </c>
      <c r="B1681" s="2" t="s">
        <v>2209</v>
      </c>
      <c r="C1681" s="2" t="s">
        <v>2210</v>
      </c>
      <c r="D1681" s="2" t="s">
        <v>2210</v>
      </c>
      <c r="E1681" s="3">
        <v>91</v>
      </c>
      <c r="F1681" s="3">
        <v>91</v>
      </c>
      <c r="G1681" s="2" t="s">
        <v>196</v>
      </c>
      <c r="H1681" s="2" t="s">
        <v>2042</v>
      </c>
      <c r="I1681" s="2" t="s">
        <v>53</v>
      </c>
    </row>
    <row r="1682" spans="1:9" ht="16" x14ac:dyDescent="0.8">
      <c r="A1682" s="2" t="s">
        <v>2188</v>
      </c>
      <c r="B1682" s="2" t="s">
        <v>2211</v>
      </c>
      <c r="C1682" s="2" t="s">
        <v>2212</v>
      </c>
      <c r="D1682" s="2" t="s">
        <v>2212</v>
      </c>
      <c r="E1682" s="3">
        <v>566</v>
      </c>
      <c r="F1682" s="3">
        <v>149</v>
      </c>
      <c r="G1682" s="2" t="s">
        <v>196</v>
      </c>
      <c r="H1682" s="2" t="s">
        <v>2042</v>
      </c>
      <c r="I1682" s="2" t="s">
        <v>53</v>
      </c>
    </row>
    <row r="1683" spans="1:9" ht="16" x14ac:dyDescent="0.8">
      <c r="A1683" s="2" t="s">
        <v>2188</v>
      </c>
      <c r="B1683" s="2" t="s">
        <v>2213</v>
      </c>
      <c r="C1683" s="2" t="s">
        <v>2214</v>
      </c>
      <c r="D1683" s="2" t="s">
        <v>2214</v>
      </c>
      <c r="E1683" s="3">
        <v>319</v>
      </c>
      <c r="F1683" s="3">
        <v>319</v>
      </c>
      <c r="G1683" s="2" t="s">
        <v>196</v>
      </c>
      <c r="H1683" s="2" t="s">
        <v>2042</v>
      </c>
      <c r="I1683" s="2" t="s">
        <v>53</v>
      </c>
    </row>
    <row r="1684" spans="1:9" ht="16" x14ac:dyDescent="0.8">
      <c r="A1684" s="2" t="s">
        <v>2188</v>
      </c>
      <c r="B1684" s="2" t="s">
        <v>2215</v>
      </c>
      <c r="C1684" s="2" t="s">
        <v>2216</v>
      </c>
      <c r="D1684" s="2" t="s">
        <v>2216</v>
      </c>
      <c r="E1684" s="3">
        <v>950</v>
      </c>
      <c r="F1684" s="3">
        <v>500</v>
      </c>
      <c r="G1684" s="2" t="s">
        <v>196</v>
      </c>
      <c r="H1684" s="2" t="s">
        <v>2042</v>
      </c>
      <c r="I1684" s="2" t="s">
        <v>53</v>
      </c>
    </row>
    <row r="1685" spans="1:9" ht="16" x14ac:dyDescent="0.8">
      <c r="A1685" s="2" t="s">
        <v>2188</v>
      </c>
      <c r="B1685" s="2" t="s">
        <v>2217</v>
      </c>
      <c r="C1685" s="2" t="s">
        <v>2218</v>
      </c>
      <c r="D1685" s="2" t="s">
        <v>2218</v>
      </c>
      <c r="E1685" s="3">
        <v>3056</v>
      </c>
      <c r="F1685" s="3">
        <v>250</v>
      </c>
      <c r="G1685" s="2" t="s">
        <v>196</v>
      </c>
      <c r="H1685" s="2" t="s">
        <v>2042</v>
      </c>
      <c r="I1685" s="2" t="s">
        <v>53</v>
      </c>
    </row>
    <row r="1686" spans="1:9" ht="16" x14ac:dyDescent="0.8">
      <c r="A1686" s="2" t="s">
        <v>2188</v>
      </c>
      <c r="B1686" s="2" t="s">
        <v>2219</v>
      </c>
      <c r="C1686" s="2" t="s">
        <v>2220</v>
      </c>
      <c r="D1686" s="2" t="s">
        <v>2220</v>
      </c>
      <c r="E1686" s="3">
        <v>33</v>
      </c>
      <c r="F1686" s="3">
        <v>33</v>
      </c>
      <c r="G1686" s="2" t="s">
        <v>196</v>
      </c>
      <c r="H1686" s="2" t="s">
        <v>2042</v>
      </c>
      <c r="I1686" s="2" t="s">
        <v>53</v>
      </c>
    </row>
    <row r="1687" spans="1:9" ht="16" x14ac:dyDescent="0.8">
      <c r="A1687" s="2" t="s">
        <v>2188</v>
      </c>
      <c r="B1687" s="2" t="s">
        <v>2221</v>
      </c>
      <c r="C1687" s="2" t="s">
        <v>2222</v>
      </c>
      <c r="D1687" s="2" t="s">
        <v>2222</v>
      </c>
      <c r="E1687" s="3">
        <v>114</v>
      </c>
      <c r="F1687" s="3">
        <v>114</v>
      </c>
      <c r="G1687" s="2" t="s">
        <v>196</v>
      </c>
      <c r="H1687" s="2" t="s">
        <v>2042</v>
      </c>
      <c r="I1687" s="2" t="s">
        <v>53</v>
      </c>
    </row>
    <row r="1688" spans="1:9" ht="16" x14ac:dyDescent="0.8">
      <c r="A1688" s="2" t="s">
        <v>2188</v>
      </c>
      <c r="B1688" s="2" t="s">
        <v>2223</v>
      </c>
      <c r="C1688" s="2" t="s">
        <v>2224</v>
      </c>
      <c r="D1688" s="2" t="s">
        <v>2224</v>
      </c>
      <c r="E1688" s="3">
        <v>145</v>
      </c>
      <c r="F1688" s="3">
        <v>145</v>
      </c>
      <c r="G1688" s="2" t="s">
        <v>196</v>
      </c>
      <c r="H1688" s="2" t="s">
        <v>2042</v>
      </c>
      <c r="I1688" s="2" t="s">
        <v>53</v>
      </c>
    </row>
    <row r="1689" spans="1:9" ht="16" x14ac:dyDescent="0.8">
      <c r="A1689" s="2" t="s">
        <v>2188</v>
      </c>
      <c r="B1689" s="2" t="s">
        <v>2225</v>
      </c>
      <c r="C1689" s="2" t="s">
        <v>2226</v>
      </c>
      <c r="D1689" s="2" t="s">
        <v>2226</v>
      </c>
      <c r="E1689" s="3">
        <v>276</v>
      </c>
      <c r="F1689" s="3">
        <v>276</v>
      </c>
      <c r="G1689" s="2" t="s">
        <v>196</v>
      </c>
      <c r="H1689" s="2" t="s">
        <v>2042</v>
      </c>
      <c r="I1689" s="2" t="s">
        <v>53</v>
      </c>
    </row>
    <row r="1690" spans="1:9" ht="16" x14ac:dyDescent="0.8">
      <c r="A1690" s="2" t="s">
        <v>2188</v>
      </c>
      <c r="B1690" s="2" t="s">
        <v>2227</v>
      </c>
      <c r="C1690" s="2" t="s">
        <v>2228</v>
      </c>
      <c r="D1690" s="2" t="s">
        <v>2228</v>
      </c>
      <c r="E1690" s="3">
        <v>24</v>
      </c>
      <c r="F1690" s="3">
        <v>24</v>
      </c>
      <c r="G1690" s="2" t="s">
        <v>196</v>
      </c>
      <c r="H1690" s="2" t="s">
        <v>2042</v>
      </c>
      <c r="I1690" s="2" t="s">
        <v>53</v>
      </c>
    </row>
    <row r="1691" spans="1:9" ht="16" x14ac:dyDescent="0.8">
      <c r="A1691" s="2" t="s">
        <v>2188</v>
      </c>
      <c r="B1691" s="2" t="s">
        <v>2229</v>
      </c>
      <c r="C1691" s="2" t="s">
        <v>2230</v>
      </c>
      <c r="D1691" s="2" t="s">
        <v>2230</v>
      </c>
      <c r="E1691" s="3">
        <v>189</v>
      </c>
      <c r="F1691" s="3">
        <v>189</v>
      </c>
      <c r="G1691" s="2" t="s">
        <v>196</v>
      </c>
      <c r="H1691" s="2" t="s">
        <v>2042</v>
      </c>
      <c r="I1691" s="2" t="s">
        <v>53</v>
      </c>
    </row>
    <row r="1692" spans="1:9" ht="16" x14ac:dyDescent="0.8">
      <c r="A1692" s="2" t="s">
        <v>2188</v>
      </c>
      <c r="B1692" s="2" t="s">
        <v>2231</v>
      </c>
      <c r="C1692" s="2" t="s">
        <v>2232</v>
      </c>
      <c r="D1692" s="2" t="s">
        <v>2232</v>
      </c>
      <c r="E1692" s="3">
        <v>121</v>
      </c>
      <c r="F1692" s="3">
        <v>121</v>
      </c>
      <c r="G1692" s="2" t="s">
        <v>196</v>
      </c>
      <c r="H1692" s="2" t="s">
        <v>2042</v>
      </c>
      <c r="I1692" s="2" t="s">
        <v>53</v>
      </c>
    </row>
    <row r="1693" spans="1:9" ht="16" x14ac:dyDescent="0.8">
      <c r="A1693" s="2" t="s">
        <v>2188</v>
      </c>
      <c r="B1693" s="2" t="s">
        <v>2233</v>
      </c>
      <c r="C1693" s="2" t="s">
        <v>2234</v>
      </c>
      <c r="D1693" s="2" t="s">
        <v>2234</v>
      </c>
      <c r="E1693" s="3">
        <v>51</v>
      </c>
      <c r="F1693" s="3">
        <v>51</v>
      </c>
      <c r="G1693" s="2" t="s">
        <v>196</v>
      </c>
      <c r="H1693" s="2" t="s">
        <v>2042</v>
      </c>
      <c r="I1693" s="2" t="s">
        <v>53</v>
      </c>
    </row>
    <row r="1694" spans="1:9" ht="16" x14ac:dyDescent="0.8">
      <c r="A1694" s="2" t="s">
        <v>2188</v>
      </c>
      <c r="B1694" s="2" t="s">
        <v>2235</v>
      </c>
      <c r="C1694" s="2" t="s">
        <v>2236</v>
      </c>
      <c r="D1694" s="2" t="s">
        <v>2236</v>
      </c>
      <c r="E1694" s="3">
        <v>12</v>
      </c>
      <c r="F1694" s="3">
        <v>12</v>
      </c>
      <c r="G1694" s="2" t="s">
        <v>196</v>
      </c>
      <c r="H1694" s="2" t="s">
        <v>2042</v>
      </c>
      <c r="I1694" s="2" t="s">
        <v>53</v>
      </c>
    </row>
    <row r="1695" spans="1:9" ht="16" x14ac:dyDescent="0.8">
      <c r="A1695" s="2" t="s">
        <v>2188</v>
      </c>
      <c r="B1695" s="2" t="s">
        <v>2237</v>
      </c>
      <c r="C1695" s="2" t="s">
        <v>2238</v>
      </c>
      <c r="D1695" s="2" t="s">
        <v>2238</v>
      </c>
      <c r="E1695" s="3">
        <v>53</v>
      </c>
      <c r="F1695" s="3">
        <v>53</v>
      </c>
      <c r="G1695" s="2" t="s">
        <v>196</v>
      </c>
      <c r="H1695" s="2" t="s">
        <v>2042</v>
      </c>
      <c r="I1695" s="2" t="s">
        <v>53</v>
      </c>
    </row>
    <row r="1696" spans="1:9" ht="16" x14ac:dyDescent="0.8">
      <c r="A1696" s="2" t="s">
        <v>2188</v>
      </c>
      <c r="B1696" s="2" t="s">
        <v>2239</v>
      </c>
      <c r="C1696" s="2" t="s">
        <v>2240</v>
      </c>
      <c r="D1696" s="2" t="s">
        <v>2240</v>
      </c>
      <c r="E1696" s="3">
        <v>62</v>
      </c>
      <c r="F1696" s="3">
        <v>62</v>
      </c>
      <c r="G1696" s="2" t="s">
        <v>196</v>
      </c>
      <c r="H1696" s="2" t="s">
        <v>2042</v>
      </c>
      <c r="I1696" s="2" t="s">
        <v>53</v>
      </c>
    </row>
    <row r="1697" spans="1:9" ht="16" x14ac:dyDescent="0.8">
      <c r="A1697" s="2" t="s">
        <v>2188</v>
      </c>
      <c r="B1697" s="2" t="s">
        <v>2241</v>
      </c>
      <c r="C1697" s="2" t="s">
        <v>2242</v>
      </c>
      <c r="D1697" s="2" t="s">
        <v>2242</v>
      </c>
      <c r="E1697" s="3">
        <v>21</v>
      </c>
      <c r="F1697" s="3">
        <v>21</v>
      </c>
      <c r="G1697" s="2" t="s">
        <v>196</v>
      </c>
      <c r="H1697" s="2" t="s">
        <v>2042</v>
      </c>
      <c r="I1697" s="2" t="s">
        <v>53</v>
      </c>
    </row>
    <row r="1698" spans="1:9" ht="16" x14ac:dyDescent="0.8">
      <c r="A1698" s="2" t="s">
        <v>2188</v>
      </c>
      <c r="B1698" s="2" t="s">
        <v>2243</v>
      </c>
      <c r="C1698" s="2" t="s">
        <v>2244</v>
      </c>
      <c r="D1698" s="2" t="s">
        <v>2244</v>
      </c>
      <c r="E1698" s="3">
        <v>26</v>
      </c>
      <c r="F1698" s="3">
        <v>26</v>
      </c>
      <c r="G1698" s="2" t="s">
        <v>196</v>
      </c>
      <c r="H1698" s="2" t="s">
        <v>2042</v>
      </c>
      <c r="I1698" s="2" t="s">
        <v>53</v>
      </c>
    </row>
    <row r="1699" spans="1:9" ht="16" x14ac:dyDescent="0.8">
      <c r="A1699" s="2" t="s">
        <v>2188</v>
      </c>
      <c r="B1699" s="2" t="s">
        <v>2245</v>
      </c>
      <c r="C1699" s="2" t="s">
        <v>2246</v>
      </c>
      <c r="D1699" s="2" t="s">
        <v>2246</v>
      </c>
      <c r="E1699" s="3">
        <v>3</v>
      </c>
      <c r="F1699" s="3">
        <v>0</v>
      </c>
      <c r="G1699" s="2" t="s">
        <v>196</v>
      </c>
      <c r="H1699" s="2" t="s">
        <v>2042</v>
      </c>
      <c r="I1699" s="2" t="s">
        <v>53</v>
      </c>
    </row>
    <row r="1700" spans="1:9" ht="16" x14ac:dyDescent="0.8">
      <c r="A1700" s="2" t="s">
        <v>2188</v>
      </c>
      <c r="B1700" s="2" t="s">
        <v>2247</v>
      </c>
      <c r="C1700" s="2" t="s">
        <v>2248</v>
      </c>
      <c r="D1700" s="2" t="s">
        <v>2248</v>
      </c>
      <c r="E1700" s="3">
        <v>7</v>
      </c>
      <c r="F1700" s="3">
        <v>0</v>
      </c>
      <c r="G1700" s="2" t="s">
        <v>196</v>
      </c>
      <c r="H1700" s="2" t="s">
        <v>2042</v>
      </c>
      <c r="I1700" s="2" t="s">
        <v>53</v>
      </c>
    </row>
    <row r="1701" spans="1:9" ht="16" x14ac:dyDescent="0.8">
      <c r="A1701" s="2" t="s">
        <v>2188</v>
      </c>
      <c r="B1701" s="2" t="s">
        <v>2249</v>
      </c>
      <c r="C1701" s="2" t="s">
        <v>2250</v>
      </c>
      <c r="D1701" s="2" t="s">
        <v>2250</v>
      </c>
      <c r="E1701" s="3">
        <v>28</v>
      </c>
      <c r="F1701" s="3">
        <v>0</v>
      </c>
      <c r="G1701" s="2" t="s">
        <v>196</v>
      </c>
      <c r="H1701" s="2" t="s">
        <v>2042</v>
      </c>
      <c r="I1701" s="2" t="s">
        <v>53</v>
      </c>
    </row>
    <row r="1702" spans="1:9" ht="16" x14ac:dyDescent="0.8">
      <c r="A1702" s="2" t="s">
        <v>2188</v>
      </c>
      <c r="B1702" s="2" t="s">
        <v>2251</v>
      </c>
      <c r="C1702" s="2" t="s">
        <v>2252</v>
      </c>
      <c r="D1702" s="2" t="s">
        <v>2252</v>
      </c>
      <c r="E1702" s="3">
        <v>9</v>
      </c>
      <c r="F1702" s="3">
        <v>0</v>
      </c>
      <c r="G1702" s="2" t="s">
        <v>196</v>
      </c>
      <c r="H1702" s="2" t="s">
        <v>2042</v>
      </c>
      <c r="I1702" s="2" t="s">
        <v>53</v>
      </c>
    </row>
    <row r="1703" spans="1:9" ht="16" x14ac:dyDescent="0.8">
      <c r="A1703" s="2" t="s">
        <v>2188</v>
      </c>
      <c r="B1703" s="2" t="s">
        <v>2253</v>
      </c>
      <c r="C1703" s="2" t="s">
        <v>2254</v>
      </c>
      <c r="D1703" s="2" t="s">
        <v>2254</v>
      </c>
      <c r="E1703" s="3">
        <v>12</v>
      </c>
      <c r="F1703" s="3">
        <v>12</v>
      </c>
      <c r="G1703" s="2" t="s">
        <v>196</v>
      </c>
      <c r="H1703" s="2" t="s">
        <v>2042</v>
      </c>
      <c r="I1703" s="2" t="s">
        <v>53</v>
      </c>
    </row>
    <row r="1704" spans="1:9" ht="16" x14ac:dyDescent="0.8">
      <c r="A1704" s="2" t="s">
        <v>2188</v>
      </c>
      <c r="B1704" s="2" t="s">
        <v>2255</v>
      </c>
      <c r="C1704" s="2" t="s">
        <v>2256</v>
      </c>
      <c r="D1704" s="2" t="s">
        <v>2256</v>
      </c>
      <c r="E1704" s="3">
        <v>98</v>
      </c>
      <c r="F1704" s="3">
        <v>98</v>
      </c>
      <c r="G1704" s="2" t="s">
        <v>196</v>
      </c>
      <c r="H1704" s="2" t="s">
        <v>2042</v>
      </c>
      <c r="I1704" s="2" t="s">
        <v>53</v>
      </c>
    </row>
    <row r="1705" spans="1:9" ht="16" x14ac:dyDescent="0.8">
      <c r="A1705" s="2" t="s">
        <v>2188</v>
      </c>
      <c r="B1705" s="2" t="s">
        <v>2257</v>
      </c>
      <c r="C1705" s="2" t="s">
        <v>2258</v>
      </c>
      <c r="D1705" s="2" t="s">
        <v>2258</v>
      </c>
      <c r="E1705" s="3">
        <v>402</v>
      </c>
      <c r="F1705" s="3">
        <v>404</v>
      </c>
      <c r="G1705" s="2" t="s">
        <v>196</v>
      </c>
      <c r="H1705" s="2" t="s">
        <v>2042</v>
      </c>
      <c r="I1705" s="2" t="s">
        <v>53</v>
      </c>
    </row>
    <row r="1706" spans="1:9" ht="16" x14ac:dyDescent="0.8">
      <c r="A1706" s="2" t="s">
        <v>2188</v>
      </c>
      <c r="B1706" s="2" t="s">
        <v>2259</v>
      </c>
      <c r="C1706" s="2" t="s">
        <v>2260</v>
      </c>
      <c r="D1706" s="2" t="s">
        <v>2260</v>
      </c>
      <c r="E1706" s="3">
        <v>256</v>
      </c>
      <c r="F1706" s="3">
        <v>256</v>
      </c>
      <c r="G1706" s="2" t="s">
        <v>196</v>
      </c>
      <c r="H1706" s="2" t="s">
        <v>2042</v>
      </c>
      <c r="I1706" s="2" t="s">
        <v>53</v>
      </c>
    </row>
    <row r="1707" spans="1:9" ht="16" x14ac:dyDescent="0.8">
      <c r="A1707" s="2" t="s">
        <v>2188</v>
      </c>
      <c r="B1707" s="2" t="s">
        <v>2261</v>
      </c>
      <c r="C1707" s="2" t="s">
        <v>2262</v>
      </c>
      <c r="D1707" s="2" t="s">
        <v>2262</v>
      </c>
      <c r="E1707" s="3">
        <v>374</v>
      </c>
      <c r="F1707" s="3">
        <v>200</v>
      </c>
      <c r="G1707" s="2" t="s">
        <v>196</v>
      </c>
      <c r="H1707" s="2" t="s">
        <v>2042</v>
      </c>
      <c r="I1707" s="2" t="s">
        <v>53</v>
      </c>
    </row>
    <row r="1708" spans="1:9" ht="16" x14ac:dyDescent="0.8">
      <c r="A1708" s="2" t="s">
        <v>2188</v>
      </c>
      <c r="B1708" s="2" t="s">
        <v>2263</v>
      </c>
      <c r="C1708" s="2" t="s">
        <v>2264</v>
      </c>
      <c r="D1708" s="2" t="s">
        <v>2264</v>
      </c>
      <c r="E1708" s="3">
        <v>89</v>
      </c>
      <c r="F1708" s="3">
        <v>89</v>
      </c>
      <c r="G1708" s="2" t="s">
        <v>196</v>
      </c>
      <c r="H1708" s="2" t="s">
        <v>2042</v>
      </c>
      <c r="I1708" s="2" t="s">
        <v>53</v>
      </c>
    </row>
    <row r="1709" spans="1:9" ht="16" x14ac:dyDescent="0.8">
      <c r="A1709" s="2" t="s">
        <v>2188</v>
      </c>
      <c r="B1709" s="2" t="s">
        <v>2265</v>
      </c>
      <c r="C1709" s="2" t="s">
        <v>2266</v>
      </c>
      <c r="D1709" s="2" t="s">
        <v>2266</v>
      </c>
      <c r="E1709" s="3">
        <v>140</v>
      </c>
      <c r="F1709" s="3">
        <v>140</v>
      </c>
      <c r="G1709" s="2" t="s">
        <v>196</v>
      </c>
      <c r="H1709" s="2" t="s">
        <v>2042</v>
      </c>
      <c r="I1709" s="2" t="s">
        <v>53</v>
      </c>
    </row>
    <row r="1710" spans="1:9" ht="16" x14ac:dyDescent="0.8">
      <c r="A1710" s="2" t="s">
        <v>2188</v>
      </c>
      <c r="B1710" s="2" t="s">
        <v>2267</v>
      </c>
      <c r="C1710" s="2" t="s">
        <v>2268</v>
      </c>
      <c r="D1710" s="2" t="s">
        <v>2268</v>
      </c>
      <c r="E1710" s="3">
        <v>129</v>
      </c>
      <c r="F1710" s="3">
        <v>129</v>
      </c>
      <c r="G1710" s="2" t="s">
        <v>196</v>
      </c>
      <c r="H1710" s="2" t="s">
        <v>2042</v>
      </c>
      <c r="I1710" s="2" t="s">
        <v>53</v>
      </c>
    </row>
    <row r="1711" spans="1:9" ht="16" x14ac:dyDescent="0.8">
      <c r="A1711" s="2" t="s">
        <v>2188</v>
      </c>
      <c r="B1711" s="2" t="s">
        <v>2269</v>
      </c>
      <c r="C1711" s="2" t="s">
        <v>2270</v>
      </c>
      <c r="D1711" s="2" t="s">
        <v>2270</v>
      </c>
      <c r="E1711" s="3">
        <v>13</v>
      </c>
      <c r="F1711" s="3">
        <v>13</v>
      </c>
      <c r="G1711" s="2" t="s">
        <v>196</v>
      </c>
      <c r="H1711" s="2" t="s">
        <v>2042</v>
      </c>
      <c r="I1711" s="2" t="s">
        <v>53</v>
      </c>
    </row>
    <row r="1712" spans="1:9" ht="16" x14ac:dyDescent="0.8">
      <c r="A1712" s="2" t="s">
        <v>2188</v>
      </c>
      <c r="B1712" s="2" t="s">
        <v>2271</v>
      </c>
      <c r="C1712" s="2" t="s">
        <v>2272</v>
      </c>
      <c r="D1712" s="2" t="s">
        <v>2272</v>
      </c>
      <c r="E1712" s="3">
        <v>94</v>
      </c>
      <c r="F1712" s="3">
        <v>94</v>
      </c>
      <c r="G1712" s="2" t="s">
        <v>196</v>
      </c>
      <c r="H1712" s="2" t="s">
        <v>2042</v>
      </c>
      <c r="I1712" s="2" t="s">
        <v>53</v>
      </c>
    </row>
    <row r="1713" spans="1:9" ht="16" x14ac:dyDescent="0.8">
      <c r="A1713" s="2" t="s">
        <v>2188</v>
      </c>
      <c r="B1713" s="2" t="s">
        <v>2273</v>
      </c>
      <c r="C1713" s="2" t="s">
        <v>2274</v>
      </c>
      <c r="D1713" s="2" t="s">
        <v>2274</v>
      </c>
      <c r="E1713" s="3">
        <v>53</v>
      </c>
      <c r="F1713" s="3">
        <v>53</v>
      </c>
      <c r="G1713" s="2" t="s">
        <v>196</v>
      </c>
      <c r="H1713" s="2" t="s">
        <v>2042</v>
      </c>
      <c r="I1713" s="2" t="s">
        <v>53</v>
      </c>
    </row>
    <row r="1714" spans="1:9" ht="16" x14ac:dyDescent="0.8">
      <c r="A1714" s="2" t="s">
        <v>2188</v>
      </c>
      <c r="B1714" s="2" t="s">
        <v>2275</v>
      </c>
      <c r="C1714" s="2" t="s">
        <v>2276</v>
      </c>
      <c r="D1714" s="2" t="s">
        <v>2276</v>
      </c>
      <c r="E1714" s="3">
        <v>20</v>
      </c>
      <c r="F1714" s="3">
        <v>20</v>
      </c>
      <c r="G1714" s="2" t="s">
        <v>196</v>
      </c>
      <c r="H1714" s="2" t="s">
        <v>2042</v>
      </c>
      <c r="I1714" s="2" t="s">
        <v>53</v>
      </c>
    </row>
    <row r="1715" spans="1:9" ht="16" x14ac:dyDescent="0.8">
      <c r="A1715" s="2" t="s">
        <v>2277</v>
      </c>
      <c r="B1715" s="2" t="s">
        <v>2278</v>
      </c>
      <c r="C1715" s="2" t="s">
        <v>2279</v>
      </c>
      <c r="D1715" s="2" t="s">
        <v>2279</v>
      </c>
      <c r="E1715" s="3">
        <v>27</v>
      </c>
      <c r="F1715" s="3">
        <v>0</v>
      </c>
      <c r="G1715" s="2" t="s">
        <v>11</v>
      </c>
      <c r="H1715" s="2" t="s">
        <v>2042</v>
      </c>
      <c r="I1715" s="2" t="s">
        <v>190</v>
      </c>
    </row>
    <row r="1716" spans="1:9" ht="16" x14ac:dyDescent="0.8">
      <c r="A1716" s="2" t="s">
        <v>2277</v>
      </c>
      <c r="B1716" s="2" t="s">
        <v>2280</v>
      </c>
      <c r="C1716" s="2" t="s">
        <v>2281</v>
      </c>
      <c r="D1716" s="2" t="s">
        <v>2281</v>
      </c>
      <c r="E1716" s="3">
        <v>206</v>
      </c>
      <c r="F1716" s="3">
        <v>0</v>
      </c>
      <c r="G1716" s="2" t="s">
        <v>11</v>
      </c>
      <c r="H1716" s="2" t="s">
        <v>2042</v>
      </c>
      <c r="I1716" s="2" t="s">
        <v>190</v>
      </c>
    </row>
    <row r="1717" spans="1:9" ht="16" x14ac:dyDescent="0.8">
      <c r="A1717" s="2" t="s">
        <v>2277</v>
      </c>
      <c r="B1717" s="2" t="s">
        <v>2282</v>
      </c>
      <c r="C1717" s="2" t="s">
        <v>2283</v>
      </c>
      <c r="D1717" s="2" t="s">
        <v>2283</v>
      </c>
      <c r="E1717" s="3">
        <v>89</v>
      </c>
      <c r="F1717" s="3">
        <v>0</v>
      </c>
      <c r="G1717" s="2" t="s">
        <v>11</v>
      </c>
      <c r="H1717" s="2" t="s">
        <v>2042</v>
      </c>
      <c r="I1717" s="2" t="s">
        <v>190</v>
      </c>
    </row>
    <row r="1718" spans="1:9" ht="16" x14ac:dyDescent="0.8">
      <c r="A1718" s="2" t="s">
        <v>2277</v>
      </c>
      <c r="B1718" s="2" t="s">
        <v>2284</v>
      </c>
      <c r="C1718" s="2" t="s">
        <v>2285</v>
      </c>
      <c r="D1718" s="2" t="s">
        <v>2285</v>
      </c>
      <c r="E1718" s="3">
        <v>259</v>
      </c>
      <c r="F1718" s="3">
        <v>0</v>
      </c>
      <c r="G1718" s="2" t="s">
        <v>11</v>
      </c>
      <c r="H1718" s="2" t="s">
        <v>2042</v>
      </c>
      <c r="I1718" s="2" t="s">
        <v>190</v>
      </c>
    </row>
    <row r="1719" spans="1:9" ht="16" x14ac:dyDescent="0.8">
      <c r="A1719" s="2" t="s">
        <v>2277</v>
      </c>
      <c r="B1719" s="2" t="s">
        <v>2286</v>
      </c>
      <c r="C1719" s="2" t="s">
        <v>2287</v>
      </c>
      <c r="D1719" s="2" t="s">
        <v>2287</v>
      </c>
      <c r="E1719" s="3">
        <v>130</v>
      </c>
      <c r="F1719" s="3">
        <v>0</v>
      </c>
      <c r="G1719" s="2" t="s">
        <v>11</v>
      </c>
      <c r="H1719" s="2" t="s">
        <v>2042</v>
      </c>
      <c r="I1719" s="2" t="s">
        <v>190</v>
      </c>
    </row>
    <row r="1720" spans="1:9" ht="16" x14ac:dyDescent="0.8">
      <c r="A1720" s="2" t="s">
        <v>2277</v>
      </c>
      <c r="B1720" s="2" t="s">
        <v>2288</v>
      </c>
      <c r="C1720" s="2" t="s">
        <v>2289</v>
      </c>
      <c r="D1720" s="2" t="s">
        <v>2289</v>
      </c>
      <c r="E1720" s="3">
        <v>79</v>
      </c>
      <c r="F1720" s="3">
        <v>0</v>
      </c>
      <c r="G1720" s="2" t="s">
        <v>11</v>
      </c>
      <c r="H1720" s="2" t="s">
        <v>2042</v>
      </c>
      <c r="I1720" s="2" t="s">
        <v>190</v>
      </c>
    </row>
    <row r="1721" spans="1:9" ht="16" x14ac:dyDescent="0.8">
      <c r="A1721" s="2" t="s">
        <v>2277</v>
      </c>
      <c r="B1721" s="2" t="s">
        <v>2290</v>
      </c>
      <c r="C1721" s="2" t="s">
        <v>2291</v>
      </c>
      <c r="D1721" s="2" t="s">
        <v>2291</v>
      </c>
      <c r="E1721" s="3">
        <v>400</v>
      </c>
      <c r="F1721" s="3">
        <v>0</v>
      </c>
      <c r="G1721" s="2" t="s">
        <v>11</v>
      </c>
      <c r="H1721" s="2" t="s">
        <v>2042</v>
      </c>
      <c r="I1721" s="2" t="s">
        <v>190</v>
      </c>
    </row>
    <row r="1722" spans="1:9" ht="16" x14ac:dyDescent="0.8">
      <c r="A1722" s="2" t="s">
        <v>2292</v>
      </c>
      <c r="B1722" s="2" t="s">
        <v>2293</v>
      </c>
      <c r="C1722" s="2" t="s">
        <v>2294</v>
      </c>
      <c r="D1722" s="2" t="s">
        <v>2294</v>
      </c>
      <c r="E1722" s="3">
        <v>103</v>
      </c>
      <c r="F1722" s="3">
        <v>0</v>
      </c>
      <c r="G1722" s="2" t="s">
        <v>196</v>
      </c>
      <c r="H1722" s="2" t="s">
        <v>2042</v>
      </c>
      <c r="I1722" s="2" t="s">
        <v>1234</v>
      </c>
    </row>
    <row r="1723" spans="1:9" ht="16" x14ac:dyDescent="0.8">
      <c r="A1723" s="2" t="s">
        <v>2292</v>
      </c>
      <c r="B1723" s="2" t="s">
        <v>2295</v>
      </c>
      <c r="C1723" s="2" t="s">
        <v>2296</v>
      </c>
      <c r="D1723" s="2" t="s">
        <v>2296</v>
      </c>
      <c r="E1723" s="3">
        <v>76</v>
      </c>
      <c r="F1723" s="3">
        <v>0</v>
      </c>
      <c r="G1723" s="2" t="s">
        <v>196</v>
      </c>
      <c r="H1723" s="2" t="s">
        <v>2042</v>
      </c>
      <c r="I1723" s="2" t="s">
        <v>1234</v>
      </c>
    </row>
    <row r="1724" spans="1:9" ht="16" x14ac:dyDescent="0.8">
      <c r="A1724" s="2" t="s">
        <v>2292</v>
      </c>
      <c r="B1724" s="2" t="s">
        <v>2297</v>
      </c>
      <c r="C1724" s="2" t="s">
        <v>2298</v>
      </c>
      <c r="D1724" s="2" t="s">
        <v>2298</v>
      </c>
      <c r="E1724" s="3">
        <v>83</v>
      </c>
      <c r="F1724" s="3">
        <v>0</v>
      </c>
      <c r="G1724" s="2" t="s">
        <v>196</v>
      </c>
      <c r="H1724" s="2" t="s">
        <v>2042</v>
      </c>
      <c r="I1724" s="2" t="s">
        <v>1234</v>
      </c>
    </row>
    <row r="1725" spans="1:9" ht="16" x14ac:dyDescent="0.8">
      <c r="A1725" s="2" t="s">
        <v>2292</v>
      </c>
      <c r="B1725" s="2" t="s">
        <v>2299</v>
      </c>
      <c r="C1725" s="2" t="s">
        <v>2300</v>
      </c>
      <c r="D1725" s="2" t="s">
        <v>2300</v>
      </c>
      <c r="E1725" s="3">
        <v>65</v>
      </c>
      <c r="F1725" s="3">
        <v>0</v>
      </c>
      <c r="G1725" s="2" t="s">
        <v>196</v>
      </c>
      <c r="H1725" s="2" t="s">
        <v>2042</v>
      </c>
      <c r="I1725" s="2" t="s">
        <v>1234</v>
      </c>
    </row>
    <row r="1726" spans="1:9" ht="16" x14ac:dyDescent="0.8">
      <c r="A1726" s="2" t="s">
        <v>2301</v>
      </c>
      <c r="B1726" s="2" t="s">
        <v>2302</v>
      </c>
      <c r="C1726" s="2" t="s">
        <v>2303</v>
      </c>
      <c r="D1726" s="2" t="s">
        <v>2303</v>
      </c>
      <c r="E1726" s="3">
        <v>190</v>
      </c>
      <c r="F1726" s="3">
        <v>190</v>
      </c>
      <c r="G1726" s="2" t="s">
        <v>196</v>
      </c>
      <c r="H1726" s="2" t="s">
        <v>2042</v>
      </c>
      <c r="I1726" s="2" t="s">
        <v>63</v>
      </c>
    </row>
    <row r="1727" spans="1:9" ht="16" x14ac:dyDescent="0.8">
      <c r="A1727" s="2" t="s">
        <v>2301</v>
      </c>
      <c r="B1727" s="2" t="s">
        <v>2304</v>
      </c>
      <c r="C1727" s="2" t="s">
        <v>2305</v>
      </c>
      <c r="D1727" s="2" t="s">
        <v>2305</v>
      </c>
      <c r="E1727" s="3">
        <v>227</v>
      </c>
      <c r="F1727" s="3">
        <v>227</v>
      </c>
      <c r="G1727" s="2" t="s">
        <v>196</v>
      </c>
      <c r="H1727" s="2" t="s">
        <v>2042</v>
      </c>
      <c r="I1727" s="2" t="s">
        <v>63</v>
      </c>
    </row>
    <row r="1728" spans="1:9" ht="16" x14ac:dyDescent="0.8">
      <c r="A1728" s="2" t="s">
        <v>2301</v>
      </c>
      <c r="B1728" s="2" t="s">
        <v>2306</v>
      </c>
      <c r="C1728" s="2" t="s">
        <v>2307</v>
      </c>
      <c r="D1728" s="2" t="s">
        <v>2307</v>
      </c>
      <c r="E1728" s="3">
        <v>47</v>
      </c>
      <c r="F1728" s="3">
        <v>0</v>
      </c>
      <c r="G1728" s="2" t="s">
        <v>196</v>
      </c>
      <c r="H1728" s="2" t="s">
        <v>2042</v>
      </c>
      <c r="I1728" s="2" t="s">
        <v>63</v>
      </c>
    </row>
    <row r="1729" spans="1:9" ht="16" x14ac:dyDescent="0.8">
      <c r="A1729" s="2" t="s">
        <v>2301</v>
      </c>
      <c r="B1729" s="2" t="s">
        <v>2308</v>
      </c>
      <c r="C1729" s="2" t="s">
        <v>2309</v>
      </c>
      <c r="D1729" s="2" t="s">
        <v>2309</v>
      </c>
      <c r="E1729" s="3">
        <v>25</v>
      </c>
      <c r="F1729" s="3">
        <v>25</v>
      </c>
      <c r="G1729" s="2" t="s">
        <v>196</v>
      </c>
      <c r="H1729" s="2" t="s">
        <v>2042</v>
      </c>
      <c r="I1729" s="2" t="s">
        <v>63</v>
      </c>
    </row>
    <row r="1730" spans="1:9" ht="16" x14ac:dyDescent="0.8">
      <c r="A1730" s="2" t="s">
        <v>2301</v>
      </c>
      <c r="B1730" s="2" t="s">
        <v>2310</v>
      </c>
      <c r="C1730" s="2" t="s">
        <v>2311</v>
      </c>
      <c r="D1730" s="2" t="s">
        <v>2311</v>
      </c>
      <c r="E1730" s="3">
        <v>36</v>
      </c>
      <c r="F1730" s="3">
        <v>36</v>
      </c>
      <c r="G1730" s="2" t="s">
        <v>196</v>
      </c>
      <c r="H1730" s="2" t="s">
        <v>2042</v>
      </c>
      <c r="I1730" s="2" t="s">
        <v>63</v>
      </c>
    </row>
    <row r="1731" spans="1:9" ht="16" x14ac:dyDescent="0.8">
      <c r="A1731" s="2" t="s">
        <v>2301</v>
      </c>
      <c r="B1731" s="2" t="s">
        <v>2312</v>
      </c>
      <c r="C1731" s="2" t="s">
        <v>2313</v>
      </c>
      <c r="D1731" s="2" t="s">
        <v>2313</v>
      </c>
      <c r="E1731" s="3">
        <v>119</v>
      </c>
      <c r="F1731" s="3">
        <v>119</v>
      </c>
      <c r="G1731" s="2" t="s">
        <v>196</v>
      </c>
      <c r="H1731" s="2" t="s">
        <v>2042</v>
      </c>
      <c r="I1731" s="2" t="s">
        <v>63</v>
      </c>
    </row>
    <row r="1732" spans="1:9" ht="16" x14ac:dyDescent="0.8">
      <c r="A1732" s="2" t="s">
        <v>2301</v>
      </c>
      <c r="B1732" s="2" t="s">
        <v>2314</v>
      </c>
      <c r="C1732" s="2" t="s">
        <v>2315</v>
      </c>
      <c r="D1732" s="2" t="s">
        <v>2315</v>
      </c>
      <c r="E1732" s="3">
        <v>437</v>
      </c>
      <c r="F1732" s="3">
        <v>437</v>
      </c>
      <c r="G1732" s="2" t="s">
        <v>196</v>
      </c>
      <c r="H1732" s="2" t="s">
        <v>2042</v>
      </c>
      <c r="I1732" s="2" t="s">
        <v>63</v>
      </c>
    </row>
    <row r="1733" spans="1:9" ht="16" x14ac:dyDescent="0.8">
      <c r="A1733" s="2" t="s">
        <v>2301</v>
      </c>
      <c r="B1733" s="2" t="s">
        <v>2316</v>
      </c>
      <c r="C1733" s="2" t="s">
        <v>2317</v>
      </c>
      <c r="D1733" s="2" t="s">
        <v>2317</v>
      </c>
      <c r="E1733" s="3">
        <v>123</v>
      </c>
      <c r="F1733" s="3">
        <v>123</v>
      </c>
      <c r="G1733" s="2" t="s">
        <v>196</v>
      </c>
      <c r="H1733" s="2" t="s">
        <v>2042</v>
      </c>
      <c r="I1733" s="2" t="s">
        <v>63</v>
      </c>
    </row>
    <row r="1734" spans="1:9" ht="16" x14ac:dyDescent="0.8">
      <c r="A1734" s="2" t="s">
        <v>2301</v>
      </c>
      <c r="B1734" s="2" t="s">
        <v>2318</v>
      </c>
      <c r="C1734" s="2" t="s">
        <v>2319</v>
      </c>
      <c r="D1734" s="2" t="s">
        <v>2319</v>
      </c>
      <c r="E1734" s="3">
        <v>7</v>
      </c>
      <c r="F1734" s="3">
        <v>7</v>
      </c>
      <c r="G1734" s="2" t="s">
        <v>196</v>
      </c>
      <c r="H1734" s="2" t="s">
        <v>2042</v>
      </c>
      <c r="I1734" s="2" t="s">
        <v>63</v>
      </c>
    </row>
    <row r="1735" spans="1:9" ht="16" x14ac:dyDescent="0.8">
      <c r="A1735" s="2" t="s">
        <v>2301</v>
      </c>
      <c r="B1735" s="2" t="s">
        <v>2320</v>
      </c>
      <c r="C1735" s="2" t="s">
        <v>2321</v>
      </c>
      <c r="D1735" s="2" t="s">
        <v>2321</v>
      </c>
      <c r="E1735" s="3">
        <v>466</v>
      </c>
      <c r="F1735" s="3">
        <v>466</v>
      </c>
      <c r="G1735" s="2" t="s">
        <v>196</v>
      </c>
      <c r="H1735" s="2" t="s">
        <v>2042</v>
      </c>
      <c r="I1735" s="2" t="s">
        <v>63</v>
      </c>
    </row>
    <row r="1736" spans="1:9" ht="16" x14ac:dyDescent="0.8">
      <c r="A1736" s="2" t="s">
        <v>2301</v>
      </c>
      <c r="B1736" s="2" t="s">
        <v>2322</v>
      </c>
      <c r="C1736" s="2" t="s">
        <v>2323</v>
      </c>
      <c r="D1736" s="2" t="s">
        <v>2323</v>
      </c>
      <c r="E1736" s="3">
        <v>68</v>
      </c>
      <c r="F1736" s="3">
        <v>68</v>
      </c>
      <c r="G1736" s="2" t="s">
        <v>196</v>
      </c>
      <c r="H1736" s="2" t="s">
        <v>2042</v>
      </c>
      <c r="I1736" s="2" t="s">
        <v>63</v>
      </c>
    </row>
    <row r="1737" spans="1:9" ht="16" x14ac:dyDescent="0.8">
      <c r="A1737" s="2" t="s">
        <v>2301</v>
      </c>
      <c r="B1737" s="2" t="s">
        <v>2324</v>
      </c>
      <c r="C1737" s="2" t="s">
        <v>2325</v>
      </c>
      <c r="D1737" s="2" t="s">
        <v>2325</v>
      </c>
      <c r="E1737" s="3">
        <v>34</v>
      </c>
      <c r="F1737" s="3">
        <v>0</v>
      </c>
      <c r="G1737" s="2" t="s">
        <v>196</v>
      </c>
      <c r="H1737" s="2" t="s">
        <v>2042</v>
      </c>
      <c r="I1737" s="2" t="s">
        <v>63</v>
      </c>
    </row>
    <row r="1738" spans="1:9" ht="16" x14ac:dyDescent="0.8">
      <c r="A1738" s="2" t="s">
        <v>2301</v>
      </c>
      <c r="B1738" s="2" t="s">
        <v>2326</v>
      </c>
      <c r="C1738" s="2" t="s">
        <v>2327</v>
      </c>
      <c r="D1738" s="2" t="s">
        <v>2327</v>
      </c>
      <c r="E1738" s="3">
        <v>80</v>
      </c>
      <c r="F1738" s="3">
        <v>80</v>
      </c>
      <c r="G1738" s="2" t="s">
        <v>196</v>
      </c>
      <c r="H1738" s="2" t="s">
        <v>2042</v>
      </c>
      <c r="I1738" s="2" t="s">
        <v>63</v>
      </c>
    </row>
    <row r="1739" spans="1:9" ht="16" x14ac:dyDescent="0.8">
      <c r="A1739" s="2" t="s">
        <v>2301</v>
      </c>
      <c r="B1739" s="2" t="s">
        <v>2328</v>
      </c>
      <c r="C1739" s="2" t="s">
        <v>2329</v>
      </c>
      <c r="D1739" s="2" t="s">
        <v>2329</v>
      </c>
      <c r="E1739" s="3">
        <v>202</v>
      </c>
      <c r="F1739" s="3">
        <v>0</v>
      </c>
      <c r="G1739" s="2" t="s">
        <v>196</v>
      </c>
      <c r="H1739" s="2" t="s">
        <v>2042</v>
      </c>
      <c r="I1739" s="2" t="s">
        <v>63</v>
      </c>
    </row>
    <row r="1740" spans="1:9" ht="16" x14ac:dyDescent="0.8">
      <c r="A1740" s="2" t="s">
        <v>2301</v>
      </c>
      <c r="B1740" s="2" t="s">
        <v>2330</v>
      </c>
      <c r="C1740" s="2" t="s">
        <v>2331</v>
      </c>
      <c r="D1740" s="2" t="s">
        <v>2331</v>
      </c>
      <c r="E1740" s="3">
        <v>83</v>
      </c>
      <c r="F1740" s="3">
        <v>83</v>
      </c>
      <c r="G1740" s="2" t="s">
        <v>196</v>
      </c>
      <c r="H1740" s="2" t="s">
        <v>2042</v>
      </c>
      <c r="I1740" s="2" t="s">
        <v>63</v>
      </c>
    </row>
    <row r="1741" spans="1:9" ht="16" x14ac:dyDescent="0.8">
      <c r="A1741" s="2" t="s">
        <v>2301</v>
      </c>
      <c r="B1741" s="2" t="s">
        <v>2332</v>
      </c>
      <c r="C1741" s="2" t="s">
        <v>2333</v>
      </c>
      <c r="D1741" s="2" t="s">
        <v>2333</v>
      </c>
      <c r="E1741" s="3">
        <v>7</v>
      </c>
      <c r="F1741" s="3">
        <v>0</v>
      </c>
      <c r="G1741" s="2" t="s">
        <v>196</v>
      </c>
      <c r="H1741" s="2" t="s">
        <v>2042</v>
      </c>
      <c r="I1741" s="2" t="s">
        <v>63</v>
      </c>
    </row>
    <row r="1742" spans="1:9" ht="16" x14ac:dyDescent="0.8">
      <c r="A1742" s="2" t="s">
        <v>2301</v>
      </c>
      <c r="B1742" s="2" t="s">
        <v>2334</v>
      </c>
      <c r="C1742" s="2" t="s">
        <v>2335</v>
      </c>
      <c r="D1742" s="2" t="s">
        <v>2335</v>
      </c>
      <c r="E1742" s="3">
        <v>55</v>
      </c>
      <c r="F1742" s="3">
        <v>55</v>
      </c>
      <c r="G1742" s="2" t="s">
        <v>196</v>
      </c>
      <c r="H1742" s="2" t="s">
        <v>2042</v>
      </c>
      <c r="I1742" s="2" t="s">
        <v>63</v>
      </c>
    </row>
    <row r="1743" spans="1:9" ht="16" x14ac:dyDescent="0.8">
      <c r="A1743" s="2" t="s">
        <v>2301</v>
      </c>
      <c r="B1743" s="2" t="s">
        <v>2336</v>
      </c>
      <c r="C1743" s="2" t="s">
        <v>2337</v>
      </c>
      <c r="D1743" s="2" t="s">
        <v>2337</v>
      </c>
      <c r="E1743" s="3">
        <v>161</v>
      </c>
      <c r="F1743" s="3">
        <v>161</v>
      </c>
      <c r="G1743" s="2" t="s">
        <v>196</v>
      </c>
      <c r="H1743" s="2" t="s">
        <v>2042</v>
      </c>
      <c r="I1743" s="2" t="s">
        <v>63</v>
      </c>
    </row>
    <row r="1744" spans="1:9" ht="16" x14ac:dyDescent="0.8">
      <c r="A1744" s="2" t="s">
        <v>2301</v>
      </c>
      <c r="B1744" s="2" t="s">
        <v>2338</v>
      </c>
      <c r="C1744" s="2" t="s">
        <v>666</v>
      </c>
      <c r="D1744" s="2" t="s">
        <v>666</v>
      </c>
      <c r="E1744" s="3">
        <v>252</v>
      </c>
      <c r="F1744" s="3">
        <v>252</v>
      </c>
      <c r="G1744" s="2" t="s">
        <v>196</v>
      </c>
      <c r="H1744" s="2" t="s">
        <v>2042</v>
      </c>
      <c r="I1744" s="2" t="s">
        <v>63</v>
      </c>
    </row>
    <row r="1745" spans="1:9" ht="16" x14ac:dyDescent="0.8">
      <c r="A1745" s="2" t="s">
        <v>2301</v>
      </c>
      <c r="B1745" s="2" t="s">
        <v>2339</v>
      </c>
      <c r="C1745" s="2" t="s">
        <v>2340</v>
      </c>
      <c r="D1745" s="2" t="s">
        <v>2340</v>
      </c>
      <c r="E1745" s="3">
        <v>253</v>
      </c>
      <c r="F1745" s="3">
        <v>253</v>
      </c>
      <c r="G1745" s="2" t="s">
        <v>196</v>
      </c>
      <c r="H1745" s="2" t="s">
        <v>2042</v>
      </c>
      <c r="I1745" s="2" t="s">
        <v>63</v>
      </c>
    </row>
    <row r="1746" spans="1:9" ht="16" x14ac:dyDescent="0.8">
      <c r="A1746" s="2" t="s">
        <v>2301</v>
      </c>
      <c r="B1746" s="2" t="s">
        <v>2341</v>
      </c>
      <c r="C1746" s="2" t="s">
        <v>2342</v>
      </c>
      <c r="D1746" s="2" t="s">
        <v>2342</v>
      </c>
      <c r="E1746" s="3">
        <v>56</v>
      </c>
      <c r="F1746" s="3">
        <v>20</v>
      </c>
      <c r="G1746" s="2" t="s">
        <v>196</v>
      </c>
      <c r="H1746" s="2" t="s">
        <v>2042</v>
      </c>
      <c r="I1746" s="2" t="s">
        <v>63</v>
      </c>
    </row>
    <row r="1747" spans="1:9" ht="16" x14ac:dyDescent="0.8">
      <c r="A1747" s="2" t="s">
        <v>2301</v>
      </c>
      <c r="B1747" s="2" t="s">
        <v>2343</v>
      </c>
      <c r="C1747" s="2" t="s">
        <v>2344</v>
      </c>
      <c r="D1747" s="2" t="s">
        <v>2344</v>
      </c>
      <c r="E1747" s="3">
        <v>126</v>
      </c>
      <c r="F1747" s="3">
        <v>126</v>
      </c>
      <c r="G1747" s="2" t="s">
        <v>196</v>
      </c>
      <c r="H1747" s="2" t="s">
        <v>2042</v>
      </c>
      <c r="I1747" s="2" t="s">
        <v>63</v>
      </c>
    </row>
    <row r="1748" spans="1:9" ht="16" x14ac:dyDescent="0.8">
      <c r="A1748" s="2" t="s">
        <v>2301</v>
      </c>
      <c r="B1748" s="2" t="s">
        <v>2345</v>
      </c>
      <c r="C1748" s="2" t="s">
        <v>2346</v>
      </c>
      <c r="D1748" s="2" t="s">
        <v>2346</v>
      </c>
      <c r="E1748" s="3">
        <v>97</v>
      </c>
      <c r="F1748" s="3">
        <v>97</v>
      </c>
      <c r="G1748" s="2" t="s">
        <v>196</v>
      </c>
      <c r="H1748" s="2" t="s">
        <v>2042</v>
      </c>
      <c r="I1748" s="2" t="s">
        <v>63</v>
      </c>
    </row>
    <row r="1749" spans="1:9" ht="16" x14ac:dyDescent="0.8">
      <c r="A1749" s="2" t="s">
        <v>2301</v>
      </c>
      <c r="B1749" s="2" t="s">
        <v>2347</v>
      </c>
      <c r="C1749" s="2" t="s">
        <v>2348</v>
      </c>
      <c r="D1749" s="2" t="s">
        <v>2348</v>
      </c>
      <c r="E1749" s="3">
        <v>516</v>
      </c>
      <c r="F1749" s="3">
        <v>516</v>
      </c>
      <c r="G1749" s="2" t="s">
        <v>196</v>
      </c>
      <c r="H1749" s="2" t="s">
        <v>2042</v>
      </c>
      <c r="I1749" s="2" t="s">
        <v>63</v>
      </c>
    </row>
    <row r="1750" spans="1:9" ht="16" x14ac:dyDescent="0.8">
      <c r="A1750" s="2" t="s">
        <v>2301</v>
      </c>
      <c r="B1750" s="2" t="s">
        <v>2349</v>
      </c>
      <c r="C1750" s="2" t="s">
        <v>2350</v>
      </c>
      <c r="D1750" s="2" t="s">
        <v>2350</v>
      </c>
      <c r="E1750" s="3">
        <v>61</v>
      </c>
      <c r="F1750" s="3">
        <v>61</v>
      </c>
      <c r="G1750" s="2" t="s">
        <v>196</v>
      </c>
      <c r="H1750" s="2" t="s">
        <v>2042</v>
      </c>
      <c r="I1750" s="2" t="s">
        <v>63</v>
      </c>
    </row>
    <row r="1751" spans="1:9" ht="16" x14ac:dyDescent="0.8">
      <c r="A1751" s="2" t="s">
        <v>2301</v>
      </c>
      <c r="B1751" s="2" t="s">
        <v>2351</v>
      </c>
      <c r="C1751" s="2" t="s">
        <v>2352</v>
      </c>
      <c r="D1751" s="2" t="s">
        <v>2352</v>
      </c>
      <c r="E1751" s="3">
        <v>119</v>
      </c>
      <c r="F1751" s="3">
        <v>119</v>
      </c>
      <c r="G1751" s="2" t="s">
        <v>196</v>
      </c>
      <c r="H1751" s="2" t="s">
        <v>2042</v>
      </c>
      <c r="I1751" s="2" t="s">
        <v>63</v>
      </c>
    </row>
    <row r="1752" spans="1:9" ht="16" x14ac:dyDescent="0.8">
      <c r="A1752" s="2" t="s">
        <v>2301</v>
      </c>
      <c r="B1752" s="2" t="s">
        <v>2353</v>
      </c>
      <c r="C1752" s="2" t="s">
        <v>2354</v>
      </c>
      <c r="D1752" s="2" t="s">
        <v>2354</v>
      </c>
      <c r="E1752" s="3">
        <v>28</v>
      </c>
      <c r="F1752" s="3">
        <v>28</v>
      </c>
      <c r="G1752" s="2" t="s">
        <v>196</v>
      </c>
      <c r="H1752" s="2" t="s">
        <v>2042</v>
      </c>
      <c r="I1752" s="2" t="s">
        <v>63</v>
      </c>
    </row>
    <row r="1753" spans="1:9" ht="16" x14ac:dyDescent="0.8">
      <c r="A1753" s="2" t="s">
        <v>2301</v>
      </c>
      <c r="B1753" s="2" t="s">
        <v>2355</v>
      </c>
      <c r="C1753" s="2" t="s">
        <v>2356</v>
      </c>
      <c r="D1753" s="2" t="s">
        <v>2356</v>
      </c>
      <c r="E1753" s="3">
        <v>96</v>
      </c>
      <c r="F1753" s="3">
        <v>96</v>
      </c>
      <c r="G1753" s="2" t="s">
        <v>196</v>
      </c>
      <c r="H1753" s="2" t="s">
        <v>2042</v>
      </c>
      <c r="I1753" s="2" t="s">
        <v>63</v>
      </c>
    </row>
    <row r="1754" spans="1:9" ht="16" x14ac:dyDescent="0.8">
      <c r="A1754" s="2" t="s">
        <v>2357</v>
      </c>
      <c r="B1754" s="2" t="s">
        <v>2358</v>
      </c>
      <c r="C1754" s="2" t="s">
        <v>2359</v>
      </c>
      <c r="D1754" s="2" t="s">
        <v>2359</v>
      </c>
      <c r="E1754" s="3">
        <v>69</v>
      </c>
      <c r="F1754" s="3">
        <v>69</v>
      </c>
      <c r="G1754" s="2" t="s">
        <v>11</v>
      </c>
      <c r="H1754" s="2" t="s">
        <v>2042</v>
      </c>
      <c r="I1754" s="2" t="s">
        <v>81</v>
      </c>
    </row>
    <row r="1755" spans="1:9" ht="16" x14ac:dyDescent="0.8">
      <c r="A1755" s="2" t="s">
        <v>2357</v>
      </c>
      <c r="B1755" s="2" t="s">
        <v>2360</v>
      </c>
      <c r="C1755" s="2" t="s">
        <v>2361</v>
      </c>
      <c r="D1755" s="2" t="s">
        <v>2361</v>
      </c>
      <c r="E1755" s="3">
        <v>16</v>
      </c>
      <c r="F1755" s="3">
        <v>16</v>
      </c>
      <c r="G1755" s="2" t="s">
        <v>11</v>
      </c>
      <c r="H1755" s="2" t="s">
        <v>2042</v>
      </c>
      <c r="I1755" s="2" t="s">
        <v>81</v>
      </c>
    </row>
    <row r="1756" spans="1:9" ht="16" x14ac:dyDescent="0.8">
      <c r="A1756" s="2" t="s">
        <v>2357</v>
      </c>
      <c r="B1756" s="2" t="s">
        <v>2362</v>
      </c>
      <c r="C1756" s="2" t="s">
        <v>2363</v>
      </c>
      <c r="D1756" s="2" t="s">
        <v>2363</v>
      </c>
      <c r="E1756" s="3">
        <v>35</v>
      </c>
      <c r="F1756" s="3">
        <v>35</v>
      </c>
      <c r="G1756" s="2" t="s">
        <v>11</v>
      </c>
      <c r="H1756" s="2" t="s">
        <v>2042</v>
      </c>
      <c r="I1756" s="2" t="s">
        <v>81</v>
      </c>
    </row>
    <row r="1757" spans="1:9" ht="16" x14ac:dyDescent="0.8">
      <c r="A1757" s="2" t="s">
        <v>2357</v>
      </c>
      <c r="B1757" s="2" t="s">
        <v>2364</v>
      </c>
      <c r="C1757" s="2" t="s">
        <v>2365</v>
      </c>
      <c r="D1757" s="2" t="s">
        <v>2365</v>
      </c>
      <c r="E1757" s="3">
        <v>45</v>
      </c>
      <c r="F1757" s="3">
        <v>45</v>
      </c>
      <c r="G1757" s="2" t="s">
        <v>11</v>
      </c>
      <c r="H1757" s="2" t="s">
        <v>2042</v>
      </c>
      <c r="I1757" s="2" t="s">
        <v>81</v>
      </c>
    </row>
    <row r="1758" spans="1:9" ht="16" x14ac:dyDescent="0.8">
      <c r="A1758" s="2" t="s">
        <v>2357</v>
      </c>
      <c r="B1758" s="2" t="s">
        <v>2366</v>
      </c>
      <c r="C1758" s="2" t="s">
        <v>2367</v>
      </c>
      <c r="D1758" s="2" t="s">
        <v>2367</v>
      </c>
      <c r="E1758" s="3">
        <v>25</v>
      </c>
      <c r="F1758" s="3">
        <v>25</v>
      </c>
      <c r="G1758" s="2" t="s">
        <v>11</v>
      </c>
      <c r="H1758" s="2" t="s">
        <v>2042</v>
      </c>
      <c r="I1758" s="2" t="s">
        <v>81</v>
      </c>
    </row>
    <row r="1759" spans="1:9" ht="16" x14ac:dyDescent="0.8">
      <c r="A1759" s="2" t="s">
        <v>2357</v>
      </c>
      <c r="B1759" s="2" t="s">
        <v>2368</v>
      </c>
      <c r="C1759" s="2" t="s">
        <v>2369</v>
      </c>
      <c r="D1759" s="2" t="s">
        <v>2369</v>
      </c>
      <c r="E1759" s="3">
        <v>62</v>
      </c>
      <c r="F1759" s="3">
        <v>62</v>
      </c>
      <c r="G1759" s="2" t="s">
        <v>11</v>
      </c>
      <c r="H1759" s="2" t="s">
        <v>2042</v>
      </c>
      <c r="I1759" s="2" t="s">
        <v>81</v>
      </c>
    </row>
    <row r="1760" spans="1:9" ht="16" x14ac:dyDescent="0.8">
      <c r="A1760" s="2" t="s">
        <v>2370</v>
      </c>
      <c r="B1760" s="2" t="s">
        <v>2371</v>
      </c>
      <c r="C1760" s="2" t="s">
        <v>2372</v>
      </c>
      <c r="D1760" s="2" t="s">
        <v>2372</v>
      </c>
      <c r="E1760" s="3">
        <v>3297600</v>
      </c>
      <c r="F1760" s="3">
        <v>0</v>
      </c>
      <c r="G1760" s="2" t="s">
        <v>196</v>
      </c>
      <c r="H1760" s="2" t="s">
        <v>2042</v>
      </c>
      <c r="I1760" s="2" t="s">
        <v>23</v>
      </c>
    </row>
    <row r="1761" spans="1:9" ht="16" x14ac:dyDescent="0.8">
      <c r="A1761" s="2" t="s">
        <v>2373</v>
      </c>
      <c r="B1761" s="2" t="s">
        <v>2374</v>
      </c>
      <c r="C1761" s="2" t="s">
        <v>2375</v>
      </c>
      <c r="D1761" s="2" t="s">
        <v>2375</v>
      </c>
      <c r="E1761" s="3">
        <v>49</v>
      </c>
      <c r="F1761" s="3">
        <v>49</v>
      </c>
      <c r="G1761" s="2" t="s">
        <v>196</v>
      </c>
      <c r="H1761" s="2" t="s">
        <v>2042</v>
      </c>
      <c r="I1761" s="2" t="s">
        <v>560</v>
      </c>
    </row>
    <row r="1762" spans="1:9" ht="16" x14ac:dyDescent="0.8">
      <c r="A1762" s="2" t="s">
        <v>2373</v>
      </c>
      <c r="B1762" s="2" t="s">
        <v>2376</v>
      </c>
      <c r="C1762" s="2" t="s">
        <v>2377</v>
      </c>
      <c r="D1762" s="2" t="s">
        <v>2377</v>
      </c>
      <c r="E1762" s="3">
        <v>46</v>
      </c>
      <c r="F1762" s="3">
        <v>46</v>
      </c>
      <c r="G1762" s="2" t="s">
        <v>196</v>
      </c>
      <c r="H1762" s="2" t="s">
        <v>2042</v>
      </c>
      <c r="I1762" s="2" t="s">
        <v>560</v>
      </c>
    </row>
    <row r="1763" spans="1:9" ht="16" x14ac:dyDescent="0.8">
      <c r="A1763" s="2" t="s">
        <v>2373</v>
      </c>
      <c r="B1763" s="2" t="s">
        <v>2378</v>
      </c>
      <c r="C1763" s="2" t="s">
        <v>2379</v>
      </c>
      <c r="D1763" s="2" t="s">
        <v>2379</v>
      </c>
      <c r="E1763" s="3">
        <v>59</v>
      </c>
      <c r="F1763" s="3">
        <v>59</v>
      </c>
      <c r="G1763" s="2" t="s">
        <v>196</v>
      </c>
      <c r="H1763" s="2" t="s">
        <v>2042</v>
      </c>
      <c r="I1763" s="2" t="s">
        <v>560</v>
      </c>
    </row>
    <row r="1764" spans="1:9" ht="16" x14ac:dyDescent="0.8">
      <c r="A1764" s="2" t="s">
        <v>2373</v>
      </c>
      <c r="B1764" s="2" t="s">
        <v>2380</v>
      </c>
      <c r="C1764" s="2" t="s">
        <v>2381</v>
      </c>
      <c r="D1764" s="2" t="s">
        <v>2381</v>
      </c>
      <c r="E1764" s="3">
        <v>375</v>
      </c>
      <c r="F1764" s="3">
        <v>375</v>
      </c>
      <c r="G1764" s="2" t="s">
        <v>196</v>
      </c>
      <c r="H1764" s="2" t="s">
        <v>2042</v>
      </c>
      <c r="I1764" s="2" t="s">
        <v>560</v>
      </c>
    </row>
    <row r="1765" spans="1:9" ht="16" x14ac:dyDescent="0.8">
      <c r="A1765" s="2" t="s">
        <v>2373</v>
      </c>
      <c r="B1765" s="2" t="s">
        <v>2382</v>
      </c>
      <c r="C1765" s="2" t="s">
        <v>2383</v>
      </c>
      <c r="D1765" s="2" t="s">
        <v>2383</v>
      </c>
      <c r="E1765" s="3">
        <v>111</v>
      </c>
      <c r="F1765" s="3">
        <v>111</v>
      </c>
      <c r="G1765" s="2" t="s">
        <v>196</v>
      </c>
      <c r="H1765" s="2" t="s">
        <v>2042</v>
      </c>
      <c r="I1765" s="2" t="s">
        <v>560</v>
      </c>
    </row>
    <row r="1766" spans="1:9" ht="16" x14ac:dyDescent="0.8">
      <c r="A1766" s="2" t="s">
        <v>2373</v>
      </c>
      <c r="B1766" s="2" t="s">
        <v>2384</v>
      </c>
      <c r="C1766" s="2" t="s">
        <v>2385</v>
      </c>
      <c r="D1766" s="2" t="s">
        <v>2385</v>
      </c>
      <c r="E1766" s="3">
        <v>252</v>
      </c>
      <c r="F1766" s="3">
        <v>92</v>
      </c>
      <c r="G1766" s="2" t="s">
        <v>196</v>
      </c>
      <c r="H1766" s="2" t="s">
        <v>2042</v>
      </c>
      <c r="I1766" s="2" t="s">
        <v>560</v>
      </c>
    </row>
    <row r="1767" spans="1:9" ht="16" x14ac:dyDescent="0.8">
      <c r="A1767" s="2" t="s">
        <v>2373</v>
      </c>
      <c r="B1767" s="2" t="s">
        <v>2386</v>
      </c>
      <c r="C1767" s="2" t="s">
        <v>2387</v>
      </c>
      <c r="D1767" s="2" t="s">
        <v>2387</v>
      </c>
      <c r="E1767" s="3">
        <v>111</v>
      </c>
      <c r="F1767" s="3">
        <v>111</v>
      </c>
      <c r="G1767" s="2" t="s">
        <v>196</v>
      </c>
      <c r="H1767" s="2" t="s">
        <v>2042</v>
      </c>
      <c r="I1767" s="2" t="s">
        <v>560</v>
      </c>
    </row>
    <row r="1768" spans="1:9" ht="16" x14ac:dyDescent="0.8">
      <c r="A1768" s="2" t="s">
        <v>2373</v>
      </c>
      <c r="B1768" s="2" t="s">
        <v>2388</v>
      </c>
      <c r="C1768" s="2" t="s">
        <v>2389</v>
      </c>
      <c r="D1768" s="2" t="s">
        <v>2389</v>
      </c>
      <c r="E1768" s="3">
        <v>5</v>
      </c>
      <c r="F1768" s="3">
        <v>0</v>
      </c>
      <c r="G1768" s="2" t="s">
        <v>196</v>
      </c>
      <c r="H1768" s="2" t="s">
        <v>2042</v>
      </c>
      <c r="I1768" s="2" t="s">
        <v>560</v>
      </c>
    </row>
    <row r="1769" spans="1:9" ht="16" x14ac:dyDescent="0.8">
      <c r="A1769" s="2" t="s">
        <v>2373</v>
      </c>
      <c r="B1769" s="2" t="s">
        <v>2390</v>
      </c>
      <c r="C1769" s="2" t="s">
        <v>2391</v>
      </c>
      <c r="D1769" s="2" t="s">
        <v>2391</v>
      </c>
      <c r="E1769" s="3">
        <v>13</v>
      </c>
      <c r="F1769" s="3">
        <v>0</v>
      </c>
      <c r="G1769" s="2" t="s">
        <v>196</v>
      </c>
      <c r="H1769" s="2" t="s">
        <v>2042</v>
      </c>
      <c r="I1769" s="2" t="s">
        <v>560</v>
      </c>
    </row>
    <row r="1770" spans="1:9" ht="16" x14ac:dyDescent="0.8">
      <c r="A1770" s="2" t="s">
        <v>2373</v>
      </c>
      <c r="B1770" s="2" t="s">
        <v>2392</v>
      </c>
      <c r="C1770" s="2" t="s">
        <v>2393</v>
      </c>
      <c r="D1770" s="2" t="s">
        <v>2393</v>
      </c>
      <c r="E1770" s="3">
        <v>8</v>
      </c>
      <c r="F1770" s="3">
        <v>8</v>
      </c>
      <c r="G1770" s="2" t="s">
        <v>196</v>
      </c>
      <c r="H1770" s="2" t="s">
        <v>2042</v>
      </c>
      <c r="I1770" s="2" t="s">
        <v>560</v>
      </c>
    </row>
    <row r="1771" spans="1:9" ht="16" x14ac:dyDescent="0.8">
      <c r="A1771" s="2" t="s">
        <v>2373</v>
      </c>
      <c r="B1771" s="2" t="s">
        <v>2394</v>
      </c>
      <c r="C1771" s="2" t="s">
        <v>2395</v>
      </c>
      <c r="D1771" s="2" t="s">
        <v>2395</v>
      </c>
      <c r="E1771" s="3">
        <v>27</v>
      </c>
      <c r="F1771" s="3">
        <v>27</v>
      </c>
      <c r="G1771" s="2" t="s">
        <v>196</v>
      </c>
      <c r="H1771" s="2" t="s">
        <v>2042</v>
      </c>
      <c r="I1771" s="2" t="s">
        <v>560</v>
      </c>
    </row>
    <row r="1772" spans="1:9" ht="16" x14ac:dyDescent="0.8">
      <c r="A1772" s="2" t="s">
        <v>2373</v>
      </c>
      <c r="B1772" s="2" t="s">
        <v>2396</v>
      </c>
      <c r="C1772" s="2" t="s">
        <v>2397</v>
      </c>
      <c r="D1772" s="2" t="s">
        <v>2397</v>
      </c>
      <c r="E1772" s="3">
        <v>791</v>
      </c>
      <c r="F1772" s="3">
        <v>791</v>
      </c>
      <c r="G1772" s="2" t="s">
        <v>196</v>
      </c>
      <c r="H1772" s="2" t="s">
        <v>2042</v>
      </c>
      <c r="I1772" s="2" t="s">
        <v>560</v>
      </c>
    </row>
    <row r="1773" spans="1:9" ht="16" x14ac:dyDescent="0.8">
      <c r="A1773" s="2" t="s">
        <v>2373</v>
      </c>
      <c r="B1773" s="2" t="s">
        <v>2398</v>
      </c>
      <c r="C1773" s="2" t="s">
        <v>2399</v>
      </c>
      <c r="D1773" s="2" t="s">
        <v>2399</v>
      </c>
      <c r="E1773" s="3">
        <v>174</v>
      </c>
      <c r="F1773" s="3">
        <v>174</v>
      </c>
      <c r="G1773" s="2" t="s">
        <v>196</v>
      </c>
      <c r="H1773" s="2" t="s">
        <v>2042</v>
      </c>
      <c r="I1773" s="2" t="s">
        <v>560</v>
      </c>
    </row>
    <row r="1774" spans="1:9" ht="16" x14ac:dyDescent="0.8">
      <c r="A1774" s="2" t="s">
        <v>2373</v>
      </c>
      <c r="B1774" s="2" t="s">
        <v>2400</v>
      </c>
      <c r="C1774" s="2" t="s">
        <v>2401</v>
      </c>
      <c r="D1774" s="2" t="s">
        <v>2401</v>
      </c>
      <c r="E1774" s="3">
        <v>244</v>
      </c>
      <c r="F1774" s="3">
        <v>0</v>
      </c>
      <c r="G1774" s="2" t="s">
        <v>196</v>
      </c>
      <c r="H1774" s="2" t="s">
        <v>2042</v>
      </c>
      <c r="I1774" s="2" t="s">
        <v>560</v>
      </c>
    </row>
    <row r="1775" spans="1:9" ht="16" x14ac:dyDescent="0.8">
      <c r="A1775" s="2" t="s">
        <v>2373</v>
      </c>
      <c r="B1775" s="2" t="s">
        <v>2402</v>
      </c>
      <c r="C1775" s="2" t="s">
        <v>2403</v>
      </c>
      <c r="D1775" s="2" t="s">
        <v>2403</v>
      </c>
      <c r="E1775" s="3">
        <v>40</v>
      </c>
      <c r="F1775" s="3">
        <v>0</v>
      </c>
      <c r="G1775" s="2" t="s">
        <v>196</v>
      </c>
      <c r="H1775" s="2" t="s">
        <v>2042</v>
      </c>
      <c r="I1775" s="2" t="s">
        <v>560</v>
      </c>
    </row>
    <row r="1776" spans="1:9" ht="16" x14ac:dyDescent="0.8">
      <c r="A1776" s="2" t="s">
        <v>2373</v>
      </c>
      <c r="B1776" s="2" t="s">
        <v>2404</v>
      </c>
      <c r="C1776" s="2" t="s">
        <v>2405</v>
      </c>
      <c r="D1776" s="2" t="s">
        <v>2405</v>
      </c>
      <c r="E1776" s="3">
        <v>15</v>
      </c>
      <c r="F1776" s="3">
        <v>15</v>
      </c>
      <c r="G1776" s="2" t="s">
        <v>196</v>
      </c>
      <c r="H1776" s="2" t="s">
        <v>2042</v>
      </c>
      <c r="I1776" s="2" t="s">
        <v>560</v>
      </c>
    </row>
    <row r="1777" spans="1:9" ht="16" x14ac:dyDescent="0.8">
      <c r="A1777" s="2" t="s">
        <v>2373</v>
      </c>
      <c r="B1777" s="2" t="s">
        <v>2406</v>
      </c>
      <c r="C1777" s="2" t="s">
        <v>2407</v>
      </c>
      <c r="D1777" s="2" t="s">
        <v>2407</v>
      </c>
      <c r="E1777" s="3">
        <v>50</v>
      </c>
      <c r="F1777" s="3">
        <v>50</v>
      </c>
      <c r="G1777" s="2" t="s">
        <v>196</v>
      </c>
      <c r="H1777" s="2" t="s">
        <v>2042</v>
      </c>
      <c r="I1777" s="2" t="s">
        <v>560</v>
      </c>
    </row>
    <row r="1778" spans="1:9" ht="16" x14ac:dyDescent="0.8">
      <c r="A1778" s="2" t="s">
        <v>2373</v>
      </c>
      <c r="B1778" s="2" t="s">
        <v>2408</v>
      </c>
      <c r="C1778" s="2" t="s">
        <v>2409</v>
      </c>
      <c r="D1778" s="2" t="s">
        <v>2409</v>
      </c>
      <c r="E1778" s="3">
        <v>39</v>
      </c>
      <c r="F1778" s="3">
        <v>39</v>
      </c>
      <c r="G1778" s="2" t="s">
        <v>196</v>
      </c>
      <c r="H1778" s="2" t="s">
        <v>2042</v>
      </c>
      <c r="I1778" s="2" t="s">
        <v>560</v>
      </c>
    </row>
    <row r="1779" spans="1:9" ht="16" x14ac:dyDescent="0.8">
      <c r="A1779" s="2" t="s">
        <v>2373</v>
      </c>
      <c r="B1779" s="2" t="s">
        <v>2410</v>
      </c>
      <c r="C1779" s="2" t="s">
        <v>2411</v>
      </c>
      <c r="D1779" s="2" t="s">
        <v>2411</v>
      </c>
      <c r="E1779" s="3">
        <v>100</v>
      </c>
      <c r="F1779" s="3">
        <v>100</v>
      </c>
      <c r="G1779" s="2" t="s">
        <v>196</v>
      </c>
      <c r="H1779" s="2" t="s">
        <v>2042</v>
      </c>
      <c r="I1779" s="2" t="s">
        <v>560</v>
      </c>
    </row>
    <row r="1780" spans="1:9" ht="16" x14ac:dyDescent="0.8">
      <c r="A1780" s="2" t="s">
        <v>2373</v>
      </c>
      <c r="B1780" s="2" t="s">
        <v>2412</v>
      </c>
      <c r="C1780" s="2" t="s">
        <v>2413</v>
      </c>
      <c r="D1780" s="2" t="s">
        <v>2413</v>
      </c>
      <c r="E1780" s="3">
        <v>254</v>
      </c>
      <c r="F1780" s="3">
        <v>254</v>
      </c>
      <c r="G1780" s="2" t="s">
        <v>196</v>
      </c>
      <c r="H1780" s="2" t="s">
        <v>2042</v>
      </c>
      <c r="I1780" s="2" t="s">
        <v>560</v>
      </c>
    </row>
    <row r="1781" spans="1:9" ht="16" x14ac:dyDescent="0.8">
      <c r="A1781" s="2" t="s">
        <v>2373</v>
      </c>
      <c r="B1781" s="2" t="s">
        <v>2414</v>
      </c>
      <c r="C1781" s="2" t="s">
        <v>2415</v>
      </c>
      <c r="D1781" s="2" t="s">
        <v>2415</v>
      </c>
      <c r="E1781" s="3">
        <v>124</v>
      </c>
      <c r="F1781" s="3">
        <v>124</v>
      </c>
      <c r="G1781" s="2" t="s">
        <v>196</v>
      </c>
      <c r="H1781" s="2" t="s">
        <v>2042</v>
      </c>
      <c r="I1781" s="2" t="s">
        <v>560</v>
      </c>
    </row>
    <row r="1782" spans="1:9" ht="16" x14ac:dyDescent="0.8">
      <c r="A1782" s="2" t="s">
        <v>2373</v>
      </c>
      <c r="B1782" s="2" t="s">
        <v>2416</v>
      </c>
      <c r="C1782" s="2" t="s">
        <v>2417</v>
      </c>
      <c r="D1782" s="2" t="s">
        <v>2417</v>
      </c>
      <c r="E1782" s="3">
        <v>68</v>
      </c>
      <c r="F1782" s="3">
        <v>0</v>
      </c>
      <c r="G1782" s="2" t="s">
        <v>196</v>
      </c>
      <c r="H1782" s="2" t="s">
        <v>2042</v>
      </c>
      <c r="I1782" s="2" t="s">
        <v>560</v>
      </c>
    </row>
    <row r="1783" spans="1:9" ht="16" x14ac:dyDescent="0.8">
      <c r="A1783" s="2" t="s">
        <v>2373</v>
      </c>
      <c r="B1783" s="2" t="s">
        <v>2418</v>
      </c>
      <c r="C1783" s="2" t="s">
        <v>2419</v>
      </c>
      <c r="D1783" s="2" t="s">
        <v>2419</v>
      </c>
      <c r="E1783" s="3">
        <v>348</v>
      </c>
      <c r="F1783" s="3">
        <v>348</v>
      </c>
      <c r="G1783" s="2" t="s">
        <v>196</v>
      </c>
      <c r="H1783" s="2" t="s">
        <v>2042</v>
      </c>
      <c r="I1783" s="2" t="s">
        <v>560</v>
      </c>
    </row>
    <row r="1784" spans="1:9" ht="16" x14ac:dyDescent="0.8">
      <c r="A1784" s="2" t="s">
        <v>2373</v>
      </c>
      <c r="B1784" s="2" t="s">
        <v>2420</v>
      </c>
      <c r="C1784" s="2" t="s">
        <v>2421</v>
      </c>
      <c r="D1784" s="2" t="s">
        <v>2421</v>
      </c>
      <c r="E1784" s="3">
        <v>14</v>
      </c>
      <c r="F1784" s="3">
        <v>14</v>
      </c>
      <c r="G1784" s="2" t="s">
        <v>196</v>
      </c>
      <c r="H1784" s="2" t="s">
        <v>2042</v>
      </c>
      <c r="I1784" s="2" t="s">
        <v>560</v>
      </c>
    </row>
    <row r="1785" spans="1:9" ht="16" x14ac:dyDescent="0.8">
      <c r="A1785" s="2" t="s">
        <v>2373</v>
      </c>
      <c r="B1785" s="2" t="s">
        <v>2422</v>
      </c>
      <c r="C1785" s="2" t="s">
        <v>2423</v>
      </c>
      <c r="D1785" s="2" t="s">
        <v>2423</v>
      </c>
      <c r="E1785" s="3">
        <v>52</v>
      </c>
      <c r="F1785" s="3">
        <v>52</v>
      </c>
      <c r="G1785" s="2" t="s">
        <v>196</v>
      </c>
      <c r="H1785" s="2" t="s">
        <v>2042</v>
      </c>
      <c r="I1785" s="2" t="s">
        <v>560</v>
      </c>
    </row>
    <row r="1786" spans="1:9" ht="16" x14ac:dyDescent="0.8">
      <c r="A1786" s="2" t="s">
        <v>2373</v>
      </c>
      <c r="B1786" s="2" t="s">
        <v>2424</v>
      </c>
      <c r="C1786" s="2" t="s">
        <v>2425</v>
      </c>
      <c r="D1786" s="2" t="s">
        <v>2425</v>
      </c>
      <c r="E1786" s="3">
        <v>39</v>
      </c>
      <c r="F1786" s="3">
        <v>39</v>
      </c>
      <c r="G1786" s="2" t="s">
        <v>196</v>
      </c>
      <c r="H1786" s="2" t="s">
        <v>2042</v>
      </c>
      <c r="I1786" s="2" t="s">
        <v>560</v>
      </c>
    </row>
    <row r="1787" spans="1:9" ht="16" x14ac:dyDescent="0.8">
      <c r="A1787" s="2" t="s">
        <v>2373</v>
      </c>
      <c r="B1787" s="2" t="s">
        <v>2426</v>
      </c>
      <c r="C1787" s="2" t="s">
        <v>2427</v>
      </c>
      <c r="D1787" s="2" t="s">
        <v>2427</v>
      </c>
      <c r="E1787" s="3">
        <v>41</v>
      </c>
      <c r="F1787" s="3">
        <v>40</v>
      </c>
      <c r="G1787" s="2" t="s">
        <v>196</v>
      </c>
      <c r="H1787" s="2" t="s">
        <v>2042</v>
      </c>
      <c r="I1787" s="2" t="s">
        <v>560</v>
      </c>
    </row>
    <row r="1788" spans="1:9" ht="16" x14ac:dyDescent="0.8">
      <c r="A1788" s="2" t="s">
        <v>2373</v>
      </c>
      <c r="B1788" s="2" t="s">
        <v>2428</v>
      </c>
      <c r="C1788" s="2" t="s">
        <v>2429</v>
      </c>
      <c r="D1788" s="2" t="s">
        <v>2429</v>
      </c>
      <c r="E1788" s="3">
        <v>49</v>
      </c>
      <c r="F1788" s="3">
        <v>49</v>
      </c>
      <c r="G1788" s="2" t="s">
        <v>196</v>
      </c>
      <c r="H1788" s="2" t="s">
        <v>2042</v>
      </c>
      <c r="I1788" s="2" t="s">
        <v>560</v>
      </c>
    </row>
    <row r="1789" spans="1:9" ht="16" x14ac:dyDescent="0.8">
      <c r="A1789" s="2" t="s">
        <v>2373</v>
      </c>
      <c r="B1789" s="2" t="s">
        <v>2430</v>
      </c>
      <c r="C1789" s="2" t="s">
        <v>2431</v>
      </c>
      <c r="D1789" s="2" t="s">
        <v>2431</v>
      </c>
      <c r="E1789" s="3">
        <v>499</v>
      </c>
      <c r="F1789" s="3">
        <v>330</v>
      </c>
      <c r="G1789" s="2" t="s">
        <v>196</v>
      </c>
      <c r="H1789" s="2" t="s">
        <v>2042</v>
      </c>
      <c r="I1789" s="2" t="s">
        <v>560</v>
      </c>
    </row>
    <row r="1790" spans="1:9" ht="16" x14ac:dyDescent="0.8">
      <c r="A1790" s="2" t="s">
        <v>2373</v>
      </c>
      <c r="B1790" s="2" t="s">
        <v>2432</v>
      </c>
      <c r="C1790" s="2" t="s">
        <v>2433</v>
      </c>
      <c r="D1790" s="2" t="s">
        <v>2433</v>
      </c>
      <c r="E1790" s="3">
        <v>439</v>
      </c>
      <c r="F1790" s="3">
        <v>439</v>
      </c>
      <c r="G1790" s="2" t="s">
        <v>196</v>
      </c>
      <c r="H1790" s="2" t="s">
        <v>2042</v>
      </c>
      <c r="I1790" s="2" t="s">
        <v>560</v>
      </c>
    </row>
    <row r="1791" spans="1:9" ht="16" x14ac:dyDescent="0.8">
      <c r="A1791" s="2" t="s">
        <v>2373</v>
      </c>
      <c r="B1791" s="2" t="s">
        <v>2434</v>
      </c>
      <c r="C1791" s="2" t="s">
        <v>2435</v>
      </c>
      <c r="D1791" s="2" t="s">
        <v>2435</v>
      </c>
      <c r="E1791" s="3">
        <v>68</v>
      </c>
      <c r="F1791" s="3">
        <v>68</v>
      </c>
      <c r="G1791" s="2" t="s">
        <v>196</v>
      </c>
      <c r="H1791" s="2" t="s">
        <v>2042</v>
      </c>
      <c r="I1791" s="2" t="s">
        <v>560</v>
      </c>
    </row>
    <row r="1792" spans="1:9" ht="16" x14ac:dyDescent="0.8">
      <c r="A1792" s="2" t="s">
        <v>2373</v>
      </c>
      <c r="B1792" s="2" t="s">
        <v>2436</v>
      </c>
      <c r="C1792" s="2" t="s">
        <v>2437</v>
      </c>
      <c r="D1792" s="2" t="s">
        <v>2437</v>
      </c>
      <c r="E1792" s="3">
        <v>107</v>
      </c>
      <c r="F1792" s="3">
        <v>0</v>
      </c>
      <c r="G1792" s="2" t="s">
        <v>196</v>
      </c>
      <c r="H1792" s="2" t="s">
        <v>2042</v>
      </c>
      <c r="I1792" s="2" t="s">
        <v>560</v>
      </c>
    </row>
    <row r="1793" spans="1:9" ht="16" x14ac:dyDescent="0.8">
      <c r="A1793" s="2" t="s">
        <v>2373</v>
      </c>
      <c r="B1793" s="2" t="s">
        <v>2438</v>
      </c>
      <c r="C1793" s="2" t="s">
        <v>2439</v>
      </c>
      <c r="D1793" s="2" t="s">
        <v>2439</v>
      </c>
      <c r="E1793" s="3">
        <v>511</v>
      </c>
      <c r="F1793" s="3">
        <v>202</v>
      </c>
      <c r="G1793" s="2" t="s">
        <v>196</v>
      </c>
      <c r="H1793" s="2" t="s">
        <v>2042</v>
      </c>
      <c r="I1793" s="2" t="s">
        <v>560</v>
      </c>
    </row>
    <row r="1794" spans="1:9" ht="16" x14ac:dyDescent="0.8">
      <c r="A1794" s="2" t="s">
        <v>2373</v>
      </c>
      <c r="B1794" s="2" t="s">
        <v>2440</v>
      </c>
      <c r="C1794" s="2" t="s">
        <v>2441</v>
      </c>
      <c r="D1794" s="2" t="s">
        <v>2441</v>
      </c>
      <c r="E1794" s="3">
        <v>243</v>
      </c>
      <c r="F1794" s="3">
        <v>115</v>
      </c>
      <c r="G1794" s="2" t="s">
        <v>196</v>
      </c>
      <c r="H1794" s="2" t="s">
        <v>2042</v>
      </c>
      <c r="I1794" s="2" t="s">
        <v>560</v>
      </c>
    </row>
    <row r="1795" spans="1:9" ht="16" x14ac:dyDescent="0.8">
      <c r="A1795" s="2" t="s">
        <v>2373</v>
      </c>
      <c r="B1795" s="2" t="s">
        <v>2442</v>
      </c>
      <c r="C1795" s="2" t="s">
        <v>2443</v>
      </c>
      <c r="D1795" s="2" t="s">
        <v>2443</v>
      </c>
      <c r="E1795" s="3">
        <v>60</v>
      </c>
      <c r="F1795" s="3">
        <v>60</v>
      </c>
      <c r="G1795" s="2" t="s">
        <v>196</v>
      </c>
      <c r="H1795" s="2" t="s">
        <v>2042</v>
      </c>
      <c r="I1795" s="2" t="s">
        <v>560</v>
      </c>
    </row>
    <row r="1796" spans="1:9" ht="16" x14ac:dyDescent="0.8">
      <c r="A1796" s="2" t="s">
        <v>2373</v>
      </c>
      <c r="B1796" s="2" t="s">
        <v>2444</v>
      </c>
      <c r="C1796" s="2" t="s">
        <v>2445</v>
      </c>
      <c r="D1796" s="2" t="s">
        <v>2445</v>
      </c>
      <c r="E1796" s="3">
        <v>57</v>
      </c>
      <c r="F1796" s="3">
        <v>57</v>
      </c>
      <c r="G1796" s="2" t="s">
        <v>196</v>
      </c>
      <c r="H1796" s="2" t="s">
        <v>2042</v>
      </c>
      <c r="I1796" s="2" t="s">
        <v>560</v>
      </c>
    </row>
    <row r="1797" spans="1:9" ht="16" x14ac:dyDescent="0.8">
      <c r="A1797" s="2" t="s">
        <v>2373</v>
      </c>
      <c r="B1797" s="2" t="s">
        <v>2446</v>
      </c>
      <c r="C1797" s="2" t="s">
        <v>2447</v>
      </c>
      <c r="D1797" s="2" t="s">
        <v>2447</v>
      </c>
      <c r="E1797" s="3">
        <v>85</v>
      </c>
      <c r="F1797" s="3">
        <v>85</v>
      </c>
      <c r="G1797" s="2" t="s">
        <v>196</v>
      </c>
      <c r="H1797" s="2" t="s">
        <v>2042</v>
      </c>
      <c r="I1797" s="2" t="s">
        <v>560</v>
      </c>
    </row>
    <row r="1798" spans="1:9" ht="16" x14ac:dyDescent="0.8">
      <c r="A1798" s="2" t="s">
        <v>2373</v>
      </c>
      <c r="B1798" s="2" t="s">
        <v>2448</v>
      </c>
      <c r="C1798" s="2" t="s">
        <v>2449</v>
      </c>
      <c r="D1798" s="2" t="s">
        <v>2449</v>
      </c>
      <c r="E1798" s="3">
        <v>125</v>
      </c>
      <c r="F1798" s="3">
        <v>125</v>
      </c>
      <c r="G1798" s="2" t="s">
        <v>196</v>
      </c>
      <c r="H1798" s="2" t="s">
        <v>2042</v>
      </c>
      <c r="I1798" s="2" t="s">
        <v>560</v>
      </c>
    </row>
    <row r="1799" spans="1:9" ht="16" x14ac:dyDescent="0.8">
      <c r="A1799" s="2" t="s">
        <v>2373</v>
      </c>
      <c r="B1799" s="2" t="s">
        <v>2450</v>
      </c>
      <c r="C1799" s="2" t="s">
        <v>2451</v>
      </c>
      <c r="D1799" s="2" t="s">
        <v>2451</v>
      </c>
      <c r="E1799" s="3">
        <v>78</v>
      </c>
      <c r="F1799" s="3">
        <v>78</v>
      </c>
      <c r="G1799" s="2" t="s">
        <v>196</v>
      </c>
      <c r="H1799" s="2" t="s">
        <v>2042</v>
      </c>
      <c r="I1799" s="2" t="s">
        <v>560</v>
      </c>
    </row>
    <row r="1800" spans="1:9" ht="16" x14ac:dyDescent="0.8">
      <c r="A1800" s="2" t="s">
        <v>2373</v>
      </c>
      <c r="B1800" s="2" t="s">
        <v>2452</v>
      </c>
      <c r="C1800" s="2" t="s">
        <v>2453</v>
      </c>
      <c r="D1800" s="2" t="s">
        <v>2453</v>
      </c>
      <c r="E1800" s="3">
        <v>178</v>
      </c>
      <c r="F1800" s="3">
        <v>178</v>
      </c>
      <c r="G1800" s="2" t="s">
        <v>196</v>
      </c>
      <c r="H1800" s="2" t="s">
        <v>2042</v>
      </c>
      <c r="I1800" s="2" t="s">
        <v>560</v>
      </c>
    </row>
    <row r="1801" spans="1:9" ht="16" x14ac:dyDescent="0.8">
      <c r="A1801" s="2" t="s">
        <v>2373</v>
      </c>
      <c r="B1801" s="2" t="s">
        <v>2454</v>
      </c>
      <c r="C1801" s="2" t="s">
        <v>2455</v>
      </c>
      <c r="D1801" s="2" t="s">
        <v>2455</v>
      </c>
      <c r="E1801" s="3">
        <v>680</v>
      </c>
      <c r="F1801" s="3">
        <v>680</v>
      </c>
      <c r="G1801" s="2" t="s">
        <v>196</v>
      </c>
      <c r="H1801" s="2" t="s">
        <v>2042</v>
      </c>
      <c r="I1801" s="2" t="s">
        <v>560</v>
      </c>
    </row>
    <row r="1802" spans="1:9" ht="16" x14ac:dyDescent="0.8">
      <c r="A1802" s="2" t="s">
        <v>2373</v>
      </c>
      <c r="B1802" s="2" t="s">
        <v>2456</v>
      </c>
      <c r="C1802" s="2" t="s">
        <v>2457</v>
      </c>
      <c r="D1802" s="2" t="s">
        <v>2457</v>
      </c>
      <c r="E1802" s="3">
        <v>69</v>
      </c>
      <c r="F1802" s="3">
        <v>69</v>
      </c>
      <c r="G1802" s="2" t="s">
        <v>196</v>
      </c>
      <c r="H1802" s="2" t="s">
        <v>2042</v>
      </c>
      <c r="I1802" s="2" t="s">
        <v>560</v>
      </c>
    </row>
    <row r="1803" spans="1:9" ht="16" x14ac:dyDescent="0.8">
      <c r="A1803" s="2" t="s">
        <v>2373</v>
      </c>
      <c r="B1803" s="2" t="s">
        <v>2458</v>
      </c>
      <c r="C1803" s="2" t="s">
        <v>2459</v>
      </c>
      <c r="D1803" s="2" t="s">
        <v>2459</v>
      </c>
      <c r="E1803" s="3">
        <v>239</v>
      </c>
      <c r="F1803" s="3">
        <v>239</v>
      </c>
      <c r="G1803" s="2" t="s">
        <v>196</v>
      </c>
      <c r="H1803" s="2" t="s">
        <v>2042</v>
      </c>
      <c r="I1803" s="2" t="s">
        <v>560</v>
      </c>
    </row>
    <row r="1804" spans="1:9" ht="16" x14ac:dyDescent="0.8">
      <c r="A1804" s="2" t="s">
        <v>2373</v>
      </c>
      <c r="B1804" s="2" t="s">
        <v>2460</v>
      </c>
      <c r="C1804" s="2" t="s">
        <v>2461</v>
      </c>
      <c r="D1804" s="2" t="s">
        <v>2461</v>
      </c>
      <c r="E1804" s="3">
        <v>202</v>
      </c>
      <c r="F1804" s="3">
        <v>202</v>
      </c>
      <c r="G1804" s="2" t="s">
        <v>196</v>
      </c>
      <c r="H1804" s="2" t="s">
        <v>2042</v>
      </c>
      <c r="I1804" s="2" t="s">
        <v>560</v>
      </c>
    </row>
    <row r="1805" spans="1:9" ht="16" x14ac:dyDescent="0.8">
      <c r="A1805" s="2" t="s">
        <v>2373</v>
      </c>
      <c r="B1805" s="2" t="s">
        <v>2462</v>
      </c>
      <c r="C1805" s="2" t="s">
        <v>2463</v>
      </c>
      <c r="D1805" s="2" t="s">
        <v>2463</v>
      </c>
      <c r="E1805" s="3">
        <v>514</v>
      </c>
      <c r="F1805" s="3">
        <v>514</v>
      </c>
      <c r="G1805" s="2" t="s">
        <v>196</v>
      </c>
      <c r="H1805" s="2" t="s">
        <v>2042</v>
      </c>
      <c r="I1805" s="2" t="s">
        <v>560</v>
      </c>
    </row>
    <row r="1806" spans="1:9" ht="16" x14ac:dyDescent="0.8">
      <c r="A1806" s="2" t="s">
        <v>2373</v>
      </c>
      <c r="B1806" s="2" t="s">
        <v>2464</v>
      </c>
      <c r="C1806" s="2" t="s">
        <v>2465</v>
      </c>
      <c r="D1806" s="2" t="s">
        <v>2465</v>
      </c>
      <c r="E1806" s="3">
        <v>175</v>
      </c>
      <c r="F1806" s="3">
        <v>175</v>
      </c>
      <c r="G1806" s="2" t="s">
        <v>196</v>
      </c>
      <c r="H1806" s="2" t="s">
        <v>2042</v>
      </c>
      <c r="I1806" s="2" t="s">
        <v>560</v>
      </c>
    </row>
    <row r="1807" spans="1:9" ht="16" x14ac:dyDescent="0.8">
      <c r="A1807" s="2" t="s">
        <v>2373</v>
      </c>
      <c r="B1807" s="2" t="s">
        <v>2466</v>
      </c>
      <c r="C1807" s="2" t="s">
        <v>2467</v>
      </c>
      <c r="D1807" s="2" t="s">
        <v>2467</v>
      </c>
      <c r="E1807" s="3">
        <v>106</v>
      </c>
      <c r="F1807" s="3">
        <v>106</v>
      </c>
      <c r="G1807" s="2" t="s">
        <v>196</v>
      </c>
      <c r="H1807" s="2" t="s">
        <v>2042</v>
      </c>
      <c r="I1807" s="2" t="s">
        <v>560</v>
      </c>
    </row>
    <row r="1808" spans="1:9" ht="16" x14ac:dyDescent="0.8">
      <c r="A1808" s="2" t="s">
        <v>2373</v>
      </c>
      <c r="B1808" s="2" t="s">
        <v>2468</v>
      </c>
      <c r="C1808" s="2" t="s">
        <v>2469</v>
      </c>
      <c r="D1808" s="2" t="s">
        <v>2469</v>
      </c>
      <c r="E1808" s="3">
        <v>148</v>
      </c>
      <c r="F1808" s="3">
        <v>148</v>
      </c>
      <c r="G1808" s="2" t="s">
        <v>196</v>
      </c>
      <c r="H1808" s="2" t="s">
        <v>2042</v>
      </c>
      <c r="I1808" s="2" t="s">
        <v>560</v>
      </c>
    </row>
    <row r="1809" spans="1:9" ht="16" x14ac:dyDescent="0.8">
      <c r="A1809" s="2" t="s">
        <v>2373</v>
      </c>
      <c r="B1809" s="2" t="s">
        <v>2470</v>
      </c>
      <c r="C1809" s="2" t="s">
        <v>2471</v>
      </c>
      <c r="D1809" s="2" t="s">
        <v>2471</v>
      </c>
      <c r="E1809" s="3">
        <v>92</v>
      </c>
      <c r="F1809" s="3">
        <v>92</v>
      </c>
      <c r="G1809" s="2" t="s">
        <v>196</v>
      </c>
      <c r="H1809" s="2" t="s">
        <v>2042</v>
      </c>
      <c r="I1809" s="2" t="s">
        <v>560</v>
      </c>
    </row>
    <row r="1810" spans="1:9" ht="16" x14ac:dyDescent="0.8">
      <c r="A1810" s="2" t="s">
        <v>2373</v>
      </c>
      <c r="B1810" s="2" t="s">
        <v>2472</v>
      </c>
      <c r="C1810" s="2" t="s">
        <v>2473</v>
      </c>
      <c r="D1810" s="2" t="s">
        <v>2473</v>
      </c>
      <c r="E1810" s="3">
        <v>947</v>
      </c>
      <c r="F1810" s="3">
        <v>947</v>
      </c>
      <c r="G1810" s="2" t="s">
        <v>196</v>
      </c>
      <c r="H1810" s="2" t="s">
        <v>2042</v>
      </c>
      <c r="I1810" s="2" t="s">
        <v>560</v>
      </c>
    </row>
    <row r="1811" spans="1:9" ht="16" x14ac:dyDescent="0.8">
      <c r="A1811" s="2" t="s">
        <v>2373</v>
      </c>
      <c r="B1811" s="2" t="s">
        <v>2474</v>
      </c>
      <c r="C1811" s="2" t="s">
        <v>2475</v>
      </c>
      <c r="D1811" s="2" t="s">
        <v>2475</v>
      </c>
      <c r="E1811" s="3">
        <v>478</v>
      </c>
      <c r="F1811" s="3">
        <v>478</v>
      </c>
      <c r="G1811" s="2" t="s">
        <v>196</v>
      </c>
      <c r="H1811" s="2" t="s">
        <v>2042</v>
      </c>
      <c r="I1811" s="2" t="s">
        <v>560</v>
      </c>
    </row>
    <row r="1812" spans="1:9" ht="16" x14ac:dyDescent="0.8">
      <c r="A1812" s="2" t="s">
        <v>2373</v>
      </c>
      <c r="B1812" s="2" t="s">
        <v>2476</v>
      </c>
      <c r="C1812" s="2" t="s">
        <v>2477</v>
      </c>
      <c r="D1812" s="2" t="s">
        <v>2477</v>
      </c>
      <c r="E1812" s="3">
        <v>95</v>
      </c>
      <c r="F1812" s="3">
        <v>95</v>
      </c>
      <c r="G1812" s="2" t="s">
        <v>196</v>
      </c>
      <c r="H1812" s="2" t="s">
        <v>2042</v>
      </c>
      <c r="I1812" s="2" t="s">
        <v>560</v>
      </c>
    </row>
    <row r="1813" spans="1:9" ht="16" x14ac:dyDescent="0.8">
      <c r="A1813" s="2" t="s">
        <v>2373</v>
      </c>
      <c r="B1813" s="2" t="s">
        <v>2478</v>
      </c>
      <c r="C1813" s="2" t="s">
        <v>2479</v>
      </c>
      <c r="D1813" s="2" t="s">
        <v>2479</v>
      </c>
      <c r="E1813" s="3">
        <v>165</v>
      </c>
      <c r="F1813" s="3">
        <v>165</v>
      </c>
      <c r="G1813" s="2" t="s">
        <v>196</v>
      </c>
      <c r="H1813" s="2" t="s">
        <v>2042</v>
      </c>
      <c r="I1813" s="2" t="s">
        <v>560</v>
      </c>
    </row>
    <row r="1814" spans="1:9" ht="16" x14ac:dyDescent="0.8">
      <c r="A1814" s="2" t="s">
        <v>2373</v>
      </c>
      <c r="B1814" s="2" t="s">
        <v>2480</v>
      </c>
      <c r="C1814" s="2" t="s">
        <v>2481</v>
      </c>
      <c r="D1814" s="2" t="s">
        <v>2481</v>
      </c>
      <c r="E1814" s="3">
        <v>166</v>
      </c>
      <c r="F1814" s="3">
        <v>166</v>
      </c>
      <c r="G1814" s="2" t="s">
        <v>196</v>
      </c>
      <c r="H1814" s="2" t="s">
        <v>2042</v>
      </c>
      <c r="I1814" s="2" t="s">
        <v>560</v>
      </c>
    </row>
    <row r="1815" spans="1:9" ht="16" x14ac:dyDescent="0.8">
      <c r="A1815" s="2" t="s">
        <v>2373</v>
      </c>
      <c r="B1815" s="2" t="s">
        <v>2482</v>
      </c>
      <c r="C1815" s="2" t="s">
        <v>2483</v>
      </c>
      <c r="D1815" s="2" t="s">
        <v>2483</v>
      </c>
      <c r="E1815" s="3">
        <v>597</v>
      </c>
      <c r="F1815" s="3">
        <v>597</v>
      </c>
      <c r="G1815" s="2" t="s">
        <v>196</v>
      </c>
      <c r="H1815" s="2" t="s">
        <v>2042</v>
      </c>
      <c r="I1815" s="2" t="s">
        <v>560</v>
      </c>
    </row>
    <row r="1816" spans="1:9" ht="16" x14ac:dyDescent="0.8">
      <c r="A1816" s="2" t="s">
        <v>2373</v>
      </c>
      <c r="B1816" s="2" t="s">
        <v>2484</v>
      </c>
      <c r="C1816" s="2" t="s">
        <v>2485</v>
      </c>
      <c r="D1816" s="2" t="s">
        <v>2485</v>
      </c>
      <c r="E1816" s="3">
        <v>691</v>
      </c>
      <c r="F1816" s="3">
        <v>667</v>
      </c>
      <c r="G1816" s="2" t="s">
        <v>196</v>
      </c>
      <c r="H1816" s="2" t="s">
        <v>2042</v>
      </c>
      <c r="I1816" s="2" t="s">
        <v>560</v>
      </c>
    </row>
    <row r="1817" spans="1:9" ht="16" x14ac:dyDescent="0.8">
      <c r="A1817" s="2" t="s">
        <v>2373</v>
      </c>
      <c r="B1817" s="2" t="s">
        <v>2486</v>
      </c>
      <c r="C1817" s="2" t="s">
        <v>2487</v>
      </c>
      <c r="D1817" s="2" t="s">
        <v>2487</v>
      </c>
      <c r="E1817" s="3">
        <v>362</v>
      </c>
      <c r="F1817" s="3">
        <v>362</v>
      </c>
      <c r="G1817" s="2" t="s">
        <v>196</v>
      </c>
      <c r="H1817" s="2" t="s">
        <v>2042</v>
      </c>
      <c r="I1817" s="2" t="s">
        <v>560</v>
      </c>
    </row>
    <row r="1818" spans="1:9" ht="16" x14ac:dyDescent="0.8">
      <c r="A1818" s="2" t="s">
        <v>2373</v>
      </c>
      <c r="B1818" s="2" t="s">
        <v>2488</v>
      </c>
      <c r="C1818" s="2" t="s">
        <v>2489</v>
      </c>
      <c r="D1818" s="2" t="s">
        <v>2489</v>
      </c>
      <c r="E1818" s="3">
        <v>1320</v>
      </c>
      <c r="F1818" s="3">
        <v>1320</v>
      </c>
      <c r="G1818" s="2" t="s">
        <v>196</v>
      </c>
      <c r="H1818" s="2" t="s">
        <v>2042</v>
      </c>
      <c r="I1818" s="2" t="s">
        <v>560</v>
      </c>
    </row>
    <row r="1819" spans="1:9" ht="16" x14ac:dyDescent="0.8">
      <c r="A1819" s="2" t="s">
        <v>2490</v>
      </c>
      <c r="B1819" s="2" t="s">
        <v>2491</v>
      </c>
      <c r="C1819" s="2" t="s">
        <v>2492</v>
      </c>
      <c r="D1819" s="2" t="s">
        <v>2492</v>
      </c>
      <c r="E1819" s="3">
        <v>21</v>
      </c>
      <c r="F1819" s="3">
        <v>1</v>
      </c>
      <c r="G1819" s="2" t="s">
        <v>196</v>
      </c>
      <c r="H1819" s="2" t="s">
        <v>2042</v>
      </c>
      <c r="I1819" s="2" t="s">
        <v>87</v>
      </c>
    </row>
    <row r="1820" spans="1:9" ht="16" x14ac:dyDescent="0.8">
      <c r="A1820" s="2" t="s">
        <v>2490</v>
      </c>
      <c r="B1820" s="2" t="s">
        <v>2493</v>
      </c>
      <c r="C1820" s="2" t="s">
        <v>2494</v>
      </c>
      <c r="D1820" s="2" t="s">
        <v>2494</v>
      </c>
      <c r="E1820" s="3">
        <v>903</v>
      </c>
      <c r="F1820" s="3">
        <v>81</v>
      </c>
      <c r="G1820" s="2" t="s">
        <v>196</v>
      </c>
      <c r="H1820" s="2" t="s">
        <v>2042</v>
      </c>
      <c r="I1820" s="2" t="s">
        <v>87</v>
      </c>
    </row>
    <row r="1821" spans="1:9" ht="16" x14ac:dyDescent="0.8">
      <c r="A1821" s="2" t="s">
        <v>2490</v>
      </c>
      <c r="B1821" s="2" t="s">
        <v>2495</v>
      </c>
      <c r="C1821" s="2" t="s">
        <v>2496</v>
      </c>
      <c r="D1821" s="2" t="s">
        <v>2496</v>
      </c>
      <c r="E1821" s="3">
        <v>1178</v>
      </c>
      <c r="F1821" s="3">
        <v>169</v>
      </c>
      <c r="G1821" s="2" t="s">
        <v>196</v>
      </c>
      <c r="H1821" s="2" t="s">
        <v>2042</v>
      </c>
      <c r="I1821" s="2" t="s">
        <v>87</v>
      </c>
    </row>
    <row r="1822" spans="1:9" ht="16" x14ac:dyDescent="0.8">
      <c r="A1822" s="2" t="s">
        <v>2490</v>
      </c>
      <c r="B1822" s="2" t="s">
        <v>2497</v>
      </c>
      <c r="C1822" s="2" t="s">
        <v>2498</v>
      </c>
      <c r="D1822" s="2" t="s">
        <v>2498</v>
      </c>
      <c r="E1822" s="3">
        <v>54</v>
      </c>
      <c r="F1822" s="3">
        <v>0</v>
      </c>
      <c r="G1822" s="2" t="s">
        <v>196</v>
      </c>
      <c r="H1822" s="2" t="s">
        <v>2042</v>
      </c>
      <c r="I1822" s="2" t="s">
        <v>87</v>
      </c>
    </row>
    <row r="1823" spans="1:9" ht="16" x14ac:dyDescent="0.8">
      <c r="A1823" s="2" t="s">
        <v>2490</v>
      </c>
      <c r="B1823" s="2" t="s">
        <v>2499</v>
      </c>
      <c r="C1823" s="2" t="s">
        <v>2500</v>
      </c>
      <c r="D1823" s="2" t="s">
        <v>2500</v>
      </c>
      <c r="E1823" s="3">
        <v>78</v>
      </c>
      <c r="F1823" s="3">
        <v>1</v>
      </c>
      <c r="G1823" s="2" t="s">
        <v>196</v>
      </c>
      <c r="H1823" s="2" t="s">
        <v>2042</v>
      </c>
      <c r="I1823" s="2" t="s">
        <v>87</v>
      </c>
    </row>
    <row r="1824" spans="1:9" ht="16" x14ac:dyDescent="0.8">
      <c r="A1824" s="2" t="s">
        <v>2490</v>
      </c>
      <c r="B1824" s="2" t="s">
        <v>2501</v>
      </c>
      <c r="C1824" s="2" t="s">
        <v>2502</v>
      </c>
      <c r="D1824" s="2" t="s">
        <v>2502</v>
      </c>
      <c r="E1824" s="3">
        <v>21</v>
      </c>
      <c r="F1824" s="3">
        <v>0</v>
      </c>
      <c r="G1824" s="2" t="s">
        <v>196</v>
      </c>
      <c r="H1824" s="2" t="s">
        <v>2042</v>
      </c>
      <c r="I1824" s="2" t="s">
        <v>87</v>
      </c>
    </row>
    <row r="1825" spans="1:9" ht="16" x14ac:dyDescent="0.8">
      <c r="A1825" s="2" t="s">
        <v>2490</v>
      </c>
      <c r="B1825" s="2" t="s">
        <v>2503</v>
      </c>
      <c r="C1825" s="2" t="s">
        <v>2504</v>
      </c>
      <c r="D1825" s="2" t="s">
        <v>2504</v>
      </c>
      <c r="E1825" s="3">
        <v>58</v>
      </c>
      <c r="F1825" s="3">
        <v>4</v>
      </c>
      <c r="G1825" s="2" t="s">
        <v>196</v>
      </c>
      <c r="H1825" s="2" t="s">
        <v>2042</v>
      </c>
      <c r="I1825" s="2" t="s">
        <v>87</v>
      </c>
    </row>
    <row r="1826" spans="1:9" ht="16" x14ac:dyDescent="0.8">
      <c r="A1826" s="2" t="s">
        <v>2490</v>
      </c>
      <c r="B1826" s="2" t="s">
        <v>2505</v>
      </c>
      <c r="C1826" s="2" t="s">
        <v>2506</v>
      </c>
      <c r="D1826" s="2" t="s">
        <v>2506</v>
      </c>
      <c r="E1826" s="3">
        <v>264</v>
      </c>
      <c r="F1826" s="3">
        <v>32</v>
      </c>
      <c r="G1826" s="2" t="s">
        <v>196</v>
      </c>
      <c r="H1826" s="2" t="s">
        <v>2042</v>
      </c>
      <c r="I1826" s="2" t="s">
        <v>87</v>
      </c>
    </row>
    <row r="1827" spans="1:9" ht="16" x14ac:dyDescent="0.8">
      <c r="A1827" s="2" t="s">
        <v>2490</v>
      </c>
      <c r="B1827" s="2" t="s">
        <v>2507</v>
      </c>
      <c r="C1827" s="2" t="s">
        <v>2508</v>
      </c>
      <c r="D1827" s="2" t="s">
        <v>2508</v>
      </c>
      <c r="E1827" s="3">
        <v>1053</v>
      </c>
      <c r="F1827" s="3">
        <v>119</v>
      </c>
      <c r="G1827" s="2" t="s">
        <v>196</v>
      </c>
      <c r="H1827" s="2" t="s">
        <v>2042</v>
      </c>
      <c r="I1827" s="2" t="s">
        <v>87</v>
      </c>
    </row>
    <row r="1828" spans="1:9" ht="16" x14ac:dyDescent="0.8">
      <c r="A1828" s="2" t="s">
        <v>2490</v>
      </c>
      <c r="B1828" s="2" t="s">
        <v>2509</v>
      </c>
      <c r="C1828" s="2" t="s">
        <v>2510</v>
      </c>
      <c r="D1828" s="2" t="s">
        <v>2510</v>
      </c>
      <c r="E1828" s="3">
        <v>194</v>
      </c>
      <c r="F1828" s="3">
        <v>39</v>
      </c>
      <c r="G1828" s="2" t="s">
        <v>196</v>
      </c>
      <c r="H1828" s="2" t="s">
        <v>2042</v>
      </c>
      <c r="I1828" s="2" t="s">
        <v>87</v>
      </c>
    </row>
    <row r="1829" spans="1:9" ht="16" x14ac:dyDescent="0.8">
      <c r="A1829" s="2" t="s">
        <v>2490</v>
      </c>
      <c r="B1829" s="2" t="s">
        <v>2511</v>
      </c>
      <c r="C1829" s="2" t="s">
        <v>2512</v>
      </c>
      <c r="D1829" s="2" t="s">
        <v>2512</v>
      </c>
      <c r="E1829" s="3">
        <v>117</v>
      </c>
      <c r="F1829" s="3">
        <v>0</v>
      </c>
      <c r="G1829" s="2" t="s">
        <v>196</v>
      </c>
      <c r="H1829" s="2" t="s">
        <v>2042</v>
      </c>
      <c r="I1829" s="2" t="s">
        <v>87</v>
      </c>
    </row>
    <row r="1830" spans="1:9" ht="16" x14ac:dyDescent="0.8">
      <c r="A1830" s="2" t="s">
        <v>2490</v>
      </c>
      <c r="B1830" s="2" t="s">
        <v>2513</v>
      </c>
      <c r="C1830" s="2" t="s">
        <v>2514</v>
      </c>
      <c r="D1830" s="2" t="s">
        <v>2514</v>
      </c>
      <c r="E1830" s="3">
        <v>47</v>
      </c>
      <c r="F1830" s="3">
        <v>0</v>
      </c>
      <c r="G1830" s="2" t="s">
        <v>196</v>
      </c>
      <c r="H1830" s="2" t="s">
        <v>2042</v>
      </c>
      <c r="I1830" s="2" t="s">
        <v>87</v>
      </c>
    </row>
    <row r="1831" spans="1:9" ht="16" x14ac:dyDescent="0.8">
      <c r="A1831" s="2" t="s">
        <v>2490</v>
      </c>
      <c r="B1831" s="2" t="s">
        <v>2515</v>
      </c>
      <c r="C1831" s="2" t="s">
        <v>2516</v>
      </c>
      <c r="D1831" s="2" t="s">
        <v>2516</v>
      </c>
      <c r="E1831" s="3">
        <v>704</v>
      </c>
      <c r="F1831" s="3">
        <v>0</v>
      </c>
      <c r="G1831" s="2" t="s">
        <v>196</v>
      </c>
      <c r="H1831" s="2" t="s">
        <v>2042</v>
      </c>
      <c r="I1831" s="2" t="s">
        <v>87</v>
      </c>
    </row>
    <row r="1832" spans="1:9" ht="16" x14ac:dyDescent="0.8">
      <c r="A1832" s="2" t="s">
        <v>2490</v>
      </c>
      <c r="B1832" s="2" t="s">
        <v>2517</v>
      </c>
      <c r="C1832" s="2" t="s">
        <v>2518</v>
      </c>
      <c r="D1832" s="2" t="s">
        <v>2518</v>
      </c>
      <c r="E1832" s="3">
        <v>198</v>
      </c>
      <c r="F1832" s="3">
        <v>0</v>
      </c>
      <c r="G1832" s="2" t="s">
        <v>196</v>
      </c>
      <c r="H1832" s="2" t="s">
        <v>2042</v>
      </c>
      <c r="I1832" s="2" t="s">
        <v>87</v>
      </c>
    </row>
    <row r="1833" spans="1:9" ht="16" x14ac:dyDescent="0.8">
      <c r="A1833" s="2" t="s">
        <v>2490</v>
      </c>
      <c r="B1833" s="2" t="s">
        <v>2519</v>
      </c>
      <c r="C1833" s="2" t="s">
        <v>2520</v>
      </c>
      <c r="D1833" s="2" t="s">
        <v>2520</v>
      </c>
      <c r="E1833" s="3">
        <v>54</v>
      </c>
      <c r="F1833" s="3">
        <v>3</v>
      </c>
      <c r="G1833" s="2" t="s">
        <v>196</v>
      </c>
      <c r="H1833" s="2" t="s">
        <v>2042</v>
      </c>
      <c r="I1833" s="2" t="s">
        <v>87</v>
      </c>
    </row>
    <row r="1834" spans="1:9" ht="16" x14ac:dyDescent="0.8">
      <c r="A1834" s="2" t="s">
        <v>2490</v>
      </c>
      <c r="B1834" s="2" t="s">
        <v>2521</v>
      </c>
      <c r="C1834" s="2" t="s">
        <v>2522</v>
      </c>
      <c r="D1834" s="2" t="s">
        <v>2522</v>
      </c>
      <c r="E1834" s="3">
        <v>121</v>
      </c>
      <c r="F1834" s="3">
        <v>9</v>
      </c>
      <c r="G1834" s="2" t="s">
        <v>196</v>
      </c>
      <c r="H1834" s="2" t="s">
        <v>2042</v>
      </c>
      <c r="I1834" s="2" t="s">
        <v>87</v>
      </c>
    </row>
    <row r="1835" spans="1:9" ht="16" x14ac:dyDescent="0.8">
      <c r="A1835" s="2" t="s">
        <v>2490</v>
      </c>
      <c r="B1835" s="2" t="s">
        <v>2523</v>
      </c>
      <c r="C1835" s="2" t="s">
        <v>2524</v>
      </c>
      <c r="D1835" s="2" t="s">
        <v>2524</v>
      </c>
      <c r="E1835" s="3">
        <v>54</v>
      </c>
      <c r="F1835" s="3">
        <v>4</v>
      </c>
      <c r="G1835" s="2" t="s">
        <v>196</v>
      </c>
      <c r="H1835" s="2" t="s">
        <v>2042</v>
      </c>
      <c r="I1835" s="2" t="s">
        <v>87</v>
      </c>
    </row>
    <row r="1836" spans="1:9" ht="16" x14ac:dyDescent="0.8">
      <c r="A1836" s="2" t="s">
        <v>2490</v>
      </c>
      <c r="B1836" s="2" t="s">
        <v>2525</v>
      </c>
      <c r="C1836" s="2" t="s">
        <v>2526</v>
      </c>
      <c r="D1836" s="2" t="s">
        <v>2526</v>
      </c>
      <c r="E1836" s="3">
        <v>116</v>
      </c>
      <c r="F1836" s="3">
        <v>13</v>
      </c>
      <c r="G1836" s="2" t="s">
        <v>196</v>
      </c>
      <c r="H1836" s="2" t="s">
        <v>2042</v>
      </c>
      <c r="I1836" s="2" t="s">
        <v>87</v>
      </c>
    </row>
    <row r="1837" spans="1:9" ht="16" x14ac:dyDescent="0.8">
      <c r="A1837" s="2" t="s">
        <v>2490</v>
      </c>
      <c r="B1837" s="2" t="s">
        <v>2527</v>
      </c>
      <c r="C1837" s="2" t="s">
        <v>2528</v>
      </c>
      <c r="D1837" s="2" t="s">
        <v>2528</v>
      </c>
      <c r="E1837" s="3">
        <v>102</v>
      </c>
      <c r="F1837" s="3">
        <v>11</v>
      </c>
      <c r="G1837" s="2" t="s">
        <v>196</v>
      </c>
      <c r="H1837" s="2" t="s">
        <v>2042</v>
      </c>
      <c r="I1837" s="2" t="s">
        <v>87</v>
      </c>
    </row>
    <row r="1838" spans="1:9" ht="16" x14ac:dyDescent="0.8">
      <c r="A1838" s="2" t="s">
        <v>2490</v>
      </c>
      <c r="B1838" s="2" t="s">
        <v>2529</v>
      </c>
      <c r="C1838" s="2" t="s">
        <v>2530</v>
      </c>
      <c r="D1838" s="2" t="s">
        <v>2530</v>
      </c>
      <c r="E1838" s="3">
        <v>31</v>
      </c>
      <c r="F1838" s="3">
        <v>0</v>
      </c>
      <c r="G1838" s="2" t="s">
        <v>196</v>
      </c>
      <c r="H1838" s="2" t="s">
        <v>2042</v>
      </c>
      <c r="I1838" s="2" t="s">
        <v>87</v>
      </c>
    </row>
    <row r="1839" spans="1:9" ht="16" x14ac:dyDescent="0.8">
      <c r="A1839" s="2" t="s">
        <v>2490</v>
      </c>
      <c r="B1839" s="2" t="s">
        <v>2531</v>
      </c>
      <c r="C1839" s="2" t="s">
        <v>2532</v>
      </c>
      <c r="D1839" s="2" t="s">
        <v>2532</v>
      </c>
      <c r="E1839" s="3">
        <v>33</v>
      </c>
      <c r="F1839" s="3">
        <v>2</v>
      </c>
      <c r="G1839" s="2" t="s">
        <v>196</v>
      </c>
      <c r="H1839" s="2" t="s">
        <v>2042</v>
      </c>
      <c r="I1839" s="2" t="s">
        <v>87</v>
      </c>
    </row>
    <row r="1840" spans="1:9" ht="16" x14ac:dyDescent="0.8">
      <c r="A1840" s="2" t="s">
        <v>2490</v>
      </c>
      <c r="B1840" s="2" t="s">
        <v>2533</v>
      </c>
      <c r="C1840" s="2" t="s">
        <v>2534</v>
      </c>
      <c r="D1840" s="2" t="s">
        <v>2534</v>
      </c>
      <c r="E1840" s="3">
        <v>48</v>
      </c>
      <c r="F1840" s="3">
        <v>0</v>
      </c>
      <c r="G1840" s="2" t="s">
        <v>196</v>
      </c>
      <c r="H1840" s="2" t="s">
        <v>2042</v>
      </c>
      <c r="I1840" s="2" t="s">
        <v>87</v>
      </c>
    </row>
    <row r="1841" spans="1:9" ht="16" x14ac:dyDescent="0.8">
      <c r="A1841" s="2" t="s">
        <v>2490</v>
      </c>
      <c r="B1841" s="2" t="s">
        <v>2535</v>
      </c>
      <c r="C1841" s="2" t="s">
        <v>2536</v>
      </c>
      <c r="D1841" s="2" t="s">
        <v>2536</v>
      </c>
      <c r="E1841" s="3">
        <v>246</v>
      </c>
      <c r="F1841" s="3">
        <v>13</v>
      </c>
      <c r="G1841" s="2" t="s">
        <v>196</v>
      </c>
      <c r="H1841" s="2" t="s">
        <v>2042</v>
      </c>
      <c r="I1841" s="2" t="s">
        <v>87</v>
      </c>
    </row>
    <row r="1842" spans="1:9" ht="16" x14ac:dyDescent="0.8">
      <c r="A1842" s="2" t="s">
        <v>2490</v>
      </c>
      <c r="B1842" s="2" t="s">
        <v>2537</v>
      </c>
      <c r="C1842" s="2" t="s">
        <v>2538</v>
      </c>
      <c r="D1842" s="2" t="s">
        <v>2538</v>
      </c>
      <c r="E1842" s="3">
        <v>553</v>
      </c>
      <c r="F1842" s="3">
        <v>52</v>
      </c>
      <c r="G1842" s="2" t="s">
        <v>196</v>
      </c>
      <c r="H1842" s="2" t="s">
        <v>2042</v>
      </c>
      <c r="I1842" s="2" t="s">
        <v>87</v>
      </c>
    </row>
    <row r="1843" spans="1:9" ht="16" x14ac:dyDescent="0.8">
      <c r="A1843" s="2" t="s">
        <v>2490</v>
      </c>
      <c r="B1843" s="2" t="s">
        <v>2539</v>
      </c>
      <c r="C1843" s="2" t="s">
        <v>2540</v>
      </c>
      <c r="D1843" s="2" t="s">
        <v>2540</v>
      </c>
      <c r="E1843" s="3">
        <v>274</v>
      </c>
      <c r="F1843" s="3">
        <v>17</v>
      </c>
      <c r="G1843" s="2" t="s">
        <v>196</v>
      </c>
      <c r="H1843" s="2" t="s">
        <v>2042</v>
      </c>
      <c r="I1843" s="2" t="s">
        <v>87</v>
      </c>
    </row>
    <row r="1844" spans="1:9" ht="16" x14ac:dyDescent="0.8">
      <c r="A1844" s="2" t="s">
        <v>2490</v>
      </c>
      <c r="B1844" s="2" t="s">
        <v>2541</v>
      </c>
      <c r="C1844" s="2" t="s">
        <v>2542</v>
      </c>
      <c r="D1844" s="2" t="s">
        <v>2542</v>
      </c>
      <c r="E1844" s="3">
        <v>17</v>
      </c>
      <c r="F1844" s="3">
        <v>0</v>
      </c>
      <c r="G1844" s="2" t="s">
        <v>196</v>
      </c>
      <c r="H1844" s="2" t="s">
        <v>2042</v>
      </c>
      <c r="I1844" s="2" t="s">
        <v>87</v>
      </c>
    </row>
    <row r="1845" spans="1:9" ht="16" x14ac:dyDescent="0.8">
      <c r="A1845" s="2" t="s">
        <v>2543</v>
      </c>
      <c r="B1845" s="2" t="s">
        <v>2544</v>
      </c>
      <c r="C1845" s="2" t="s">
        <v>2545</v>
      </c>
      <c r="D1845" s="2" t="s">
        <v>2545</v>
      </c>
      <c r="E1845" s="3">
        <v>2310</v>
      </c>
      <c r="F1845" s="3">
        <v>2310</v>
      </c>
      <c r="G1845" s="2" t="s">
        <v>11</v>
      </c>
      <c r="H1845" s="2" t="s">
        <v>2042</v>
      </c>
      <c r="I1845" s="2" t="s">
        <v>2546</v>
      </c>
    </row>
    <row r="1846" spans="1:9" ht="16" x14ac:dyDescent="0.8">
      <c r="A1846" s="2" t="s">
        <v>2547</v>
      </c>
      <c r="B1846" s="2" t="s">
        <v>2548</v>
      </c>
      <c r="C1846" s="2" t="s">
        <v>2549</v>
      </c>
      <c r="D1846" s="2" t="s">
        <v>2549</v>
      </c>
      <c r="E1846" s="3">
        <v>25</v>
      </c>
      <c r="F1846" s="3">
        <v>2</v>
      </c>
      <c r="G1846" s="2" t="s">
        <v>196</v>
      </c>
      <c r="H1846" s="2" t="s">
        <v>2042</v>
      </c>
      <c r="I1846" s="2" t="s">
        <v>111</v>
      </c>
    </row>
    <row r="1847" spans="1:9" ht="16" x14ac:dyDescent="0.8">
      <c r="A1847" s="2" t="s">
        <v>2550</v>
      </c>
      <c r="B1847" s="2" t="s">
        <v>2551</v>
      </c>
      <c r="C1847" s="2" t="s">
        <v>2552</v>
      </c>
      <c r="D1847" s="2" t="s">
        <v>2552</v>
      </c>
      <c r="E1847" s="3">
        <v>33</v>
      </c>
      <c r="F1847" s="3">
        <v>33</v>
      </c>
      <c r="G1847" s="2" t="s">
        <v>196</v>
      </c>
      <c r="H1847" s="2" t="s">
        <v>2042</v>
      </c>
      <c r="I1847" s="2" t="s">
        <v>133</v>
      </c>
    </row>
    <row r="1848" spans="1:9" ht="16" x14ac:dyDescent="0.8">
      <c r="A1848" s="2" t="s">
        <v>2550</v>
      </c>
      <c r="B1848" s="2" t="s">
        <v>2553</v>
      </c>
      <c r="C1848" s="2" t="s">
        <v>2554</v>
      </c>
      <c r="D1848" s="2" t="s">
        <v>2554</v>
      </c>
      <c r="E1848" s="3">
        <v>15</v>
      </c>
      <c r="F1848" s="3">
        <v>15</v>
      </c>
      <c r="G1848" s="2" t="s">
        <v>196</v>
      </c>
      <c r="H1848" s="2" t="s">
        <v>2042</v>
      </c>
      <c r="I1848" s="2" t="s">
        <v>133</v>
      </c>
    </row>
    <row r="1849" spans="1:9" ht="16" x14ac:dyDescent="0.8">
      <c r="A1849" s="2" t="s">
        <v>2550</v>
      </c>
      <c r="B1849" s="2" t="s">
        <v>2555</v>
      </c>
      <c r="C1849" s="2" t="s">
        <v>2556</v>
      </c>
      <c r="D1849" s="2" t="s">
        <v>2556</v>
      </c>
      <c r="E1849" s="3">
        <v>66</v>
      </c>
      <c r="F1849" s="3">
        <v>2</v>
      </c>
      <c r="G1849" s="2" t="s">
        <v>196</v>
      </c>
      <c r="H1849" s="2" t="s">
        <v>2042</v>
      </c>
      <c r="I1849" s="2" t="s">
        <v>133</v>
      </c>
    </row>
    <row r="1850" spans="1:9" ht="16" x14ac:dyDescent="0.8">
      <c r="A1850" s="2" t="s">
        <v>2550</v>
      </c>
      <c r="B1850" s="2" t="s">
        <v>2557</v>
      </c>
      <c r="C1850" s="2" t="s">
        <v>2558</v>
      </c>
      <c r="D1850" s="2" t="s">
        <v>2558</v>
      </c>
      <c r="E1850" s="3">
        <v>72</v>
      </c>
      <c r="F1850" s="3">
        <v>72</v>
      </c>
      <c r="G1850" s="2" t="s">
        <v>196</v>
      </c>
      <c r="H1850" s="2" t="s">
        <v>2042</v>
      </c>
      <c r="I1850" s="2" t="s">
        <v>133</v>
      </c>
    </row>
    <row r="1851" spans="1:9" ht="16" x14ac:dyDescent="0.8">
      <c r="A1851" s="2" t="s">
        <v>2550</v>
      </c>
      <c r="B1851" s="2" t="s">
        <v>2559</v>
      </c>
      <c r="C1851" s="2" t="s">
        <v>2560</v>
      </c>
      <c r="D1851" s="2" t="s">
        <v>2560</v>
      </c>
      <c r="E1851" s="3">
        <v>122</v>
      </c>
      <c r="F1851" s="3">
        <v>62</v>
      </c>
      <c r="G1851" s="2" t="s">
        <v>196</v>
      </c>
      <c r="H1851" s="2" t="s">
        <v>2042</v>
      </c>
      <c r="I1851" s="2" t="s">
        <v>133</v>
      </c>
    </row>
    <row r="1852" spans="1:9" ht="16" x14ac:dyDescent="0.8">
      <c r="A1852" s="2" t="s">
        <v>2550</v>
      </c>
      <c r="B1852" s="2" t="s">
        <v>2561</v>
      </c>
      <c r="C1852" s="2" t="s">
        <v>2562</v>
      </c>
      <c r="D1852" s="2" t="s">
        <v>2562</v>
      </c>
      <c r="E1852" s="3">
        <v>21</v>
      </c>
      <c r="F1852" s="3">
        <v>21</v>
      </c>
      <c r="G1852" s="2" t="s">
        <v>196</v>
      </c>
      <c r="H1852" s="2" t="s">
        <v>2042</v>
      </c>
      <c r="I1852" s="2" t="s">
        <v>133</v>
      </c>
    </row>
    <row r="1853" spans="1:9" ht="16" x14ac:dyDescent="0.8">
      <c r="A1853" s="2" t="s">
        <v>2550</v>
      </c>
      <c r="B1853" s="2" t="s">
        <v>2563</v>
      </c>
      <c r="C1853" s="2" t="s">
        <v>2564</v>
      </c>
      <c r="D1853" s="2" t="s">
        <v>2564</v>
      </c>
      <c r="E1853" s="3">
        <v>36</v>
      </c>
      <c r="F1853" s="3">
        <v>36</v>
      </c>
      <c r="G1853" s="2" t="s">
        <v>196</v>
      </c>
      <c r="H1853" s="2" t="s">
        <v>2042</v>
      </c>
      <c r="I1853" s="2" t="s">
        <v>133</v>
      </c>
    </row>
    <row r="1854" spans="1:9" ht="16" x14ac:dyDescent="0.8">
      <c r="A1854" s="2" t="s">
        <v>2550</v>
      </c>
      <c r="B1854" s="2" t="s">
        <v>2565</v>
      </c>
      <c r="C1854" s="2" t="s">
        <v>2566</v>
      </c>
      <c r="D1854" s="2" t="s">
        <v>2566</v>
      </c>
      <c r="E1854" s="3">
        <v>28</v>
      </c>
      <c r="F1854" s="3">
        <v>28</v>
      </c>
      <c r="G1854" s="2" t="s">
        <v>196</v>
      </c>
      <c r="H1854" s="2" t="s">
        <v>2042</v>
      </c>
      <c r="I1854" s="2" t="s">
        <v>133</v>
      </c>
    </row>
    <row r="1855" spans="1:9" ht="16" x14ac:dyDescent="0.8">
      <c r="A1855" s="2" t="s">
        <v>2550</v>
      </c>
      <c r="B1855" s="2" t="s">
        <v>2567</v>
      </c>
      <c r="C1855" s="2" t="s">
        <v>2568</v>
      </c>
      <c r="D1855" s="2" t="s">
        <v>2568</v>
      </c>
      <c r="E1855" s="3">
        <v>27</v>
      </c>
      <c r="F1855" s="3">
        <v>27</v>
      </c>
      <c r="G1855" s="2" t="s">
        <v>196</v>
      </c>
      <c r="H1855" s="2" t="s">
        <v>2042</v>
      </c>
      <c r="I1855" s="2" t="s">
        <v>133</v>
      </c>
    </row>
    <row r="1856" spans="1:9" ht="16" x14ac:dyDescent="0.8">
      <c r="A1856" s="2" t="s">
        <v>2550</v>
      </c>
      <c r="B1856" s="2" t="s">
        <v>2569</v>
      </c>
      <c r="C1856" s="2" t="s">
        <v>2570</v>
      </c>
      <c r="D1856" s="2" t="s">
        <v>2570</v>
      </c>
      <c r="E1856" s="3">
        <v>17</v>
      </c>
      <c r="F1856" s="3">
        <v>17</v>
      </c>
      <c r="G1856" s="2" t="s">
        <v>196</v>
      </c>
      <c r="H1856" s="2" t="s">
        <v>2042</v>
      </c>
      <c r="I1856" s="2" t="s">
        <v>133</v>
      </c>
    </row>
    <row r="1857" spans="1:9" ht="16" x14ac:dyDescent="0.8">
      <c r="A1857" s="2" t="s">
        <v>2550</v>
      </c>
      <c r="B1857" s="2" t="s">
        <v>2571</v>
      </c>
      <c r="C1857" s="2" t="s">
        <v>2572</v>
      </c>
      <c r="D1857" s="2" t="s">
        <v>2572</v>
      </c>
      <c r="E1857" s="3">
        <v>6</v>
      </c>
      <c r="F1857" s="3">
        <v>6</v>
      </c>
      <c r="G1857" s="2" t="s">
        <v>196</v>
      </c>
      <c r="H1857" s="2" t="s">
        <v>2042</v>
      </c>
      <c r="I1857" s="2" t="s">
        <v>133</v>
      </c>
    </row>
    <row r="1858" spans="1:9" ht="16" x14ac:dyDescent="0.8">
      <c r="A1858" s="2" t="s">
        <v>2550</v>
      </c>
      <c r="B1858" s="2" t="s">
        <v>2573</v>
      </c>
      <c r="C1858" s="2" t="s">
        <v>2574</v>
      </c>
      <c r="D1858" s="2" t="s">
        <v>2574</v>
      </c>
      <c r="E1858" s="3">
        <v>19</v>
      </c>
      <c r="F1858" s="3">
        <v>19</v>
      </c>
      <c r="G1858" s="2" t="s">
        <v>196</v>
      </c>
      <c r="H1858" s="2" t="s">
        <v>2042</v>
      </c>
      <c r="I1858" s="2" t="s">
        <v>133</v>
      </c>
    </row>
    <row r="1859" spans="1:9" ht="16" x14ac:dyDescent="0.8">
      <c r="A1859" s="2" t="s">
        <v>2550</v>
      </c>
      <c r="B1859" s="2" t="s">
        <v>2575</v>
      </c>
      <c r="C1859" s="2" t="s">
        <v>2576</v>
      </c>
      <c r="D1859" s="2" t="s">
        <v>2576</v>
      </c>
      <c r="E1859" s="3">
        <v>56</v>
      </c>
      <c r="F1859" s="3">
        <v>56</v>
      </c>
      <c r="G1859" s="2" t="s">
        <v>196</v>
      </c>
      <c r="H1859" s="2" t="s">
        <v>2042</v>
      </c>
      <c r="I1859" s="2" t="s">
        <v>133</v>
      </c>
    </row>
    <row r="1860" spans="1:9" ht="16" x14ac:dyDescent="0.8">
      <c r="A1860" s="2" t="s">
        <v>2550</v>
      </c>
      <c r="B1860" s="2" t="s">
        <v>2577</v>
      </c>
      <c r="C1860" s="2" t="s">
        <v>2578</v>
      </c>
      <c r="D1860" s="2" t="s">
        <v>2578</v>
      </c>
      <c r="E1860" s="3">
        <v>74</v>
      </c>
      <c r="F1860" s="3">
        <v>0</v>
      </c>
      <c r="G1860" s="2" t="s">
        <v>196</v>
      </c>
      <c r="H1860" s="2" t="s">
        <v>2042</v>
      </c>
      <c r="I1860" s="2" t="s">
        <v>133</v>
      </c>
    </row>
    <row r="1861" spans="1:9" ht="16" x14ac:dyDescent="0.8">
      <c r="A1861" s="2" t="s">
        <v>2550</v>
      </c>
      <c r="B1861" s="2" t="s">
        <v>2579</v>
      </c>
      <c r="C1861" s="2" t="s">
        <v>2580</v>
      </c>
      <c r="D1861" s="2" t="s">
        <v>2580</v>
      </c>
      <c r="E1861" s="3">
        <v>403</v>
      </c>
      <c r="F1861" s="3">
        <v>0</v>
      </c>
      <c r="G1861" s="2" t="s">
        <v>196</v>
      </c>
      <c r="H1861" s="2" t="s">
        <v>2042</v>
      </c>
      <c r="I1861" s="2" t="s">
        <v>133</v>
      </c>
    </row>
    <row r="1862" spans="1:9" ht="16" x14ac:dyDescent="0.8">
      <c r="A1862" s="2" t="s">
        <v>2550</v>
      </c>
      <c r="B1862" s="2" t="s">
        <v>2581</v>
      </c>
      <c r="C1862" s="2" t="s">
        <v>2582</v>
      </c>
      <c r="D1862" s="2" t="s">
        <v>2582</v>
      </c>
      <c r="E1862" s="3">
        <v>27</v>
      </c>
      <c r="F1862" s="3">
        <v>0</v>
      </c>
      <c r="G1862" s="2" t="s">
        <v>196</v>
      </c>
      <c r="H1862" s="2" t="s">
        <v>2042</v>
      </c>
      <c r="I1862" s="2" t="s">
        <v>133</v>
      </c>
    </row>
    <row r="1863" spans="1:9" ht="16" x14ac:dyDescent="0.8">
      <c r="A1863" s="2" t="s">
        <v>2550</v>
      </c>
      <c r="B1863" s="2" t="s">
        <v>2583</v>
      </c>
      <c r="C1863" s="2" t="s">
        <v>2584</v>
      </c>
      <c r="D1863" s="2" t="s">
        <v>2584</v>
      </c>
      <c r="E1863" s="3">
        <v>8</v>
      </c>
      <c r="F1863" s="3">
        <v>8</v>
      </c>
      <c r="G1863" s="2" t="s">
        <v>196</v>
      </c>
      <c r="H1863" s="2" t="s">
        <v>2042</v>
      </c>
      <c r="I1863" s="2" t="s">
        <v>133</v>
      </c>
    </row>
    <row r="1864" spans="1:9" ht="16" x14ac:dyDescent="0.8">
      <c r="A1864" s="2" t="s">
        <v>2550</v>
      </c>
      <c r="B1864" s="2" t="s">
        <v>2585</v>
      </c>
      <c r="C1864" s="2" t="s">
        <v>2586</v>
      </c>
      <c r="D1864" s="2" t="s">
        <v>2586</v>
      </c>
      <c r="E1864" s="3">
        <v>14</v>
      </c>
      <c r="F1864" s="3">
        <v>14</v>
      </c>
      <c r="G1864" s="2" t="s">
        <v>196</v>
      </c>
      <c r="H1864" s="2" t="s">
        <v>2042</v>
      </c>
      <c r="I1864" s="2" t="s">
        <v>133</v>
      </c>
    </row>
    <row r="1865" spans="1:9" ht="16" x14ac:dyDescent="0.8">
      <c r="A1865" s="2" t="s">
        <v>2550</v>
      </c>
      <c r="B1865" s="2" t="s">
        <v>2587</v>
      </c>
      <c r="C1865" s="2" t="s">
        <v>2588</v>
      </c>
      <c r="D1865" s="2" t="s">
        <v>2588</v>
      </c>
      <c r="E1865" s="3">
        <v>21</v>
      </c>
      <c r="F1865" s="3">
        <v>0</v>
      </c>
      <c r="G1865" s="2" t="s">
        <v>196</v>
      </c>
      <c r="H1865" s="2" t="s">
        <v>2042</v>
      </c>
      <c r="I1865" s="2" t="s">
        <v>133</v>
      </c>
    </row>
    <row r="1866" spans="1:9" ht="16" x14ac:dyDescent="0.8">
      <c r="A1866" s="2" t="s">
        <v>2550</v>
      </c>
      <c r="B1866" s="2" t="s">
        <v>2589</v>
      </c>
      <c r="C1866" s="2" t="s">
        <v>2590</v>
      </c>
      <c r="D1866" s="2" t="s">
        <v>2590</v>
      </c>
      <c r="E1866" s="3">
        <v>27</v>
      </c>
      <c r="F1866" s="3">
        <v>27</v>
      </c>
      <c r="G1866" s="2" t="s">
        <v>196</v>
      </c>
      <c r="H1866" s="2" t="s">
        <v>2042</v>
      </c>
      <c r="I1866" s="2" t="s">
        <v>133</v>
      </c>
    </row>
    <row r="1867" spans="1:9" ht="16" x14ac:dyDescent="0.8">
      <c r="A1867" s="2" t="s">
        <v>2550</v>
      </c>
      <c r="B1867" s="2" t="s">
        <v>2161</v>
      </c>
      <c r="C1867" s="2" t="s">
        <v>2162</v>
      </c>
      <c r="D1867" s="2" t="s">
        <v>2162</v>
      </c>
      <c r="E1867" s="3">
        <v>37</v>
      </c>
      <c r="F1867" s="3">
        <v>1</v>
      </c>
      <c r="G1867" s="2" t="s">
        <v>196</v>
      </c>
      <c r="H1867" s="2" t="s">
        <v>2042</v>
      </c>
      <c r="I1867" s="2" t="s">
        <v>133</v>
      </c>
    </row>
    <row r="1868" spans="1:9" ht="16" x14ac:dyDescent="0.8">
      <c r="A1868" s="2" t="s">
        <v>2550</v>
      </c>
      <c r="B1868" s="2" t="s">
        <v>2591</v>
      </c>
      <c r="C1868" s="2" t="s">
        <v>2592</v>
      </c>
      <c r="D1868" s="2" t="s">
        <v>2592</v>
      </c>
      <c r="E1868" s="3">
        <v>33</v>
      </c>
      <c r="F1868" s="3">
        <v>0</v>
      </c>
      <c r="G1868" s="2" t="s">
        <v>196</v>
      </c>
      <c r="H1868" s="2" t="s">
        <v>2042</v>
      </c>
      <c r="I1868" s="2" t="s">
        <v>133</v>
      </c>
    </row>
    <row r="1869" spans="1:9" ht="16" x14ac:dyDescent="0.8">
      <c r="A1869" s="2" t="s">
        <v>2550</v>
      </c>
      <c r="B1869" s="2" t="s">
        <v>2593</v>
      </c>
      <c r="C1869" s="2" t="s">
        <v>2594</v>
      </c>
      <c r="D1869" s="2" t="s">
        <v>2594</v>
      </c>
      <c r="E1869" s="3">
        <v>127</v>
      </c>
      <c r="F1869" s="3">
        <v>70</v>
      </c>
      <c r="G1869" s="2" t="s">
        <v>196</v>
      </c>
      <c r="H1869" s="2" t="s">
        <v>2042</v>
      </c>
      <c r="I1869" s="2" t="s">
        <v>133</v>
      </c>
    </row>
    <row r="1870" spans="1:9" ht="16" x14ac:dyDescent="0.8">
      <c r="A1870" s="2" t="s">
        <v>2550</v>
      </c>
      <c r="B1870" s="2" t="s">
        <v>2595</v>
      </c>
      <c r="C1870" s="2" t="s">
        <v>2596</v>
      </c>
      <c r="D1870" s="2" t="s">
        <v>2596</v>
      </c>
      <c r="E1870" s="3">
        <v>37</v>
      </c>
      <c r="F1870" s="3">
        <v>9</v>
      </c>
      <c r="G1870" s="2" t="s">
        <v>196</v>
      </c>
      <c r="H1870" s="2" t="s">
        <v>2042</v>
      </c>
      <c r="I1870" s="2" t="s">
        <v>133</v>
      </c>
    </row>
    <row r="1871" spans="1:9" ht="16" x14ac:dyDescent="0.8">
      <c r="A1871" s="2" t="s">
        <v>2550</v>
      </c>
      <c r="B1871" s="2" t="s">
        <v>2597</v>
      </c>
      <c r="C1871" s="2" t="s">
        <v>2598</v>
      </c>
      <c r="D1871" s="2" t="s">
        <v>2598</v>
      </c>
      <c r="E1871" s="3">
        <v>59</v>
      </c>
      <c r="F1871" s="3">
        <v>59</v>
      </c>
      <c r="G1871" s="2" t="s">
        <v>196</v>
      </c>
      <c r="H1871" s="2" t="s">
        <v>2042</v>
      </c>
      <c r="I1871" s="2" t="s">
        <v>133</v>
      </c>
    </row>
    <row r="1872" spans="1:9" ht="16" x14ac:dyDescent="0.8">
      <c r="A1872" s="2" t="s">
        <v>2550</v>
      </c>
      <c r="B1872" s="2" t="s">
        <v>2599</v>
      </c>
      <c r="C1872" s="2" t="s">
        <v>2600</v>
      </c>
      <c r="D1872" s="2" t="s">
        <v>2600</v>
      </c>
      <c r="E1872" s="3">
        <v>21</v>
      </c>
      <c r="F1872" s="3">
        <v>0</v>
      </c>
      <c r="G1872" s="2" t="s">
        <v>196</v>
      </c>
      <c r="H1872" s="2" t="s">
        <v>2042</v>
      </c>
      <c r="I1872" s="2" t="s">
        <v>133</v>
      </c>
    </row>
    <row r="1873" spans="1:9" ht="16" x14ac:dyDescent="0.8">
      <c r="A1873" s="2" t="s">
        <v>2550</v>
      </c>
      <c r="B1873" s="2" t="s">
        <v>2601</v>
      </c>
      <c r="C1873" s="2" t="s">
        <v>2602</v>
      </c>
      <c r="D1873" s="2" t="s">
        <v>2602</v>
      </c>
      <c r="E1873" s="3">
        <v>81</v>
      </c>
      <c r="F1873" s="3">
        <v>81</v>
      </c>
      <c r="G1873" s="2" t="s">
        <v>196</v>
      </c>
      <c r="H1873" s="2" t="s">
        <v>2042</v>
      </c>
      <c r="I1873" s="2" t="s">
        <v>133</v>
      </c>
    </row>
    <row r="1874" spans="1:9" ht="16" x14ac:dyDescent="0.8">
      <c r="A1874" s="2" t="s">
        <v>2550</v>
      </c>
      <c r="B1874" s="2" t="s">
        <v>2603</v>
      </c>
      <c r="C1874" s="2" t="s">
        <v>2604</v>
      </c>
      <c r="D1874" s="2" t="s">
        <v>2604</v>
      </c>
      <c r="E1874" s="3">
        <v>129</v>
      </c>
      <c r="F1874" s="3">
        <v>1</v>
      </c>
      <c r="G1874" s="2" t="s">
        <v>196</v>
      </c>
      <c r="H1874" s="2" t="s">
        <v>2042</v>
      </c>
      <c r="I1874" s="2" t="s">
        <v>133</v>
      </c>
    </row>
    <row r="1875" spans="1:9" ht="16" x14ac:dyDescent="0.8">
      <c r="A1875" s="2" t="s">
        <v>2550</v>
      </c>
      <c r="B1875" s="2" t="s">
        <v>2605</v>
      </c>
      <c r="C1875" s="2" t="s">
        <v>2606</v>
      </c>
      <c r="D1875" s="2" t="s">
        <v>2606</v>
      </c>
      <c r="E1875" s="3">
        <v>398</v>
      </c>
      <c r="F1875" s="3">
        <v>398</v>
      </c>
      <c r="G1875" s="2" t="s">
        <v>196</v>
      </c>
      <c r="H1875" s="2" t="s">
        <v>2042</v>
      </c>
      <c r="I1875" s="2" t="s">
        <v>133</v>
      </c>
    </row>
    <row r="1876" spans="1:9" ht="16" x14ac:dyDescent="0.8">
      <c r="A1876" s="2" t="s">
        <v>2550</v>
      </c>
      <c r="B1876" s="2" t="s">
        <v>2607</v>
      </c>
      <c r="C1876" s="2" t="s">
        <v>2608</v>
      </c>
      <c r="D1876" s="2" t="s">
        <v>2608</v>
      </c>
      <c r="E1876" s="3">
        <v>5</v>
      </c>
      <c r="F1876" s="3">
        <v>5</v>
      </c>
      <c r="G1876" s="2" t="s">
        <v>196</v>
      </c>
      <c r="H1876" s="2" t="s">
        <v>2042</v>
      </c>
      <c r="I1876" s="2" t="s">
        <v>133</v>
      </c>
    </row>
    <row r="1877" spans="1:9" ht="16" x14ac:dyDescent="0.8">
      <c r="A1877" s="2" t="s">
        <v>2550</v>
      </c>
      <c r="B1877" s="2" t="s">
        <v>2609</v>
      </c>
      <c r="C1877" s="2" t="s">
        <v>2610</v>
      </c>
      <c r="D1877" s="2" t="s">
        <v>2610</v>
      </c>
      <c r="E1877" s="3">
        <v>199</v>
      </c>
      <c r="F1877" s="3">
        <v>159</v>
      </c>
      <c r="G1877" s="2" t="s">
        <v>196</v>
      </c>
      <c r="H1877" s="2" t="s">
        <v>2042</v>
      </c>
      <c r="I1877" s="2" t="s">
        <v>133</v>
      </c>
    </row>
    <row r="1878" spans="1:9" ht="16" x14ac:dyDescent="0.8">
      <c r="A1878" s="2" t="s">
        <v>2550</v>
      </c>
      <c r="B1878" s="2" t="s">
        <v>2611</v>
      </c>
      <c r="C1878" s="2" t="s">
        <v>2612</v>
      </c>
      <c r="D1878" s="2" t="s">
        <v>2612</v>
      </c>
      <c r="E1878" s="3">
        <v>18</v>
      </c>
      <c r="F1878" s="3">
        <v>18</v>
      </c>
      <c r="G1878" s="2" t="s">
        <v>196</v>
      </c>
      <c r="H1878" s="2" t="s">
        <v>2042</v>
      </c>
      <c r="I1878" s="2" t="s">
        <v>133</v>
      </c>
    </row>
    <row r="1879" spans="1:9" ht="16" x14ac:dyDescent="0.8">
      <c r="A1879" s="2" t="s">
        <v>2550</v>
      </c>
      <c r="B1879" s="2" t="s">
        <v>2613</v>
      </c>
      <c r="C1879" s="2" t="s">
        <v>2614</v>
      </c>
      <c r="D1879" s="2" t="s">
        <v>2614</v>
      </c>
      <c r="E1879" s="3">
        <v>17</v>
      </c>
      <c r="F1879" s="3">
        <v>17</v>
      </c>
      <c r="G1879" s="2" t="s">
        <v>196</v>
      </c>
      <c r="H1879" s="2" t="s">
        <v>2042</v>
      </c>
      <c r="I1879" s="2" t="s">
        <v>133</v>
      </c>
    </row>
    <row r="1880" spans="1:9" ht="16" x14ac:dyDescent="0.8">
      <c r="A1880" s="2" t="s">
        <v>2550</v>
      </c>
      <c r="B1880" s="2" t="s">
        <v>2615</v>
      </c>
      <c r="C1880" s="2" t="s">
        <v>2616</v>
      </c>
      <c r="D1880" s="2" t="s">
        <v>2616</v>
      </c>
      <c r="E1880" s="3">
        <v>245</v>
      </c>
      <c r="F1880" s="3">
        <v>245</v>
      </c>
      <c r="G1880" s="2" t="s">
        <v>196</v>
      </c>
      <c r="H1880" s="2" t="s">
        <v>2042</v>
      </c>
      <c r="I1880" s="2" t="s">
        <v>133</v>
      </c>
    </row>
    <row r="1881" spans="1:9" ht="16" x14ac:dyDescent="0.8">
      <c r="A1881" s="2" t="s">
        <v>2617</v>
      </c>
      <c r="B1881" s="2" t="s">
        <v>343</v>
      </c>
      <c r="C1881" s="2" t="s">
        <v>344</v>
      </c>
      <c r="D1881" s="2" t="s">
        <v>344</v>
      </c>
      <c r="E1881" s="3">
        <v>30</v>
      </c>
      <c r="F1881" s="3">
        <v>30</v>
      </c>
      <c r="G1881" s="2" t="s">
        <v>11</v>
      </c>
      <c r="H1881" s="2" t="s">
        <v>2043</v>
      </c>
      <c r="I1881" s="2" t="s">
        <v>279</v>
      </c>
    </row>
    <row r="1882" spans="1:9" ht="16" x14ac:dyDescent="0.8">
      <c r="A1882" s="2" t="s">
        <v>2618</v>
      </c>
      <c r="B1882" s="2" t="s">
        <v>2619</v>
      </c>
      <c r="C1882" s="2" t="s">
        <v>2620</v>
      </c>
      <c r="D1882" s="2" t="s">
        <v>2620</v>
      </c>
      <c r="E1882" s="3">
        <v>3</v>
      </c>
      <c r="F1882" s="3">
        <v>3</v>
      </c>
      <c r="G1882" s="2" t="s">
        <v>196</v>
      </c>
      <c r="H1882" s="2" t="s">
        <v>2043</v>
      </c>
      <c r="I1882" s="2" t="s">
        <v>117</v>
      </c>
    </row>
    <row r="1883" spans="1:9" ht="16" x14ac:dyDescent="0.8">
      <c r="A1883" s="2" t="s">
        <v>2618</v>
      </c>
      <c r="B1883" s="2" t="s">
        <v>2621</v>
      </c>
      <c r="C1883" s="2" t="s">
        <v>2622</v>
      </c>
      <c r="D1883" s="2" t="s">
        <v>2622</v>
      </c>
      <c r="E1883" s="3">
        <v>231</v>
      </c>
      <c r="F1883" s="3">
        <v>231</v>
      </c>
      <c r="G1883" s="2" t="s">
        <v>196</v>
      </c>
      <c r="H1883" s="2" t="s">
        <v>2043</v>
      </c>
      <c r="I1883" s="2" t="s">
        <v>117</v>
      </c>
    </row>
    <row r="1884" spans="1:9" ht="16" x14ac:dyDescent="0.8">
      <c r="A1884" s="2" t="s">
        <v>2618</v>
      </c>
      <c r="B1884" s="2" t="s">
        <v>2623</v>
      </c>
      <c r="C1884" s="2" t="s">
        <v>2624</v>
      </c>
      <c r="D1884" s="2" t="s">
        <v>2624</v>
      </c>
      <c r="E1884" s="3">
        <v>227</v>
      </c>
      <c r="F1884" s="3">
        <v>227</v>
      </c>
      <c r="G1884" s="2" t="s">
        <v>196</v>
      </c>
      <c r="H1884" s="2" t="s">
        <v>2043</v>
      </c>
      <c r="I1884" s="2" t="s">
        <v>117</v>
      </c>
    </row>
    <row r="1885" spans="1:9" ht="16" x14ac:dyDescent="0.8">
      <c r="A1885" s="2" t="s">
        <v>2618</v>
      </c>
      <c r="B1885" s="2" t="s">
        <v>2625</v>
      </c>
      <c r="C1885" s="2" t="s">
        <v>2626</v>
      </c>
      <c r="D1885" s="2" t="s">
        <v>2626</v>
      </c>
      <c r="E1885" s="3">
        <v>245</v>
      </c>
      <c r="F1885" s="3">
        <v>245</v>
      </c>
      <c r="G1885" s="2" t="s">
        <v>196</v>
      </c>
      <c r="H1885" s="2" t="s">
        <v>2043</v>
      </c>
      <c r="I1885" s="2" t="s">
        <v>117</v>
      </c>
    </row>
    <row r="1886" spans="1:9" ht="16" x14ac:dyDescent="0.8">
      <c r="A1886" s="2" t="s">
        <v>2618</v>
      </c>
      <c r="B1886" s="2" t="s">
        <v>2627</v>
      </c>
      <c r="C1886" s="2" t="s">
        <v>2628</v>
      </c>
      <c r="D1886" s="2" t="s">
        <v>2628</v>
      </c>
      <c r="E1886" s="3">
        <v>416</v>
      </c>
      <c r="F1886" s="3">
        <v>416</v>
      </c>
      <c r="G1886" s="2" t="s">
        <v>196</v>
      </c>
      <c r="H1886" s="2" t="s">
        <v>2043</v>
      </c>
      <c r="I1886" s="2" t="s">
        <v>117</v>
      </c>
    </row>
    <row r="1887" spans="1:9" ht="16" x14ac:dyDescent="0.8">
      <c r="A1887" s="2" t="s">
        <v>2618</v>
      </c>
      <c r="B1887" s="2" t="s">
        <v>2629</v>
      </c>
      <c r="C1887" s="2" t="s">
        <v>2630</v>
      </c>
      <c r="D1887" s="2" t="s">
        <v>2630</v>
      </c>
      <c r="E1887" s="3">
        <v>108</v>
      </c>
      <c r="F1887" s="3">
        <v>108</v>
      </c>
      <c r="G1887" s="2" t="s">
        <v>196</v>
      </c>
      <c r="H1887" s="2" t="s">
        <v>2043</v>
      </c>
      <c r="I1887" s="2" t="s">
        <v>117</v>
      </c>
    </row>
    <row r="1888" spans="1:9" ht="16" x14ac:dyDescent="0.8">
      <c r="A1888" s="2" t="s">
        <v>2618</v>
      </c>
      <c r="B1888" s="2" t="s">
        <v>2631</v>
      </c>
      <c r="C1888" s="2" t="s">
        <v>2632</v>
      </c>
      <c r="D1888" s="2" t="s">
        <v>2632</v>
      </c>
      <c r="E1888" s="3">
        <v>399</v>
      </c>
      <c r="F1888" s="3">
        <v>399</v>
      </c>
      <c r="G1888" s="2" t="s">
        <v>196</v>
      </c>
      <c r="H1888" s="2" t="s">
        <v>2043</v>
      </c>
      <c r="I1888" s="2" t="s">
        <v>117</v>
      </c>
    </row>
    <row r="1889" spans="1:9" ht="16" x14ac:dyDescent="0.8">
      <c r="A1889" s="2" t="s">
        <v>2618</v>
      </c>
      <c r="B1889" s="2" t="s">
        <v>2633</v>
      </c>
      <c r="C1889" s="2" t="s">
        <v>2634</v>
      </c>
      <c r="D1889" s="2" t="s">
        <v>2634</v>
      </c>
      <c r="E1889" s="3">
        <v>169</v>
      </c>
      <c r="F1889" s="3">
        <v>169</v>
      </c>
      <c r="G1889" s="2" t="s">
        <v>196</v>
      </c>
      <c r="H1889" s="2" t="s">
        <v>2043</v>
      </c>
      <c r="I1889" s="2" t="s">
        <v>117</v>
      </c>
    </row>
    <row r="1890" spans="1:9" ht="16" x14ac:dyDescent="0.8">
      <c r="A1890" s="2" t="s">
        <v>2618</v>
      </c>
      <c r="B1890" s="2" t="s">
        <v>2635</v>
      </c>
      <c r="C1890" s="2" t="s">
        <v>2636</v>
      </c>
      <c r="D1890" s="2" t="s">
        <v>2636</v>
      </c>
      <c r="E1890" s="3">
        <v>127</v>
      </c>
      <c r="F1890" s="3">
        <v>127</v>
      </c>
      <c r="G1890" s="2" t="s">
        <v>196</v>
      </c>
      <c r="H1890" s="2" t="s">
        <v>2043</v>
      </c>
      <c r="I1890" s="2" t="s">
        <v>117</v>
      </c>
    </row>
    <row r="1891" spans="1:9" ht="16" x14ac:dyDescent="0.8">
      <c r="A1891" s="2" t="s">
        <v>2618</v>
      </c>
      <c r="B1891" s="2" t="s">
        <v>2637</v>
      </c>
      <c r="C1891" s="2" t="s">
        <v>2638</v>
      </c>
      <c r="D1891" s="2" t="s">
        <v>2638</v>
      </c>
      <c r="E1891" s="3">
        <v>75</v>
      </c>
      <c r="F1891" s="3">
        <v>75</v>
      </c>
      <c r="G1891" s="2" t="s">
        <v>196</v>
      </c>
      <c r="H1891" s="2" t="s">
        <v>2043</v>
      </c>
      <c r="I1891" s="2" t="s">
        <v>117</v>
      </c>
    </row>
    <row r="1892" spans="1:9" ht="16" x14ac:dyDescent="0.8">
      <c r="A1892" s="2" t="s">
        <v>2618</v>
      </c>
      <c r="B1892" s="2" t="s">
        <v>2639</v>
      </c>
      <c r="C1892" s="2" t="s">
        <v>2640</v>
      </c>
      <c r="D1892" s="2" t="s">
        <v>2640</v>
      </c>
      <c r="E1892" s="3">
        <v>83</v>
      </c>
      <c r="F1892" s="3">
        <v>83</v>
      </c>
      <c r="G1892" s="2" t="s">
        <v>196</v>
      </c>
      <c r="H1892" s="2" t="s">
        <v>2043</v>
      </c>
      <c r="I1892" s="2" t="s">
        <v>117</v>
      </c>
    </row>
    <row r="1893" spans="1:9" ht="16" x14ac:dyDescent="0.8">
      <c r="A1893" s="2" t="s">
        <v>2618</v>
      </c>
      <c r="B1893" s="2" t="s">
        <v>2641</v>
      </c>
      <c r="C1893" s="2" t="s">
        <v>2642</v>
      </c>
      <c r="D1893" s="2" t="s">
        <v>2642</v>
      </c>
      <c r="E1893" s="3">
        <v>534</v>
      </c>
      <c r="F1893" s="3">
        <v>240</v>
      </c>
      <c r="G1893" s="2" t="s">
        <v>196</v>
      </c>
      <c r="H1893" s="2" t="s">
        <v>2043</v>
      </c>
      <c r="I1893" s="2" t="s">
        <v>117</v>
      </c>
    </row>
    <row r="1894" spans="1:9" ht="16" x14ac:dyDescent="0.8">
      <c r="A1894" s="2" t="s">
        <v>2618</v>
      </c>
      <c r="B1894" s="2" t="s">
        <v>2643</v>
      </c>
      <c r="C1894" s="2" t="s">
        <v>2644</v>
      </c>
      <c r="D1894" s="2" t="s">
        <v>2644</v>
      </c>
      <c r="E1894" s="3">
        <v>65</v>
      </c>
      <c r="F1894" s="3">
        <v>65</v>
      </c>
      <c r="G1894" s="2" t="s">
        <v>196</v>
      </c>
      <c r="H1894" s="2" t="s">
        <v>2043</v>
      </c>
      <c r="I1894" s="2" t="s">
        <v>117</v>
      </c>
    </row>
    <row r="1895" spans="1:9" ht="16" x14ac:dyDescent="0.8">
      <c r="A1895" s="2" t="s">
        <v>2618</v>
      </c>
      <c r="B1895" s="2" t="s">
        <v>2645</v>
      </c>
      <c r="C1895" s="2" t="s">
        <v>2646</v>
      </c>
      <c r="D1895" s="2" t="s">
        <v>2646</v>
      </c>
      <c r="E1895" s="3">
        <v>11</v>
      </c>
      <c r="F1895" s="3">
        <v>11</v>
      </c>
      <c r="G1895" s="2" t="s">
        <v>196</v>
      </c>
      <c r="H1895" s="2" t="s">
        <v>2043</v>
      </c>
      <c r="I1895" s="2" t="s">
        <v>117</v>
      </c>
    </row>
    <row r="1896" spans="1:9" ht="16" x14ac:dyDescent="0.8">
      <c r="A1896" s="2" t="s">
        <v>2618</v>
      </c>
      <c r="B1896" s="2" t="s">
        <v>2647</v>
      </c>
      <c r="C1896" s="2" t="s">
        <v>2648</v>
      </c>
      <c r="D1896" s="2" t="s">
        <v>2648</v>
      </c>
      <c r="E1896" s="3">
        <v>23</v>
      </c>
      <c r="F1896" s="3">
        <v>23</v>
      </c>
      <c r="G1896" s="2" t="s">
        <v>196</v>
      </c>
      <c r="H1896" s="2" t="s">
        <v>2043</v>
      </c>
      <c r="I1896" s="2" t="s">
        <v>117</v>
      </c>
    </row>
    <row r="1897" spans="1:9" ht="16" x14ac:dyDescent="0.8">
      <c r="A1897" s="2" t="s">
        <v>2618</v>
      </c>
      <c r="B1897" s="2" t="s">
        <v>2649</v>
      </c>
      <c r="C1897" s="2" t="s">
        <v>2650</v>
      </c>
      <c r="D1897" s="2" t="s">
        <v>2650</v>
      </c>
      <c r="E1897" s="3">
        <v>465</v>
      </c>
      <c r="F1897" s="3">
        <v>99</v>
      </c>
      <c r="G1897" s="2" t="s">
        <v>196</v>
      </c>
      <c r="H1897" s="2" t="s">
        <v>2043</v>
      </c>
      <c r="I1897" s="2" t="s">
        <v>117</v>
      </c>
    </row>
    <row r="1898" spans="1:9" ht="16" x14ac:dyDescent="0.8">
      <c r="A1898" s="2" t="s">
        <v>2618</v>
      </c>
      <c r="B1898" s="2" t="s">
        <v>2651</v>
      </c>
      <c r="C1898" s="2" t="s">
        <v>2652</v>
      </c>
      <c r="D1898" s="2" t="s">
        <v>2652</v>
      </c>
      <c r="E1898" s="3">
        <v>552</v>
      </c>
      <c r="F1898" s="3">
        <v>552</v>
      </c>
      <c r="G1898" s="2" t="s">
        <v>196</v>
      </c>
      <c r="H1898" s="2" t="s">
        <v>2043</v>
      </c>
      <c r="I1898" s="2" t="s">
        <v>117</v>
      </c>
    </row>
    <row r="1899" spans="1:9" ht="16" x14ac:dyDescent="0.8">
      <c r="A1899" s="2" t="s">
        <v>2618</v>
      </c>
      <c r="B1899" s="2" t="s">
        <v>2653</v>
      </c>
      <c r="C1899" s="2" t="s">
        <v>2654</v>
      </c>
      <c r="D1899" s="2" t="s">
        <v>2654</v>
      </c>
      <c r="E1899" s="3">
        <v>311</v>
      </c>
      <c r="F1899" s="3">
        <v>311</v>
      </c>
      <c r="G1899" s="2" t="s">
        <v>196</v>
      </c>
      <c r="H1899" s="2" t="s">
        <v>2043</v>
      </c>
      <c r="I1899" s="2" t="s">
        <v>117</v>
      </c>
    </row>
    <row r="1900" spans="1:9" ht="16" x14ac:dyDescent="0.8">
      <c r="A1900" s="2" t="s">
        <v>2618</v>
      </c>
      <c r="B1900" s="2" t="s">
        <v>2655</v>
      </c>
      <c r="C1900" s="2" t="s">
        <v>2656</v>
      </c>
      <c r="D1900" s="2" t="s">
        <v>2656</v>
      </c>
      <c r="E1900" s="3">
        <v>97</v>
      </c>
      <c r="F1900" s="3">
        <v>97</v>
      </c>
      <c r="G1900" s="2" t="s">
        <v>196</v>
      </c>
      <c r="H1900" s="2" t="s">
        <v>2043</v>
      </c>
      <c r="I1900" s="2" t="s">
        <v>117</v>
      </c>
    </row>
    <row r="1901" spans="1:9" ht="16" x14ac:dyDescent="0.8">
      <c r="A1901" s="2" t="s">
        <v>2618</v>
      </c>
      <c r="B1901" s="2" t="s">
        <v>2657</v>
      </c>
      <c r="C1901" s="2" t="s">
        <v>2658</v>
      </c>
      <c r="D1901" s="2" t="s">
        <v>2658</v>
      </c>
      <c r="E1901" s="3">
        <v>285</v>
      </c>
      <c r="F1901" s="3">
        <v>285</v>
      </c>
      <c r="G1901" s="2" t="s">
        <v>196</v>
      </c>
      <c r="H1901" s="2" t="s">
        <v>2043</v>
      </c>
      <c r="I1901" s="2" t="s">
        <v>117</v>
      </c>
    </row>
    <row r="1902" spans="1:9" ht="16" x14ac:dyDescent="0.8">
      <c r="A1902" s="2" t="s">
        <v>2659</v>
      </c>
      <c r="B1902" s="2" t="s">
        <v>339</v>
      </c>
      <c r="C1902" s="2" t="s">
        <v>340</v>
      </c>
      <c r="D1902" s="2" t="s">
        <v>340</v>
      </c>
      <c r="E1902" s="3">
        <v>2392</v>
      </c>
      <c r="F1902" s="3">
        <v>2392</v>
      </c>
      <c r="G1902" s="2" t="s">
        <v>11</v>
      </c>
      <c r="H1902" s="2" t="s">
        <v>2083</v>
      </c>
      <c r="I1902" s="2" t="s">
        <v>437</v>
      </c>
    </row>
    <row r="1903" spans="1:9" ht="16" x14ac:dyDescent="0.8">
      <c r="A1903" s="2" t="s">
        <v>2660</v>
      </c>
      <c r="B1903" s="2" t="s">
        <v>2661</v>
      </c>
      <c r="C1903" s="2" t="s">
        <v>2662</v>
      </c>
      <c r="D1903" s="2" t="s">
        <v>2662</v>
      </c>
      <c r="E1903" s="3">
        <v>5502960</v>
      </c>
      <c r="F1903" s="3">
        <v>0</v>
      </c>
      <c r="G1903" s="2" t="s">
        <v>196</v>
      </c>
      <c r="H1903" s="2" t="s">
        <v>2087</v>
      </c>
      <c r="I1903" s="2" t="s">
        <v>847</v>
      </c>
    </row>
    <row r="1904" spans="1:9" ht="16" x14ac:dyDescent="0.8">
      <c r="A1904" s="2" t="s">
        <v>2660</v>
      </c>
      <c r="B1904" s="2" t="s">
        <v>2663</v>
      </c>
      <c r="C1904" s="2" t="s">
        <v>2664</v>
      </c>
      <c r="D1904" s="2" t="s">
        <v>2664</v>
      </c>
      <c r="E1904" s="3">
        <v>81360</v>
      </c>
      <c r="F1904" s="3">
        <v>0</v>
      </c>
      <c r="G1904" s="2" t="s">
        <v>196</v>
      </c>
      <c r="H1904" s="2" t="s">
        <v>2087</v>
      </c>
      <c r="I1904" s="2" t="s">
        <v>847</v>
      </c>
    </row>
    <row r="1905" spans="1:9" ht="16" x14ac:dyDescent="0.8">
      <c r="A1905" s="2" t="s">
        <v>2660</v>
      </c>
      <c r="B1905" s="2" t="s">
        <v>2665</v>
      </c>
      <c r="C1905" s="2" t="s">
        <v>2666</v>
      </c>
      <c r="D1905" s="2" t="s">
        <v>2666</v>
      </c>
      <c r="E1905" s="3">
        <v>61020</v>
      </c>
      <c r="F1905" s="3">
        <v>0</v>
      </c>
      <c r="G1905" s="2" t="s">
        <v>196</v>
      </c>
      <c r="H1905" s="2" t="s">
        <v>2087</v>
      </c>
      <c r="I1905" s="2" t="s">
        <v>847</v>
      </c>
    </row>
    <row r="1906" spans="1:9" ht="16" x14ac:dyDescent="0.8">
      <c r="A1906" s="2" t="s">
        <v>2667</v>
      </c>
      <c r="B1906" s="2" t="s">
        <v>2668</v>
      </c>
      <c r="C1906" s="2" t="s">
        <v>2669</v>
      </c>
      <c r="D1906" s="2" t="s">
        <v>2669</v>
      </c>
      <c r="E1906" s="3">
        <v>2300</v>
      </c>
      <c r="F1906" s="3">
        <v>2300</v>
      </c>
      <c r="G1906" s="2" t="s">
        <v>11</v>
      </c>
      <c r="H1906" s="2" t="s">
        <v>2087</v>
      </c>
      <c r="I1906" s="2" t="s">
        <v>2670</v>
      </c>
    </row>
    <row r="1907" spans="1:9" ht="16" x14ac:dyDescent="0.8">
      <c r="A1907" s="2" t="s">
        <v>2671</v>
      </c>
      <c r="B1907" s="2" t="s">
        <v>2672</v>
      </c>
      <c r="C1907" s="2" t="s">
        <v>2673</v>
      </c>
      <c r="D1907" s="2" t="s">
        <v>2673</v>
      </c>
      <c r="E1907" s="3">
        <v>18480</v>
      </c>
      <c r="F1907" s="3">
        <v>0</v>
      </c>
      <c r="G1907" s="2" t="s">
        <v>196</v>
      </c>
      <c r="H1907" s="2" t="s">
        <v>2087</v>
      </c>
      <c r="I1907" s="2" t="s">
        <v>534</v>
      </c>
    </row>
    <row r="1908" spans="1:9" ht="16" x14ac:dyDescent="0.8">
      <c r="A1908" s="2" t="s">
        <v>2671</v>
      </c>
      <c r="B1908" s="2" t="s">
        <v>2674</v>
      </c>
      <c r="C1908" s="2" t="s">
        <v>2675</v>
      </c>
      <c r="D1908" s="2" t="s">
        <v>2675</v>
      </c>
      <c r="E1908" s="3">
        <v>19536</v>
      </c>
      <c r="F1908" s="3">
        <v>0</v>
      </c>
      <c r="G1908" s="2" t="s">
        <v>196</v>
      </c>
      <c r="H1908" s="2" t="s">
        <v>2087</v>
      </c>
      <c r="I1908" s="2" t="s">
        <v>534</v>
      </c>
    </row>
    <row r="1909" spans="1:9" ht="16" x14ac:dyDescent="0.8">
      <c r="A1909" s="2" t="s">
        <v>2671</v>
      </c>
      <c r="B1909" s="2" t="s">
        <v>2676</v>
      </c>
      <c r="C1909" s="2" t="s">
        <v>533</v>
      </c>
      <c r="D1909" s="2" t="s">
        <v>533</v>
      </c>
      <c r="E1909" s="3">
        <v>20400</v>
      </c>
      <c r="F1909" s="3">
        <v>0</v>
      </c>
      <c r="G1909" s="2" t="s">
        <v>196</v>
      </c>
      <c r="H1909" s="2" t="s">
        <v>2087</v>
      </c>
      <c r="I1909" s="2" t="s">
        <v>534</v>
      </c>
    </row>
    <row r="1910" spans="1:9" ht="16" x14ac:dyDescent="0.8">
      <c r="A1910" s="2" t="s">
        <v>2671</v>
      </c>
      <c r="B1910" s="2" t="s">
        <v>2677</v>
      </c>
      <c r="C1910" s="2" t="s">
        <v>536</v>
      </c>
      <c r="D1910" s="2" t="s">
        <v>536</v>
      </c>
      <c r="E1910" s="3">
        <v>20400</v>
      </c>
      <c r="F1910" s="3">
        <v>0</v>
      </c>
      <c r="G1910" s="2" t="s">
        <v>196</v>
      </c>
      <c r="H1910" s="2" t="s">
        <v>2087</v>
      </c>
      <c r="I1910" s="2" t="s">
        <v>534</v>
      </c>
    </row>
    <row r="1911" spans="1:9" ht="16" x14ac:dyDescent="0.8">
      <c r="A1911" s="2" t="s">
        <v>2678</v>
      </c>
      <c r="B1911" s="2" t="s">
        <v>2679</v>
      </c>
      <c r="C1911" s="2" t="s">
        <v>602</v>
      </c>
      <c r="D1911" s="2" t="s">
        <v>602</v>
      </c>
      <c r="E1911" s="3">
        <v>49600</v>
      </c>
      <c r="F1911" s="3">
        <v>0</v>
      </c>
      <c r="G1911" s="2" t="s">
        <v>196</v>
      </c>
      <c r="H1911" s="2" t="s">
        <v>2087</v>
      </c>
      <c r="I1911" s="2" t="s">
        <v>23</v>
      </c>
    </row>
    <row r="1912" spans="1:9" ht="16" x14ac:dyDescent="0.8">
      <c r="A1912" s="2" t="s">
        <v>2678</v>
      </c>
      <c r="B1912" s="2" t="s">
        <v>2680</v>
      </c>
      <c r="C1912" s="2" t="s">
        <v>607</v>
      </c>
      <c r="D1912" s="2" t="s">
        <v>607</v>
      </c>
      <c r="E1912" s="3">
        <v>18240</v>
      </c>
      <c r="F1912" s="3">
        <v>0</v>
      </c>
      <c r="G1912" s="2" t="s">
        <v>196</v>
      </c>
      <c r="H1912" s="2" t="s">
        <v>2087</v>
      </c>
      <c r="I1912" s="2" t="s">
        <v>23</v>
      </c>
    </row>
    <row r="1913" spans="1:9" ht="16" x14ac:dyDescent="0.8">
      <c r="A1913" s="2" t="s">
        <v>2681</v>
      </c>
      <c r="B1913" s="2" t="s">
        <v>2668</v>
      </c>
      <c r="C1913" s="2" t="s">
        <v>2669</v>
      </c>
      <c r="D1913" s="2" t="s">
        <v>2669</v>
      </c>
      <c r="E1913" s="3">
        <v>5700</v>
      </c>
      <c r="F1913" s="3">
        <v>5700</v>
      </c>
      <c r="G1913" s="2" t="s">
        <v>11</v>
      </c>
      <c r="H1913" s="2" t="s">
        <v>2682</v>
      </c>
      <c r="I1913" s="2" t="s">
        <v>2670</v>
      </c>
    </row>
    <row r="1914" spans="1:9" ht="16" x14ac:dyDescent="0.8">
      <c r="A1914" s="2" t="s">
        <v>2683</v>
      </c>
      <c r="B1914" s="2" t="s">
        <v>394</v>
      </c>
      <c r="C1914" s="2" t="s">
        <v>395</v>
      </c>
      <c r="D1914" s="2" t="s">
        <v>395</v>
      </c>
      <c r="E1914" s="3">
        <v>6588</v>
      </c>
      <c r="F1914" s="3">
        <v>6276</v>
      </c>
      <c r="G1914" s="2" t="s">
        <v>196</v>
      </c>
      <c r="H1914" s="2" t="s">
        <v>2682</v>
      </c>
      <c r="I1914" s="2" t="s">
        <v>256</v>
      </c>
    </row>
    <row r="1915" spans="1:9" ht="16" x14ac:dyDescent="0.8">
      <c r="A1915" s="2" t="s">
        <v>2684</v>
      </c>
      <c r="B1915" s="2" t="s">
        <v>394</v>
      </c>
      <c r="C1915" s="2" t="s">
        <v>395</v>
      </c>
      <c r="D1915" s="2" t="s">
        <v>395</v>
      </c>
      <c r="E1915" s="3">
        <v>16848</v>
      </c>
      <c r="F1915" s="3">
        <v>0</v>
      </c>
      <c r="G1915" s="2" t="s">
        <v>196</v>
      </c>
      <c r="H1915" s="2" t="s">
        <v>2682</v>
      </c>
      <c r="I1915" s="2" t="s">
        <v>256</v>
      </c>
    </row>
    <row r="1916" spans="1:9" ht="16" x14ac:dyDescent="0.8">
      <c r="A1916" s="2" t="s">
        <v>2685</v>
      </c>
      <c r="B1916" s="2" t="s">
        <v>2686</v>
      </c>
      <c r="C1916" s="2" t="s">
        <v>2687</v>
      </c>
      <c r="D1916" s="2" t="s">
        <v>2687</v>
      </c>
      <c r="E1916" s="3">
        <v>162</v>
      </c>
      <c r="F1916" s="3">
        <v>162</v>
      </c>
      <c r="G1916" s="2" t="s">
        <v>196</v>
      </c>
      <c r="H1916" s="2" t="s">
        <v>2682</v>
      </c>
      <c r="I1916" s="2" t="s">
        <v>190</v>
      </c>
    </row>
    <row r="1917" spans="1:9" ht="16" x14ac:dyDescent="0.8">
      <c r="A1917" s="2" t="s">
        <v>2685</v>
      </c>
      <c r="B1917" s="2" t="s">
        <v>2688</v>
      </c>
      <c r="C1917" s="2" t="s">
        <v>2689</v>
      </c>
      <c r="D1917" s="2" t="s">
        <v>2689</v>
      </c>
      <c r="E1917" s="3">
        <v>1554</v>
      </c>
      <c r="F1917" s="3">
        <v>1538</v>
      </c>
      <c r="G1917" s="2" t="s">
        <v>196</v>
      </c>
      <c r="H1917" s="2" t="s">
        <v>2682</v>
      </c>
      <c r="I1917" s="2" t="s">
        <v>190</v>
      </c>
    </row>
    <row r="1918" spans="1:9" ht="16" x14ac:dyDescent="0.8">
      <c r="A1918" s="2" t="s">
        <v>2685</v>
      </c>
      <c r="B1918" s="2" t="s">
        <v>2690</v>
      </c>
      <c r="C1918" s="2" t="s">
        <v>2691</v>
      </c>
      <c r="D1918" s="2" t="s">
        <v>2691</v>
      </c>
      <c r="E1918" s="3">
        <v>780</v>
      </c>
      <c r="F1918" s="3">
        <v>755</v>
      </c>
      <c r="G1918" s="2" t="s">
        <v>196</v>
      </c>
      <c r="H1918" s="2" t="s">
        <v>2682</v>
      </c>
      <c r="I1918" s="2" t="s">
        <v>190</v>
      </c>
    </row>
    <row r="1919" spans="1:9" ht="16" x14ac:dyDescent="0.8">
      <c r="A1919" s="2" t="s">
        <v>2685</v>
      </c>
      <c r="B1919" s="2" t="s">
        <v>2692</v>
      </c>
      <c r="C1919" s="2" t="s">
        <v>2693</v>
      </c>
      <c r="D1919" s="2" t="s">
        <v>2693</v>
      </c>
      <c r="E1919" s="3">
        <v>178</v>
      </c>
      <c r="F1919" s="3">
        <v>184</v>
      </c>
      <c r="G1919" s="2" t="s">
        <v>196</v>
      </c>
      <c r="H1919" s="2" t="s">
        <v>2682</v>
      </c>
      <c r="I1919" s="2" t="s">
        <v>190</v>
      </c>
    </row>
    <row r="1920" spans="1:9" ht="16" x14ac:dyDescent="0.8">
      <c r="A1920" s="2" t="s">
        <v>2685</v>
      </c>
      <c r="B1920" s="2" t="s">
        <v>2280</v>
      </c>
      <c r="C1920" s="2" t="s">
        <v>2281</v>
      </c>
      <c r="D1920" s="2" t="s">
        <v>2281</v>
      </c>
      <c r="E1920" s="3">
        <v>206</v>
      </c>
      <c r="F1920" s="3">
        <v>205</v>
      </c>
      <c r="G1920" s="2" t="s">
        <v>196</v>
      </c>
      <c r="H1920" s="2" t="s">
        <v>2682</v>
      </c>
      <c r="I1920" s="2" t="s">
        <v>190</v>
      </c>
    </row>
    <row r="1921" spans="1:9" ht="16" x14ac:dyDescent="0.8">
      <c r="A1921" s="2" t="s">
        <v>2685</v>
      </c>
      <c r="B1921" s="2" t="s">
        <v>2288</v>
      </c>
      <c r="C1921" s="2" t="s">
        <v>2289</v>
      </c>
      <c r="D1921" s="2" t="s">
        <v>2289</v>
      </c>
      <c r="E1921" s="3">
        <v>79</v>
      </c>
      <c r="F1921" s="3">
        <v>250</v>
      </c>
      <c r="G1921" s="2" t="s">
        <v>196</v>
      </c>
      <c r="H1921" s="2" t="s">
        <v>2682</v>
      </c>
      <c r="I1921" s="2" t="s">
        <v>190</v>
      </c>
    </row>
    <row r="1922" spans="1:9" ht="16" x14ac:dyDescent="0.8">
      <c r="A1922" s="2" t="s">
        <v>2685</v>
      </c>
      <c r="B1922" s="2" t="s">
        <v>2290</v>
      </c>
      <c r="C1922" s="2" t="s">
        <v>2291</v>
      </c>
      <c r="D1922" s="2" t="s">
        <v>2291</v>
      </c>
      <c r="E1922" s="3">
        <v>400</v>
      </c>
      <c r="F1922" s="3">
        <v>218</v>
      </c>
      <c r="G1922" s="2" t="s">
        <v>196</v>
      </c>
      <c r="H1922" s="2" t="s">
        <v>2682</v>
      </c>
      <c r="I1922" s="2" t="s">
        <v>190</v>
      </c>
    </row>
    <row r="1923" spans="1:9" ht="16" x14ac:dyDescent="0.8">
      <c r="A1923" s="2" t="s">
        <v>2694</v>
      </c>
      <c r="B1923" s="2" t="s">
        <v>972</v>
      </c>
      <c r="C1923" s="2" t="s">
        <v>973</v>
      </c>
      <c r="D1923" s="2" t="s">
        <v>973</v>
      </c>
      <c r="E1923" s="3">
        <v>36792</v>
      </c>
      <c r="F1923" s="3">
        <v>0</v>
      </c>
      <c r="G1923" s="2" t="s">
        <v>196</v>
      </c>
      <c r="H1923" s="2" t="s">
        <v>2089</v>
      </c>
      <c r="I1923" s="2" t="s">
        <v>262</v>
      </c>
    </row>
    <row r="1924" spans="1:9" ht="16" x14ac:dyDescent="0.8">
      <c r="A1924" s="2" t="s">
        <v>2694</v>
      </c>
      <c r="B1924" s="2" t="s">
        <v>974</v>
      </c>
      <c r="C1924" s="2" t="s">
        <v>975</v>
      </c>
      <c r="D1924" s="2" t="s">
        <v>975</v>
      </c>
      <c r="E1924" s="3">
        <v>22680</v>
      </c>
      <c r="F1924" s="3">
        <v>0</v>
      </c>
      <c r="G1924" s="2" t="s">
        <v>196</v>
      </c>
      <c r="H1924" s="2" t="s">
        <v>2089</v>
      </c>
      <c r="I1924" s="2" t="s">
        <v>262</v>
      </c>
    </row>
    <row r="1925" spans="1:9" ht="16" x14ac:dyDescent="0.8">
      <c r="A1925" s="2" t="s">
        <v>2695</v>
      </c>
      <c r="B1925" s="2" t="s">
        <v>980</v>
      </c>
      <c r="C1925" s="2" t="s">
        <v>981</v>
      </c>
      <c r="D1925" s="2" t="s">
        <v>981</v>
      </c>
      <c r="E1925" s="3">
        <v>18792</v>
      </c>
      <c r="F1925" s="3">
        <v>0</v>
      </c>
      <c r="G1925" s="2" t="s">
        <v>196</v>
      </c>
      <c r="H1925" s="2" t="s">
        <v>2089</v>
      </c>
      <c r="I1925" s="2" t="s">
        <v>23</v>
      </c>
    </row>
    <row r="1926" spans="1:9" ht="16" x14ac:dyDescent="0.8">
      <c r="A1926" s="2" t="s">
        <v>2695</v>
      </c>
      <c r="B1926" s="2" t="s">
        <v>982</v>
      </c>
      <c r="C1926" s="2" t="s">
        <v>983</v>
      </c>
      <c r="D1926" s="2" t="s">
        <v>983</v>
      </c>
      <c r="E1926" s="3">
        <v>6696</v>
      </c>
      <c r="F1926" s="3">
        <v>0</v>
      </c>
      <c r="G1926" s="2" t="s">
        <v>196</v>
      </c>
      <c r="H1926" s="2" t="s">
        <v>2089</v>
      </c>
      <c r="I1926" s="2" t="s">
        <v>23</v>
      </c>
    </row>
    <row r="1927" spans="1:9" ht="16" x14ac:dyDescent="0.8">
      <c r="A1927" s="2" t="s">
        <v>2696</v>
      </c>
      <c r="B1927" s="2" t="s">
        <v>985</v>
      </c>
      <c r="C1927" s="2" t="s">
        <v>986</v>
      </c>
      <c r="D1927" s="2" t="s">
        <v>986</v>
      </c>
      <c r="E1927" s="3">
        <v>37026</v>
      </c>
      <c r="F1927" s="3">
        <v>0</v>
      </c>
      <c r="G1927" s="2" t="s">
        <v>196</v>
      </c>
      <c r="H1927" s="2" t="s">
        <v>2089</v>
      </c>
      <c r="I1927" s="2" t="s">
        <v>412</v>
      </c>
    </row>
    <row r="1928" spans="1:9" ht="16" x14ac:dyDescent="0.8">
      <c r="A1928" s="2" t="s">
        <v>2697</v>
      </c>
      <c r="B1928" s="2" t="s">
        <v>970</v>
      </c>
      <c r="C1928" s="2" t="s">
        <v>971</v>
      </c>
      <c r="D1928" s="2" t="s">
        <v>971</v>
      </c>
      <c r="E1928" s="3">
        <v>18528</v>
      </c>
      <c r="F1928" s="3">
        <v>0</v>
      </c>
      <c r="G1928" s="2" t="s">
        <v>196</v>
      </c>
      <c r="H1928" s="2" t="s">
        <v>2089</v>
      </c>
      <c r="I1928" s="2" t="s">
        <v>262</v>
      </c>
    </row>
    <row r="1929" spans="1:9" ht="16" x14ac:dyDescent="0.8">
      <c r="A1929" s="2" t="s">
        <v>2697</v>
      </c>
      <c r="B1929" s="2" t="s">
        <v>972</v>
      </c>
      <c r="C1929" s="2" t="s">
        <v>973</v>
      </c>
      <c r="D1929" s="2" t="s">
        <v>973</v>
      </c>
      <c r="E1929" s="3">
        <v>43548</v>
      </c>
      <c r="F1929" s="3">
        <v>0</v>
      </c>
      <c r="G1929" s="2" t="s">
        <v>196</v>
      </c>
      <c r="H1929" s="2" t="s">
        <v>2089</v>
      </c>
      <c r="I1929" s="2" t="s">
        <v>262</v>
      </c>
    </row>
    <row r="1930" spans="1:9" ht="16" x14ac:dyDescent="0.8">
      <c r="A1930" s="2" t="s">
        <v>2697</v>
      </c>
      <c r="B1930" s="2" t="s">
        <v>974</v>
      </c>
      <c r="C1930" s="2" t="s">
        <v>975</v>
      </c>
      <c r="D1930" s="2" t="s">
        <v>975</v>
      </c>
      <c r="E1930" s="3">
        <v>54138</v>
      </c>
      <c r="F1930" s="3">
        <v>0</v>
      </c>
      <c r="G1930" s="2" t="s">
        <v>196</v>
      </c>
      <c r="H1930" s="2" t="s">
        <v>2089</v>
      </c>
      <c r="I1930" s="2" t="s">
        <v>262</v>
      </c>
    </row>
    <row r="1931" spans="1:9" ht="16" x14ac:dyDescent="0.8">
      <c r="A1931" s="2" t="s">
        <v>2698</v>
      </c>
      <c r="B1931" s="2" t="s">
        <v>977</v>
      </c>
      <c r="C1931" s="2" t="s">
        <v>978</v>
      </c>
      <c r="D1931" s="2" t="s">
        <v>978</v>
      </c>
      <c r="E1931" s="3">
        <v>6384</v>
      </c>
      <c r="F1931" s="3">
        <v>6384</v>
      </c>
      <c r="G1931" s="2" t="s">
        <v>11</v>
      </c>
      <c r="H1931" s="2" t="s">
        <v>2089</v>
      </c>
      <c r="I1931" s="2" t="s">
        <v>407</v>
      </c>
    </row>
    <row r="1932" spans="1:9" ht="16" x14ac:dyDescent="0.8">
      <c r="A1932" s="2" t="s">
        <v>2699</v>
      </c>
      <c r="B1932" s="2" t="s">
        <v>980</v>
      </c>
      <c r="C1932" s="2" t="s">
        <v>981</v>
      </c>
      <c r="D1932" s="2" t="s">
        <v>981</v>
      </c>
      <c r="E1932" s="3">
        <v>50312</v>
      </c>
      <c r="F1932" s="3">
        <v>0</v>
      </c>
      <c r="G1932" s="2" t="s">
        <v>196</v>
      </c>
      <c r="H1932" s="2" t="s">
        <v>2089</v>
      </c>
      <c r="I1932" s="2" t="s">
        <v>23</v>
      </c>
    </row>
    <row r="1933" spans="1:9" ht="16" x14ac:dyDescent="0.8">
      <c r="A1933" s="2" t="s">
        <v>2699</v>
      </c>
      <c r="B1933" s="2" t="s">
        <v>982</v>
      </c>
      <c r="C1933" s="2" t="s">
        <v>983</v>
      </c>
      <c r="D1933" s="2" t="s">
        <v>983</v>
      </c>
      <c r="E1933" s="3">
        <v>47556</v>
      </c>
      <c r="F1933" s="3">
        <v>0</v>
      </c>
      <c r="G1933" s="2" t="s">
        <v>196</v>
      </c>
      <c r="H1933" s="2" t="s">
        <v>2089</v>
      </c>
      <c r="I1933" s="2" t="s">
        <v>23</v>
      </c>
    </row>
    <row r="1934" spans="1:9" ht="16" x14ac:dyDescent="0.8">
      <c r="A1934" s="2" t="s">
        <v>2700</v>
      </c>
      <c r="B1934" s="2" t="s">
        <v>985</v>
      </c>
      <c r="C1934" s="2" t="s">
        <v>986</v>
      </c>
      <c r="D1934" s="2" t="s">
        <v>986</v>
      </c>
      <c r="E1934" s="3">
        <v>39936</v>
      </c>
      <c r="F1934" s="3">
        <v>0</v>
      </c>
      <c r="G1934" s="2" t="s">
        <v>196</v>
      </c>
      <c r="H1934" s="2" t="s">
        <v>2089</v>
      </c>
      <c r="I1934" s="2" t="s">
        <v>412</v>
      </c>
    </row>
    <row r="1935" spans="1:9" ht="16" x14ac:dyDescent="0.8">
      <c r="A1935" s="2" t="s">
        <v>2701</v>
      </c>
      <c r="B1935" s="2" t="s">
        <v>863</v>
      </c>
      <c r="C1935" s="2" t="s">
        <v>864</v>
      </c>
      <c r="D1935" s="2" t="s">
        <v>864</v>
      </c>
      <c r="E1935" s="3">
        <v>70470</v>
      </c>
      <c r="F1935" s="3">
        <v>70470</v>
      </c>
      <c r="G1935" s="2" t="s">
        <v>11</v>
      </c>
      <c r="H1935" s="2" t="s">
        <v>2089</v>
      </c>
      <c r="I1935" s="2" t="s">
        <v>168</v>
      </c>
    </row>
    <row r="1936" spans="1:9" ht="16" x14ac:dyDescent="0.8">
      <c r="A1936" s="2" t="s">
        <v>2701</v>
      </c>
      <c r="B1936" s="2" t="s">
        <v>865</v>
      </c>
      <c r="C1936" s="2" t="s">
        <v>866</v>
      </c>
      <c r="D1936" s="2" t="s">
        <v>866</v>
      </c>
      <c r="E1936" s="3">
        <v>61560</v>
      </c>
      <c r="F1936" s="3">
        <v>61560</v>
      </c>
      <c r="G1936" s="2" t="s">
        <v>11</v>
      </c>
      <c r="H1936" s="2" t="s">
        <v>2089</v>
      </c>
      <c r="I1936" s="2" t="s">
        <v>168</v>
      </c>
    </row>
    <row r="1937" spans="1:9" ht="16" x14ac:dyDescent="0.8">
      <c r="A1937" s="2" t="s">
        <v>2701</v>
      </c>
      <c r="B1937" s="2" t="s">
        <v>867</v>
      </c>
      <c r="C1937" s="2" t="s">
        <v>868</v>
      </c>
      <c r="D1937" s="2" t="s">
        <v>868</v>
      </c>
      <c r="E1937" s="3">
        <v>49080</v>
      </c>
      <c r="F1937" s="3">
        <v>49080</v>
      </c>
      <c r="G1937" s="2" t="s">
        <v>11</v>
      </c>
      <c r="H1937" s="2" t="s">
        <v>2089</v>
      </c>
      <c r="I1937" s="2" t="s">
        <v>168</v>
      </c>
    </row>
    <row r="1938" spans="1:9" ht="16" x14ac:dyDescent="0.8">
      <c r="A1938" s="2" t="s">
        <v>2701</v>
      </c>
      <c r="B1938" s="2" t="s">
        <v>1520</v>
      </c>
      <c r="C1938" s="2" t="s">
        <v>967</v>
      </c>
      <c r="D1938" s="2" t="s">
        <v>967</v>
      </c>
      <c r="E1938" s="3">
        <v>39888</v>
      </c>
      <c r="F1938" s="3">
        <v>39888</v>
      </c>
      <c r="G1938" s="2" t="s">
        <v>11</v>
      </c>
      <c r="H1938" s="2" t="s">
        <v>2089</v>
      </c>
      <c r="I1938" s="2" t="s">
        <v>168</v>
      </c>
    </row>
    <row r="1939" spans="1:9" ht="16" x14ac:dyDescent="0.8">
      <c r="A1939" s="2" t="s">
        <v>2701</v>
      </c>
      <c r="B1939" s="2" t="s">
        <v>1518</v>
      </c>
      <c r="C1939" s="2" t="s">
        <v>1519</v>
      </c>
      <c r="D1939" s="2" t="s">
        <v>1519</v>
      </c>
      <c r="E1939" s="3">
        <v>7020</v>
      </c>
      <c r="F1939" s="3">
        <v>7020</v>
      </c>
      <c r="G1939" s="2" t="s">
        <v>11</v>
      </c>
      <c r="H1939" s="2" t="s">
        <v>2089</v>
      </c>
      <c r="I1939" s="2" t="s">
        <v>168</v>
      </c>
    </row>
    <row r="1940" spans="1:9" ht="16" x14ac:dyDescent="0.8">
      <c r="A1940" s="2" t="s">
        <v>2702</v>
      </c>
      <c r="B1940" s="2" t="s">
        <v>1759</v>
      </c>
      <c r="C1940" s="2" t="s">
        <v>1760</v>
      </c>
      <c r="D1940" s="2" t="s">
        <v>1760</v>
      </c>
      <c r="E1940" s="3">
        <v>2676</v>
      </c>
      <c r="F1940" s="3">
        <v>0</v>
      </c>
      <c r="G1940" s="2" t="s">
        <v>196</v>
      </c>
      <c r="H1940" s="2" t="s">
        <v>2703</v>
      </c>
      <c r="I1940" s="2" t="s">
        <v>390</v>
      </c>
    </row>
    <row r="1941" spans="1:9" ht="16" x14ac:dyDescent="0.8">
      <c r="A1941" s="2" t="s">
        <v>2702</v>
      </c>
      <c r="B1941" s="2" t="s">
        <v>1761</v>
      </c>
      <c r="C1941" s="2" t="s">
        <v>854</v>
      </c>
      <c r="D1941" s="2" t="s">
        <v>854</v>
      </c>
      <c r="E1941" s="3">
        <v>74023</v>
      </c>
      <c r="F1941" s="3">
        <v>0</v>
      </c>
      <c r="G1941" s="2" t="s">
        <v>196</v>
      </c>
      <c r="H1941" s="2" t="s">
        <v>2703</v>
      </c>
      <c r="I1941" s="2" t="s">
        <v>390</v>
      </c>
    </row>
    <row r="1942" spans="1:9" ht="16" x14ac:dyDescent="0.8">
      <c r="A1942" s="2" t="s">
        <v>2702</v>
      </c>
      <c r="B1942" s="2" t="s">
        <v>1762</v>
      </c>
      <c r="C1942" s="2" t="s">
        <v>856</v>
      </c>
      <c r="D1942" s="2" t="s">
        <v>856</v>
      </c>
      <c r="E1942" s="3">
        <v>68590</v>
      </c>
      <c r="F1942" s="3">
        <v>0</v>
      </c>
      <c r="G1942" s="2" t="s">
        <v>196</v>
      </c>
      <c r="H1942" s="2" t="s">
        <v>2703</v>
      </c>
      <c r="I1942" s="2" t="s">
        <v>390</v>
      </c>
    </row>
    <row r="1943" spans="1:9" ht="16" x14ac:dyDescent="0.8">
      <c r="A1943" s="2" t="s">
        <v>2702</v>
      </c>
      <c r="B1943" s="2" t="s">
        <v>2108</v>
      </c>
      <c r="C1943" s="2" t="s">
        <v>858</v>
      </c>
      <c r="D1943" s="2" t="s">
        <v>858</v>
      </c>
      <c r="E1943" s="3">
        <v>60270</v>
      </c>
      <c r="F1943" s="3">
        <v>0</v>
      </c>
      <c r="G1943" s="2" t="s">
        <v>196</v>
      </c>
      <c r="H1943" s="2" t="s">
        <v>2703</v>
      </c>
      <c r="I1943" s="2" t="s">
        <v>390</v>
      </c>
    </row>
    <row r="1944" spans="1:9" ht="16" x14ac:dyDescent="0.8">
      <c r="A1944" s="2" t="s">
        <v>2701</v>
      </c>
      <c r="B1944" s="2" t="s">
        <v>2704</v>
      </c>
      <c r="C1944" s="2" t="s">
        <v>178</v>
      </c>
      <c r="D1944" s="2" t="s">
        <v>178</v>
      </c>
      <c r="E1944" s="3">
        <v>3696</v>
      </c>
      <c r="F1944" s="3">
        <v>3696</v>
      </c>
      <c r="G1944" s="2" t="s">
        <v>11</v>
      </c>
      <c r="H1944" s="2" t="s">
        <v>2089</v>
      </c>
      <c r="I1944" s="2" t="s">
        <v>168</v>
      </c>
    </row>
    <row r="1945" spans="1:9" ht="16" x14ac:dyDescent="0.8">
      <c r="A1945" s="2" t="s">
        <v>2705</v>
      </c>
      <c r="B1945" s="2" t="s">
        <v>863</v>
      </c>
      <c r="C1945" s="2" t="s">
        <v>864</v>
      </c>
      <c r="D1945" s="2" t="s">
        <v>864</v>
      </c>
      <c r="E1945" s="3">
        <v>63270</v>
      </c>
      <c r="F1945" s="3">
        <v>63270</v>
      </c>
      <c r="G1945" s="2" t="s">
        <v>11</v>
      </c>
      <c r="H1945" s="2" t="s">
        <v>2089</v>
      </c>
      <c r="I1945" s="2" t="s">
        <v>168</v>
      </c>
    </row>
    <row r="1946" spans="1:9" ht="16" x14ac:dyDescent="0.8">
      <c r="A1946" s="2" t="s">
        <v>2705</v>
      </c>
      <c r="B1946" s="2" t="s">
        <v>865</v>
      </c>
      <c r="C1946" s="2" t="s">
        <v>866</v>
      </c>
      <c r="D1946" s="2" t="s">
        <v>866</v>
      </c>
      <c r="E1946" s="3">
        <v>56400</v>
      </c>
      <c r="F1946" s="3">
        <v>56400</v>
      </c>
      <c r="G1946" s="2" t="s">
        <v>11</v>
      </c>
      <c r="H1946" s="2" t="s">
        <v>2089</v>
      </c>
      <c r="I1946" s="2" t="s">
        <v>168</v>
      </c>
    </row>
    <row r="1947" spans="1:9" ht="16" x14ac:dyDescent="0.8">
      <c r="A1947" s="2" t="s">
        <v>2705</v>
      </c>
      <c r="B1947" s="2" t="s">
        <v>867</v>
      </c>
      <c r="C1947" s="2" t="s">
        <v>868</v>
      </c>
      <c r="D1947" s="2" t="s">
        <v>868</v>
      </c>
      <c r="E1947" s="3">
        <v>48920</v>
      </c>
      <c r="F1947" s="3">
        <v>48920</v>
      </c>
      <c r="G1947" s="2" t="s">
        <v>11</v>
      </c>
      <c r="H1947" s="2" t="s">
        <v>2089</v>
      </c>
      <c r="I1947" s="2" t="s">
        <v>168</v>
      </c>
    </row>
    <row r="1948" spans="1:9" ht="16" x14ac:dyDescent="0.8">
      <c r="A1948" s="2" t="s">
        <v>2705</v>
      </c>
      <c r="B1948" s="2" t="s">
        <v>1520</v>
      </c>
      <c r="C1948" s="2" t="s">
        <v>967</v>
      </c>
      <c r="D1948" s="2" t="s">
        <v>967</v>
      </c>
      <c r="E1948" s="3">
        <v>45776</v>
      </c>
      <c r="F1948" s="3">
        <v>45776</v>
      </c>
      <c r="G1948" s="2" t="s">
        <v>11</v>
      </c>
      <c r="H1948" s="2" t="s">
        <v>2089</v>
      </c>
      <c r="I1948" s="2" t="s">
        <v>168</v>
      </c>
    </row>
    <row r="1949" spans="1:9" ht="16" x14ac:dyDescent="0.8">
      <c r="A1949" s="2" t="s">
        <v>2705</v>
      </c>
      <c r="B1949" s="2" t="s">
        <v>1518</v>
      </c>
      <c r="C1949" s="2" t="s">
        <v>1519</v>
      </c>
      <c r="D1949" s="2" t="s">
        <v>1519</v>
      </c>
      <c r="E1949" s="3">
        <v>9990</v>
      </c>
      <c r="F1949" s="3">
        <v>9990</v>
      </c>
      <c r="G1949" s="2" t="s">
        <v>11</v>
      </c>
      <c r="H1949" s="2" t="s">
        <v>2089</v>
      </c>
      <c r="I1949" s="2" t="s">
        <v>168</v>
      </c>
    </row>
    <row r="1950" spans="1:9" ht="16" x14ac:dyDescent="0.8">
      <c r="A1950" s="2" t="s">
        <v>2705</v>
      </c>
      <c r="B1950" s="2" t="s">
        <v>2704</v>
      </c>
      <c r="C1950" s="2" t="s">
        <v>178</v>
      </c>
      <c r="D1950" s="2" t="s">
        <v>178</v>
      </c>
      <c r="E1950" s="3">
        <v>9584</v>
      </c>
      <c r="F1950" s="3">
        <v>9584</v>
      </c>
      <c r="G1950" s="2" t="s">
        <v>11</v>
      </c>
      <c r="H1950" s="2" t="s">
        <v>2089</v>
      </c>
      <c r="I1950" s="2" t="s">
        <v>168</v>
      </c>
    </row>
    <row r="1951" spans="1:9" ht="16" x14ac:dyDescent="0.8">
      <c r="A1951" s="2" t="s">
        <v>2706</v>
      </c>
      <c r="B1951" s="2" t="s">
        <v>863</v>
      </c>
      <c r="C1951" s="2" t="s">
        <v>864</v>
      </c>
      <c r="D1951" s="2" t="s">
        <v>864</v>
      </c>
      <c r="E1951" s="3">
        <v>41670</v>
      </c>
      <c r="F1951" s="3">
        <v>41670</v>
      </c>
      <c r="G1951" s="2" t="s">
        <v>11</v>
      </c>
      <c r="H1951" s="2" t="s">
        <v>2089</v>
      </c>
      <c r="I1951" s="2" t="s">
        <v>168</v>
      </c>
    </row>
    <row r="1952" spans="1:9" ht="16" x14ac:dyDescent="0.8">
      <c r="A1952" s="2" t="s">
        <v>2706</v>
      </c>
      <c r="B1952" s="2" t="s">
        <v>865</v>
      </c>
      <c r="C1952" s="2" t="s">
        <v>866</v>
      </c>
      <c r="D1952" s="2" t="s">
        <v>866</v>
      </c>
      <c r="E1952" s="3">
        <v>41400</v>
      </c>
      <c r="F1952" s="3">
        <v>41400</v>
      </c>
      <c r="G1952" s="2" t="s">
        <v>11</v>
      </c>
      <c r="H1952" s="2" t="s">
        <v>2089</v>
      </c>
      <c r="I1952" s="2" t="s">
        <v>168</v>
      </c>
    </row>
    <row r="1953" spans="1:9" ht="16" x14ac:dyDescent="0.8">
      <c r="A1953" s="2" t="s">
        <v>2706</v>
      </c>
      <c r="B1953" s="2" t="s">
        <v>867</v>
      </c>
      <c r="C1953" s="2" t="s">
        <v>868</v>
      </c>
      <c r="D1953" s="2" t="s">
        <v>868</v>
      </c>
      <c r="E1953" s="3">
        <v>64560</v>
      </c>
      <c r="F1953" s="3">
        <v>64560</v>
      </c>
      <c r="G1953" s="2" t="s">
        <v>11</v>
      </c>
      <c r="H1953" s="2" t="s">
        <v>2089</v>
      </c>
      <c r="I1953" s="2" t="s">
        <v>168</v>
      </c>
    </row>
    <row r="1954" spans="1:9" ht="16" x14ac:dyDescent="0.8">
      <c r="A1954" s="2" t="s">
        <v>2706</v>
      </c>
      <c r="B1954" s="2" t="s">
        <v>1520</v>
      </c>
      <c r="C1954" s="2" t="s">
        <v>967</v>
      </c>
      <c r="D1954" s="2" t="s">
        <v>967</v>
      </c>
      <c r="E1954" s="3">
        <v>44480</v>
      </c>
      <c r="F1954" s="3">
        <v>44480</v>
      </c>
      <c r="G1954" s="2" t="s">
        <v>11</v>
      </c>
      <c r="H1954" s="2" t="s">
        <v>2089</v>
      </c>
      <c r="I1954" s="2" t="s">
        <v>168</v>
      </c>
    </row>
    <row r="1955" spans="1:9" ht="16" x14ac:dyDescent="0.8">
      <c r="A1955" s="2" t="s">
        <v>2706</v>
      </c>
      <c r="B1955" s="2" t="s">
        <v>1518</v>
      </c>
      <c r="C1955" s="2" t="s">
        <v>1519</v>
      </c>
      <c r="D1955" s="2" t="s">
        <v>1519</v>
      </c>
      <c r="E1955" s="3">
        <v>45000</v>
      </c>
      <c r="F1955" s="3">
        <v>45000</v>
      </c>
      <c r="G1955" s="2" t="s">
        <v>11</v>
      </c>
      <c r="H1955" s="2" t="s">
        <v>2089</v>
      </c>
      <c r="I1955" s="2" t="s">
        <v>168</v>
      </c>
    </row>
    <row r="1956" spans="1:9" ht="16" x14ac:dyDescent="0.8">
      <c r="A1956" s="2" t="s">
        <v>2707</v>
      </c>
      <c r="B1956" s="2" t="s">
        <v>2092</v>
      </c>
      <c r="C1956" s="2" t="s">
        <v>2093</v>
      </c>
      <c r="D1956" s="2" t="s">
        <v>2093</v>
      </c>
      <c r="E1956" s="3">
        <v>3892</v>
      </c>
      <c r="F1956" s="3">
        <v>3892</v>
      </c>
      <c r="G1956" s="2" t="s">
        <v>11</v>
      </c>
      <c r="H1956" s="2" t="s">
        <v>2090</v>
      </c>
      <c r="I1956" s="2" t="s">
        <v>437</v>
      </c>
    </row>
    <row r="1957" spans="1:9" ht="16" x14ac:dyDescent="0.8">
      <c r="A1957" s="2" t="s">
        <v>2708</v>
      </c>
      <c r="B1957" s="2" t="s">
        <v>2092</v>
      </c>
      <c r="C1957" s="2" t="s">
        <v>2093</v>
      </c>
      <c r="D1957" s="2" t="s">
        <v>2093</v>
      </c>
      <c r="E1957" s="3">
        <v>4544</v>
      </c>
      <c r="F1957" s="3">
        <v>0</v>
      </c>
      <c r="G1957" s="2" t="s">
        <v>196</v>
      </c>
      <c r="H1957" s="2" t="s">
        <v>2090</v>
      </c>
      <c r="I1957" s="2" t="s">
        <v>437</v>
      </c>
    </row>
    <row r="1958" spans="1:9" ht="16" x14ac:dyDescent="0.8">
      <c r="A1958" s="2" t="s">
        <v>2709</v>
      </c>
      <c r="B1958" s="2" t="s">
        <v>1133</v>
      </c>
      <c r="C1958" s="2" t="s">
        <v>1134</v>
      </c>
      <c r="D1958" s="2" t="s">
        <v>1134</v>
      </c>
      <c r="E1958" s="3">
        <v>4456</v>
      </c>
      <c r="F1958" s="3">
        <v>4456</v>
      </c>
      <c r="G1958" s="2" t="s">
        <v>11</v>
      </c>
      <c r="H1958" s="2" t="s">
        <v>2090</v>
      </c>
      <c r="I1958" s="2" t="s">
        <v>1125</v>
      </c>
    </row>
    <row r="1959" spans="1:9" ht="16" x14ac:dyDescent="0.8">
      <c r="A1959" s="2" t="s">
        <v>2710</v>
      </c>
      <c r="B1959" s="2" t="s">
        <v>1133</v>
      </c>
      <c r="C1959" s="2" t="s">
        <v>1134</v>
      </c>
      <c r="D1959" s="2" t="s">
        <v>1134</v>
      </c>
      <c r="E1959" s="3">
        <v>4448</v>
      </c>
      <c r="F1959" s="3">
        <v>0</v>
      </c>
      <c r="G1959" s="2" t="s">
        <v>196</v>
      </c>
      <c r="H1959" s="2" t="s">
        <v>2090</v>
      </c>
      <c r="I1959" s="2" t="s">
        <v>1125</v>
      </c>
    </row>
    <row r="1960" spans="1:9" ht="16" x14ac:dyDescent="0.8">
      <c r="A1960" s="2" t="s">
        <v>2711</v>
      </c>
      <c r="B1960" s="2" t="s">
        <v>2095</v>
      </c>
      <c r="C1960" s="2" t="s">
        <v>2096</v>
      </c>
      <c r="D1960" s="2" t="s">
        <v>2096</v>
      </c>
      <c r="E1960" s="3">
        <v>10560</v>
      </c>
      <c r="F1960" s="3">
        <v>10560</v>
      </c>
      <c r="G1960" s="2" t="s">
        <v>11</v>
      </c>
      <c r="H1960" s="2" t="s">
        <v>2090</v>
      </c>
      <c r="I1960" s="2" t="s">
        <v>201</v>
      </c>
    </row>
    <row r="1961" spans="1:9" ht="16" x14ac:dyDescent="0.8">
      <c r="A1961" s="2" t="s">
        <v>2712</v>
      </c>
      <c r="B1961" s="2" t="s">
        <v>2095</v>
      </c>
      <c r="C1961" s="2" t="s">
        <v>2096</v>
      </c>
      <c r="D1961" s="2" t="s">
        <v>2096</v>
      </c>
      <c r="E1961" s="3">
        <v>10596</v>
      </c>
      <c r="F1961" s="3">
        <v>0</v>
      </c>
      <c r="G1961" s="2" t="s">
        <v>196</v>
      </c>
      <c r="H1961" s="2" t="s">
        <v>2090</v>
      </c>
      <c r="I1961" s="2" t="s">
        <v>201</v>
      </c>
    </row>
    <row r="1962" spans="1:9" ht="16" x14ac:dyDescent="0.8">
      <c r="A1962" s="2" t="s">
        <v>2713</v>
      </c>
      <c r="B1962" s="2" t="s">
        <v>2145</v>
      </c>
      <c r="C1962" s="2" t="s">
        <v>2146</v>
      </c>
      <c r="D1962" s="2" t="s">
        <v>2146</v>
      </c>
      <c r="E1962" s="3">
        <v>7446</v>
      </c>
      <c r="F1962" s="3">
        <v>7446</v>
      </c>
      <c r="G1962" s="2" t="s">
        <v>11</v>
      </c>
      <c r="H1962" s="2" t="s">
        <v>2090</v>
      </c>
      <c r="I1962" s="2" t="s">
        <v>1121</v>
      </c>
    </row>
    <row r="1963" spans="1:9" ht="16" x14ac:dyDescent="0.8">
      <c r="A1963" s="2" t="s">
        <v>2714</v>
      </c>
      <c r="B1963" s="2" t="s">
        <v>2145</v>
      </c>
      <c r="C1963" s="2" t="s">
        <v>2146</v>
      </c>
      <c r="D1963" s="2" t="s">
        <v>2146</v>
      </c>
      <c r="E1963" s="3">
        <v>9042</v>
      </c>
      <c r="F1963" s="3">
        <v>0</v>
      </c>
      <c r="G1963" s="2" t="s">
        <v>196</v>
      </c>
      <c r="H1963" s="2" t="s">
        <v>2090</v>
      </c>
      <c r="I1963" s="2" t="s">
        <v>1121</v>
      </c>
    </row>
    <row r="1964" spans="1:9" ht="16" x14ac:dyDescent="0.8">
      <c r="A1964" s="2" t="s">
        <v>2715</v>
      </c>
      <c r="B1964" s="2" t="s">
        <v>2095</v>
      </c>
      <c r="C1964" s="2" t="s">
        <v>2096</v>
      </c>
      <c r="D1964" s="2" t="s">
        <v>2096</v>
      </c>
      <c r="E1964" s="3">
        <v>12360</v>
      </c>
      <c r="F1964" s="3">
        <v>12360</v>
      </c>
      <c r="G1964" s="2" t="s">
        <v>11</v>
      </c>
      <c r="H1964" s="2" t="s">
        <v>2716</v>
      </c>
      <c r="I1964" s="2" t="s">
        <v>201</v>
      </c>
    </row>
    <row r="1965" spans="1:9" ht="16" x14ac:dyDescent="0.8">
      <c r="A1965" s="2" t="s">
        <v>2717</v>
      </c>
      <c r="B1965" s="2" t="s">
        <v>1429</v>
      </c>
      <c r="C1965" s="2" t="s">
        <v>1430</v>
      </c>
      <c r="D1965" s="2" t="s">
        <v>1430</v>
      </c>
      <c r="E1965" s="3">
        <v>2916</v>
      </c>
      <c r="F1965" s="3">
        <v>2916</v>
      </c>
      <c r="G1965" s="2" t="s">
        <v>11</v>
      </c>
      <c r="H1965" s="2" t="s">
        <v>2718</v>
      </c>
      <c r="I1965" s="2" t="s">
        <v>1469</v>
      </c>
    </row>
    <row r="1966" spans="1:9" ht="16" x14ac:dyDescent="0.8">
      <c r="A1966" s="2" t="s">
        <v>2719</v>
      </c>
      <c r="B1966" s="2" t="s">
        <v>2062</v>
      </c>
      <c r="C1966" s="2" t="s">
        <v>2063</v>
      </c>
      <c r="D1966" s="2" t="s">
        <v>2063</v>
      </c>
      <c r="E1966" s="3">
        <v>7890</v>
      </c>
      <c r="F1966" s="3">
        <v>7890</v>
      </c>
      <c r="G1966" s="2" t="s">
        <v>196</v>
      </c>
      <c r="H1966" s="2" t="s">
        <v>2720</v>
      </c>
      <c r="I1966" s="2" t="s">
        <v>2064</v>
      </c>
    </row>
    <row r="1967" spans="1:9" ht="16" x14ac:dyDescent="0.8">
      <c r="A1967" s="2" t="s">
        <v>2721</v>
      </c>
      <c r="B1967" s="2" t="s">
        <v>2066</v>
      </c>
      <c r="C1967" s="2" t="s">
        <v>780</v>
      </c>
      <c r="D1967" s="2" t="s">
        <v>780</v>
      </c>
      <c r="E1967" s="3">
        <v>31554</v>
      </c>
      <c r="F1967" s="3">
        <v>31554</v>
      </c>
      <c r="G1967" s="2" t="s">
        <v>196</v>
      </c>
      <c r="H1967" s="2" t="s">
        <v>2720</v>
      </c>
      <c r="I1967" s="2" t="s">
        <v>201</v>
      </c>
    </row>
    <row r="1968" spans="1:9" ht="16" x14ac:dyDescent="0.8">
      <c r="A1968" s="2" t="s">
        <v>2721</v>
      </c>
      <c r="B1968" s="2" t="s">
        <v>2067</v>
      </c>
      <c r="C1968" s="2" t="s">
        <v>337</v>
      </c>
      <c r="D1968" s="2" t="s">
        <v>337</v>
      </c>
      <c r="E1968" s="3">
        <v>34182</v>
      </c>
      <c r="F1968" s="3">
        <v>34182</v>
      </c>
      <c r="G1968" s="2" t="s">
        <v>196</v>
      </c>
      <c r="H1968" s="2" t="s">
        <v>2720</v>
      </c>
      <c r="I1968" s="2" t="s">
        <v>201</v>
      </c>
    </row>
    <row r="1969" spans="1:9" ht="16" x14ac:dyDescent="0.8">
      <c r="A1969" s="2" t="s">
        <v>2721</v>
      </c>
      <c r="B1969" s="2" t="s">
        <v>2068</v>
      </c>
      <c r="C1969" s="2" t="s">
        <v>241</v>
      </c>
      <c r="D1969" s="2" t="s">
        <v>241</v>
      </c>
      <c r="E1969" s="3">
        <v>15780</v>
      </c>
      <c r="F1969" s="3">
        <v>15780</v>
      </c>
      <c r="G1969" s="2" t="s">
        <v>196</v>
      </c>
      <c r="H1969" s="2" t="s">
        <v>2720</v>
      </c>
      <c r="I1969" s="2" t="s">
        <v>201</v>
      </c>
    </row>
    <row r="1970" spans="1:9" ht="16" x14ac:dyDescent="0.8">
      <c r="A1970" s="2" t="s">
        <v>2721</v>
      </c>
      <c r="B1970" s="2" t="s">
        <v>2069</v>
      </c>
      <c r="C1970" s="2" t="s">
        <v>246</v>
      </c>
      <c r="D1970" s="2" t="s">
        <v>246</v>
      </c>
      <c r="E1970" s="3">
        <v>31554</v>
      </c>
      <c r="F1970" s="3">
        <v>31554</v>
      </c>
      <c r="G1970" s="2" t="s">
        <v>196</v>
      </c>
      <c r="H1970" s="2" t="s">
        <v>2720</v>
      </c>
      <c r="I1970" s="2" t="s">
        <v>201</v>
      </c>
    </row>
    <row r="1971" spans="1:9" ht="16" x14ac:dyDescent="0.8">
      <c r="A1971" s="2" t="s">
        <v>2721</v>
      </c>
      <c r="B1971" s="2" t="s">
        <v>2070</v>
      </c>
      <c r="C1971" s="2" t="s">
        <v>243</v>
      </c>
      <c r="D1971" s="2" t="s">
        <v>243</v>
      </c>
      <c r="E1971" s="3">
        <v>34182</v>
      </c>
      <c r="F1971" s="3">
        <v>34182</v>
      </c>
      <c r="G1971" s="2" t="s">
        <v>196</v>
      </c>
      <c r="H1971" s="2" t="s">
        <v>2720</v>
      </c>
      <c r="I1971" s="2" t="s">
        <v>201</v>
      </c>
    </row>
    <row r="1972" spans="1:9" ht="16" x14ac:dyDescent="0.8">
      <c r="A1972" s="2" t="s">
        <v>2721</v>
      </c>
      <c r="B1972" s="2" t="s">
        <v>2071</v>
      </c>
      <c r="C1972" s="2" t="s">
        <v>244</v>
      </c>
      <c r="D1972" s="2" t="s">
        <v>244</v>
      </c>
      <c r="E1972" s="3">
        <v>65736</v>
      </c>
      <c r="F1972" s="3">
        <v>65736</v>
      </c>
      <c r="G1972" s="2" t="s">
        <v>196</v>
      </c>
      <c r="H1972" s="2" t="s">
        <v>2720</v>
      </c>
      <c r="I1972" s="2" t="s">
        <v>201</v>
      </c>
    </row>
    <row r="1973" spans="1:9" ht="16" x14ac:dyDescent="0.8">
      <c r="A1973" s="2" t="s">
        <v>2721</v>
      </c>
      <c r="B1973" s="2" t="s">
        <v>2072</v>
      </c>
      <c r="C1973" s="2" t="s">
        <v>199</v>
      </c>
      <c r="D1973" s="2" t="s">
        <v>199</v>
      </c>
      <c r="E1973" s="3">
        <v>13152</v>
      </c>
      <c r="F1973" s="3">
        <v>13152</v>
      </c>
      <c r="G1973" s="2" t="s">
        <v>196</v>
      </c>
      <c r="H1973" s="2" t="s">
        <v>2720</v>
      </c>
      <c r="I1973" s="2" t="s">
        <v>201</v>
      </c>
    </row>
    <row r="1974" spans="1:9" ht="16" x14ac:dyDescent="0.8">
      <c r="A1974" s="2" t="s">
        <v>2721</v>
      </c>
      <c r="B1974" s="2" t="s">
        <v>2073</v>
      </c>
      <c r="C1974" s="2" t="s">
        <v>2074</v>
      </c>
      <c r="D1974" s="2" t="s">
        <v>2074</v>
      </c>
      <c r="E1974" s="3">
        <v>18408</v>
      </c>
      <c r="F1974" s="3">
        <v>18408</v>
      </c>
      <c r="G1974" s="2" t="s">
        <v>196</v>
      </c>
      <c r="H1974" s="2" t="s">
        <v>2720</v>
      </c>
      <c r="I1974" s="2" t="s">
        <v>201</v>
      </c>
    </row>
    <row r="1975" spans="1:9" ht="16" x14ac:dyDescent="0.8">
      <c r="A1975" s="2" t="s">
        <v>2722</v>
      </c>
      <c r="B1975" s="2" t="s">
        <v>2110</v>
      </c>
      <c r="C1975" s="2" t="s">
        <v>2111</v>
      </c>
      <c r="D1975" s="2" t="s">
        <v>2111</v>
      </c>
      <c r="E1975" s="3">
        <v>10520</v>
      </c>
      <c r="F1975" s="3">
        <v>10520</v>
      </c>
      <c r="G1975" s="2" t="s">
        <v>196</v>
      </c>
      <c r="H1975" s="2" t="s">
        <v>2720</v>
      </c>
      <c r="I1975" s="2" t="s">
        <v>437</v>
      </c>
    </row>
    <row r="1976" spans="1:9" ht="16" x14ac:dyDescent="0.8">
      <c r="A1976" s="2" t="s">
        <v>2723</v>
      </c>
      <c r="B1976" s="2" t="s">
        <v>2062</v>
      </c>
      <c r="C1976" s="2" t="s">
        <v>2063</v>
      </c>
      <c r="D1976" s="2" t="s">
        <v>2063</v>
      </c>
      <c r="E1976" s="3">
        <v>7890</v>
      </c>
      <c r="F1976" s="3">
        <v>0</v>
      </c>
      <c r="G1976" s="2" t="s">
        <v>196</v>
      </c>
      <c r="H1976" s="2" t="s">
        <v>2720</v>
      </c>
      <c r="I1976" s="2" t="s">
        <v>2064</v>
      </c>
    </row>
    <row r="1977" spans="1:9" ht="16" x14ac:dyDescent="0.8">
      <c r="A1977" s="2" t="s">
        <v>2724</v>
      </c>
      <c r="B1977" s="2" t="s">
        <v>2066</v>
      </c>
      <c r="C1977" s="2" t="s">
        <v>780</v>
      </c>
      <c r="D1977" s="2" t="s">
        <v>780</v>
      </c>
      <c r="E1977" s="3">
        <v>31554</v>
      </c>
      <c r="F1977" s="3">
        <v>0</v>
      </c>
      <c r="G1977" s="2" t="s">
        <v>196</v>
      </c>
      <c r="H1977" s="2" t="s">
        <v>2720</v>
      </c>
      <c r="I1977" s="2" t="s">
        <v>201</v>
      </c>
    </row>
    <row r="1978" spans="1:9" ht="16" x14ac:dyDescent="0.8">
      <c r="A1978" s="2" t="s">
        <v>2724</v>
      </c>
      <c r="B1978" s="2" t="s">
        <v>2067</v>
      </c>
      <c r="C1978" s="2" t="s">
        <v>337</v>
      </c>
      <c r="D1978" s="2" t="s">
        <v>337</v>
      </c>
      <c r="E1978" s="3">
        <v>34182</v>
      </c>
      <c r="F1978" s="3">
        <v>0</v>
      </c>
      <c r="G1978" s="2" t="s">
        <v>196</v>
      </c>
      <c r="H1978" s="2" t="s">
        <v>2720</v>
      </c>
      <c r="I1978" s="2" t="s">
        <v>201</v>
      </c>
    </row>
    <row r="1979" spans="1:9" ht="16" x14ac:dyDescent="0.8">
      <c r="A1979" s="2" t="s">
        <v>2724</v>
      </c>
      <c r="B1979" s="2" t="s">
        <v>2068</v>
      </c>
      <c r="C1979" s="2" t="s">
        <v>241</v>
      </c>
      <c r="D1979" s="2" t="s">
        <v>241</v>
      </c>
      <c r="E1979" s="3">
        <v>15780</v>
      </c>
      <c r="F1979" s="3">
        <v>0</v>
      </c>
      <c r="G1979" s="2" t="s">
        <v>196</v>
      </c>
      <c r="H1979" s="2" t="s">
        <v>2720</v>
      </c>
      <c r="I1979" s="2" t="s">
        <v>201</v>
      </c>
    </row>
    <row r="1980" spans="1:9" ht="16" x14ac:dyDescent="0.8">
      <c r="A1980" s="2" t="s">
        <v>2724</v>
      </c>
      <c r="B1980" s="2" t="s">
        <v>2069</v>
      </c>
      <c r="C1980" s="2" t="s">
        <v>246</v>
      </c>
      <c r="D1980" s="2" t="s">
        <v>246</v>
      </c>
      <c r="E1980" s="3">
        <v>31554</v>
      </c>
      <c r="F1980" s="3">
        <v>0</v>
      </c>
      <c r="G1980" s="2" t="s">
        <v>196</v>
      </c>
      <c r="H1980" s="2" t="s">
        <v>2720</v>
      </c>
      <c r="I1980" s="2" t="s">
        <v>201</v>
      </c>
    </row>
    <row r="1981" spans="1:9" ht="16" x14ac:dyDescent="0.8">
      <c r="A1981" s="2" t="s">
        <v>2724</v>
      </c>
      <c r="B1981" s="2" t="s">
        <v>2070</v>
      </c>
      <c r="C1981" s="2" t="s">
        <v>243</v>
      </c>
      <c r="D1981" s="2" t="s">
        <v>243</v>
      </c>
      <c r="E1981" s="3">
        <v>34182</v>
      </c>
      <c r="F1981" s="3">
        <v>0</v>
      </c>
      <c r="G1981" s="2" t="s">
        <v>196</v>
      </c>
      <c r="H1981" s="2" t="s">
        <v>2720</v>
      </c>
      <c r="I1981" s="2" t="s">
        <v>201</v>
      </c>
    </row>
    <row r="1982" spans="1:9" ht="16" x14ac:dyDescent="0.8">
      <c r="A1982" s="2" t="s">
        <v>2724</v>
      </c>
      <c r="B1982" s="2" t="s">
        <v>2071</v>
      </c>
      <c r="C1982" s="2" t="s">
        <v>244</v>
      </c>
      <c r="D1982" s="2" t="s">
        <v>244</v>
      </c>
      <c r="E1982" s="3">
        <v>65736</v>
      </c>
      <c r="F1982" s="3">
        <v>0</v>
      </c>
      <c r="G1982" s="2" t="s">
        <v>196</v>
      </c>
      <c r="H1982" s="2" t="s">
        <v>2720</v>
      </c>
      <c r="I1982" s="2" t="s">
        <v>201</v>
      </c>
    </row>
    <row r="1983" spans="1:9" ht="16" x14ac:dyDescent="0.8">
      <c r="A1983" s="2" t="s">
        <v>2724</v>
      </c>
      <c r="B1983" s="2" t="s">
        <v>2072</v>
      </c>
      <c r="C1983" s="2" t="s">
        <v>199</v>
      </c>
      <c r="D1983" s="2" t="s">
        <v>199</v>
      </c>
      <c r="E1983" s="3">
        <v>13152</v>
      </c>
      <c r="F1983" s="3">
        <v>0</v>
      </c>
      <c r="G1983" s="2" t="s">
        <v>196</v>
      </c>
      <c r="H1983" s="2" t="s">
        <v>2720</v>
      </c>
      <c r="I1983" s="2" t="s">
        <v>201</v>
      </c>
    </row>
    <row r="1984" spans="1:9" ht="16" x14ac:dyDescent="0.8">
      <c r="A1984" s="2" t="s">
        <v>2724</v>
      </c>
      <c r="B1984" s="2" t="s">
        <v>2073</v>
      </c>
      <c r="C1984" s="2" t="s">
        <v>2074</v>
      </c>
      <c r="D1984" s="2" t="s">
        <v>2074</v>
      </c>
      <c r="E1984" s="3">
        <v>18408</v>
      </c>
      <c r="F1984" s="3">
        <v>0</v>
      </c>
      <c r="G1984" s="2" t="s">
        <v>196</v>
      </c>
      <c r="H1984" s="2" t="s">
        <v>2720</v>
      </c>
      <c r="I1984" s="2" t="s">
        <v>201</v>
      </c>
    </row>
    <row r="1985" spans="1:9" ht="16" x14ac:dyDescent="0.8">
      <c r="A1985" s="2" t="s">
        <v>2725</v>
      </c>
      <c r="B1985" s="2" t="s">
        <v>2110</v>
      </c>
      <c r="C1985" s="2" t="s">
        <v>2111</v>
      </c>
      <c r="D1985" s="2" t="s">
        <v>2111</v>
      </c>
      <c r="E1985" s="3">
        <v>10520</v>
      </c>
      <c r="F1985" s="3">
        <v>0</v>
      </c>
      <c r="G1985" s="2" t="s">
        <v>196</v>
      </c>
      <c r="H1985" s="2" t="s">
        <v>2720</v>
      </c>
      <c r="I1985" s="2" t="s">
        <v>437</v>
      </c>
    </row>
    <row r="1986" spans="1:9" ht="16" x14ac:dyDescent="0.8">
      <c r="A1986" s="2" t="s">
        <v>2726</v>
      </c>
      <c r="B1986" s="2" t="s">
        <v>2727</v>
      </c>
      <c r="C1986" s="2" t="s">
        <v>2728</v>
      </c>
      <c r="D1986" s="2" t="s">
        <v>2728</v>
      </c>
      <c r="E1986" s="3">
        <v>1926400</v>
      </c>
      <c r="F1986" s="3">
        <v>0</v>
      </c>
      <c r="G1986" s="2" t="s">
        <v>196</v>
      </c>
      <c r="H1986" s="2" t="s">
        <v>2729</v>
      </c>
      <c r="I1986" s="2" t="s">
        <v>2730</v>
      </c>
    </row>
    <row r="1987" spans="1:9" ht="16" x14ac:dyDescent="0.8">
      <c r="A1987" s="2" t="s">
        <v>2731</v>
      </c>
      <c r="B1987" s="2" t="s">
        <v>1089</v>
      </c>
      <c r="C1987" s="2" t="s">
        <v>1090</v>
      </c>
      <c r="D1987" s="2" t="s">
        <v>1090</v>
      </c>
      <c r="E1987" s="3">
        <v>2850</v>
      </c>
      <c r="F1987" s="3">
        <v>0</v>
      </c>
      <c r="G1987" s="2" t="s">
        <v>196</v>
      </c>
      <c r="H1987" s="2" t="s">
        <v>2729</v>
      </c>
      <c r="I1987" s="2" t="s">
        <v>17</v>
      </c>
    </row>
    <row r="1988" spans="1:9" ht="16" x14ac:dyDescent="0.8">
      <c r="A1988" s="2" t="s">
        <v>2731</v>
      </c>
      <c r="B1988" s="2" t="s">
        <v>1091</v>
      </c>
      <c r="C1988" s="2" t="s">
        <v>1092</v>
      </c>
      <c r="D1988" s="2" t="s">
        <v>1092</v>
      </c>
      <c r="E1988" s="3">
        <v>4176</v>
      </c>
      <c r="F1988" s="3">
        <v>0</v>
      </c>
      <c r="G1988" s="2" t="s">
        <v>196</v>
      </c>
      <c r="H1988" s="2" t="s">
        <v>2729</v>
      </c>
      <c r="I1988" s="2" t="s">
        <v>17</v>
      </c>
    </row>
    <row r="1989" spans="1:9" ht="16" x14ac:dyDescent="0.8">
      <c r="A1989" s="2" t="s">
        <v>2714</v>
      </c>
      <c r="B1989" s="2" t="s">
        <v>2732</v>
      </c>
      <c r="C1989" s="2" t="s">
        <v>2733</v>
      </c>
      <c r="D1989" s="2" t="s">
        <v>2733</v>
      </c>
      <c r="E1989" s="3">
        <v>3678</v>
      </c>
      <c r="F1989" s="3">
        <v>0</v>
      </c>
      <c r="G1989" s="2" t="s">
        <v>196</v>
      </c>
      <c r="H1989" s="2" t="s">
        <v>2090</v>
      </c>
      <c r="I1989" s="2" t="s">
        <v>1121</v>
      </c>
    </row>
    <row r="1990" spans="1:9" ht="16" x14ac:dyDescent="0.8">
      <c r="A1990" s="2" t="s">
        <v>2734</v>
      </c>
      <c r="B1990" s="2" t="s">
        <v>834</v>
      </c>
      <c r="C1990" s="2" t="s">
        <v>835</v>
      </c>
      <c r="D1990" s="2" t="s">
        <v>835</v>
      </c>
      <c r="E1990" s="3">
        <v>100000</v>
      </c>
      <c r="F1990" s="3">
        <v>100000</v>
      </c>
      <c r="G1990" s="2" t="s">
        <v>11</v>
      </c>
      <c r="H1990" s="2" t="s">
        <v>2735</v>
      </c>
      <c r="I1990" s="2" t="s">
        <v>699</v>
      </c>
    </row>
    <row r="1991" spans="1:9" ht="16" x14ac:dyDescent="0.8">
      <c r="A1991" s="2" t="s">
        <v>2736</v>
      </c>
      <c r="B1991" s="2" t="s">
        <v>786</v>
      </c>
      <c r="C1991" s="2" t="s">
        <v>199</v>
      </c>
      <c r="D1991" s="2" t="s">
        <v>199</v>
      </c>
      <c r="E1991" s="3">
        <v>5982</v>
      </c>
      <c r="F1991" s="3">
        <v>5982</v>
      </c>
      <c r="G1991" s="2" t="s">
        <v>11</v>
      </c>
      <c r="H1991" s="2" t="s">
        <v>2737</v>
      </c>
      <c r="I1991" s="2" t="s">
        <v>201</v>
      </c>
    </row>
    <row r="1992" spans="1:9" ht="16" x14ac:dyDescent="0.8">
      <c r="A1992" s="2" t="s">
        <v>2738</v>
      </c>
      <c r="B1992" s="2" t="s">
        <v>1123</v>
      </c>
      <c r="C1992" s="2" t="s">
        <v>1124</v>
      </c>
      <c r="D1992" s="2" t="s">
        <v>1124</v>
      </c>
      <c r="E1992" s="3">
        <v>20160</v>
      </c>
      <c r="F1992" s="3">
        <v>20160</v>
      </c>
      <c r="G1992" s="2" t="s">
        <v>11</v>
      </c>
      <c r="H1992" s="2" t="s">
        <v>2737</v>
      </c>
      <c r="I1992" s="2" t="s">
        <v>1125</v>
      </c>
    </row>
    <row r="1993" spans="1:9" ht="16" x14ac:dyDescent="0.8">
      <c r="A1993" s="2" t="s">
        <v>2738</v>
      </c>
      <c r="B1993" s="2" t="s">
        <v>1126</v>
      </c>
      <c r="C1993" s="2" t="s">
        <v>1127</v>
      </c>
      <c r="D1993" s="2" t="s">
        <v>1127</v>
      </c>
      <c r="E1993" s="3">
        <v>26880</v>
      </c>
      <c r="F1993" s="3">
        <v>26880</v>
      </c>
      <c r="G1993" s="2" t="s">
        <v>11</v>
      </c>
      <c r="H1993" s="2" t="s">
        <v>2737</v>
      </c>
      <c r="I1993" s="2" t="s">
        <v>1125</v>
      </c>
    </row>
    <row r="1994" spans="1:9" ht="16" x14ac:dyDescent="0.8">
      <c r="A1994" s="2" t="s">
        <v>2739</v>
      </c>
      <c r="B1994" s="2" t="s">
        <v>1116</v>
      </c>
      <c r="C1994" s="2" t="s">
        <v>1117</v>
      </c>
      <c r="D1994" s="2" t="s">
        <v>1117</v>
      </c>
      <c r="E1994" s="3">
        <v>51624</v>
      </c>
      <c r="F1994" s="3">
        <v>51624</v>
      </c>
      <c r="G1994" s="2" t="s">
        <v>11</v>
      </c>
      <c r="H1994" s="2" t="s">
        <v>2737</v>
      </c>
      <c r="I1994" s="2" t="s">
        <v>1113</v>
      </c>
    </row>
    <row r="1995" spans="1:9" ht="16" x14ac:dyDescent="0.8">
      <c r="A1995" s="2" t="s">
        <v>2741</v>
      </c>
      <c r="B1995" s="2" t="s">
        <v>1338</v>
      </c>
      <c r="C1995" s="2" t="s">
        <v>1339</v>
      </c>
      <c r="D1995" s="2" t="s">
        <v>1339</v>
      </c>
      <c r="E1995" s="3">
        <v>20000</v>
      </c>
      <c r="F1995" s="3">
        <v>9000</v>
      </c>
      <c r="G1995" s="2" t="s">
        <v>196</v>
      </c>
      <c r="H1995" s="2" t="s">
        <v>2740</v>
      </c>
      <c r="I1995" s="2" t="s">
        <v>238</v>
      </c>
    </row>
    <row r="1996" spans="1:9" ht="16" x14ac:dyDescent="0.8">
      <c r="A1996" s="2" t="s">
        <v>2741</v>
      </c>
      <c r="B1996" s="2" t="s">
        <v>1346</v>
      </c>
      <c r="C1996" s="2" t="s">
        <v>1347</v>
      </c>
      <c r="D1996" s="2" t="s">
        <v>1347</v>
      </c>
      <c r="E1996" s="3">
        <v>15000</v>
      </c>
      <c r="F1996" s="3">
        <v>6840</v>
      </c>
      <c r="G1996" s="2" t="s">
        <v>196</v>
      </c>
      <c r="H1996" s="2" t="s">
        <v>2740</v>
      </c>
      <c r="I1996" s="2" t="s">
        <v>238</v>
      </c>
    </row>
    <row r="1997" spans="1:9" ht="16" x14ac:dyDescent="0.8">
      <c r="A1997" s="2" t="s">
        <v>2741</v>
      </c>
      <c r="B1997" s="2" t="s">
        <v>1348</v>
      </c>
      <c r="C1997" s="2" t="s">
        <v>1349</v>
      </c>
      <c r="D1997" s="2" t="s">
        <v>1349</v>
      </c>
      <c r="E1997" s="3">
        <v>18500</v>
      </c>
      <c r="F1997" s="3">
        <v>12000</v>
      </c>
      <c r="G1997" s="2" t="s">
        <v>196</v>
      </c>
      <c r="H1997" s="2" t="s">
        <v>2740</v>
      </c>
      <c r="I1997" s="2" t="s">
        <v>238</v>
      </c>
    </row>
    <row r="1998" spans="1:9" ht="16" x14ac:dyDescent="0.8">
      <c r="A1998" s="2" t="s">
        <v>2742</v>
      </c>
      <c r="B1998" s="2" t="s">
        <v>2743</v>
      </c>
      <c r="C1998" s="2" t="s">
        <v>2744</v>
      </c>
      <c r="D1998" s="2" t="s">
        <v>2744</v>
      </c>
      <c r="E1998" s="3">
        <v>8017134</v>
      </c>
      <c r="F1998" s="3">
        <v>0</v>
      </c>
      <c r="G1998" s="2" t="s">
        <v>196</v>
      </c>
      <c r="H1998" s="2" t="s">
        <v>2740</v>
      </c>
      <c r="I1998" s="2" t="s">
        <v>699</v>
      </c>
    </row>
    <row r="1999" spans="1:9" ht="16" x14ac:dyDescent="0.8">
      <c r="A1999" s="2" t="s">
        <v>2745</v>
      </c>
      <c r="B1999" s="2" t="s">
        <v>2746</v>
      </c>
      <c r="C1999" s="2" t="s">
        <v>2747</v>
      </c>
      <c r="D1999" s="2" t="s">
        <v>2747</v>
      </c>
      <c r="E1999" s="3">
        <v>77002</v>
      </c>
      <c r="F1999" s="3">
        <v>0</v>
      </c>
      <c r="G1999" s="2" t="s">
        <v>196</v>
      </c>
      <c r="H1999" s="2" t="s">
        <v>2740</v>
      </c>
      <c r="I1999" s="2" t="s">
        <v>699</v>
      </c>
    </row>
    <row r="2000" spans="1:9" ht="16" x14ac:dyDescent="0.8">
      <c r="A2000" s="2" t="s">
        <v>2748</v>
      </c>
      <c r="B2000" s="2" t="s">
        <v>2749</v>
      </c>
      <c r="C2000" s="2" t="s">
        <v>2750</v>
      </c>
      <c r="D2000" s="2" t="s">
        <v>2750</v>
      </c>
      <c r="E2000" s="3">
        <v>115500</v>
      </c>
      <c r="F2000" s="3">
        <v>0</v>
      </c>
      <c r="G2000" s="2" t="s">
        <v>196</v>
      </c>
      <c r="H2000" s="2" t="s">
        <v>2740</v>
      </c>
      <c r="I2000" s="2" t="s">
        <v>699</v>
      </c>
    </row>
    <row r="2001" spans="1:9" ht="16" x14ac:dyDescent="0.8">
      <c r="A2001" s="2" t="s">
        <v>2751</v>
      </c>
      <c r="B2001" s="2" t="s">
        <v>2749</v>
      </c>
      <c r="C2001" s="2" t="s">
        <v>2750</v>
      </c>
      <c r="D2001" s="2" t="s">
        <v>2750</v>
      </c>
      <c r="E2001" s="3">
        <v>36659</v>
      </c>
      <c r="F2001" s="3">
        <v>0</v>
      </c>
      <c r="G2001" s="2" t="s">
        <v>196</v>
      </c>
      <c r="H2001" s="2" t="s">
        <v>2740</v>
      </c>
      <c r="I2001" s="2" t="s">
        <v>699</v>
      </c>
    </row>
    <row r="2002" spans="1:9" ht="16" x14ac:dyDescent="0.8">
      <c r="A2002" s="2" t="s">
        <v>2752</v>
      </c>
      <c r="B2002" s="2" t="s">
        <v>2749</v>
      </c>
      <c r="C2002" s="2" t="s">
        <v>2750</v>
      </c>
      <c r="D2002" s="2" t="s">
        <v>2750</v>
      </c>
      <c r="E2002" s="3">
        <v>115500</v>
      </c>
      <c r="F2002" s="3">
        <v>0</v>
      </c>
      <c r="G2002" s="2" t="s">
        <v>196</v>
      </c>
      <c r="H2002" s="2" t="s">
        <v>2740</v>
      </c>
      <c r="I2002" s="2" t="s">
        <v>699</v>
      </c>
    </row>
    <row r="2003" spans="1:9" ht="16" x14ac:dyDescent="0.8">
      <c r="A2003" s="2" t="s">
        <v>2753</v>
      </c>
      <c r="B2003" s="2" t="s">
        <v>2749</v>
      </c>
      <c r="C2003" s="2" t="s">
        <v>2750</v>
      </c>
      <c r="D2003" s="2" t="s">
        <v>2750</v>
      </c>
      <c r="E2003" s="3">
        <v>115500</v>
      </c>
      <c r="F2003" s="3">
        <v>0</v>
      </c>
      <c r="G2003" s="2" t="s">
        <v>196</v>
      </c>
      <c r="H2003" s="2" t="s">
        <v>2740</v>
      </c>
      <c r="I2003" s="2" t="s">
        <v>699</v>
      </c>
    </row>
    <row r="2004" spans="1:9" ht="16" x14ac:dyDescent="0.8">
      <c r="A2004" s="2" t="s">
        <v>2754</v>
      </c>
      <c r="B2004" s="2" t="s">
        <v>2749</v>
      </c>
      <c r="C2004" s="2" t="s">
        <v>2750</v>
      </c>
      <c r="D2004" s="2" t="s">
        <v>2750</v>
      </c>
      <c r="E2004" s="3">
        <v>17660</v>
      </c>
      <c r="F2004" s="3">
        <v>0</v>
      </c>
      <c r="G2004" s="2" t="s">
        <v>196</v>
      </c>
      <c r="H2004" s="2" t="s">
        <v>2740</v>
      </c>
      <c r="I2004" s="2" t="s">
        <v>699</v>
      </c>
    </row>
    <row r="2005" spans="1:9" ht="16" x14ac:dyDescent="0.8">
      <c r="A2005" s="2" t="s">
        <v>2755</v>
      </c>
      <c r="B2005" s="2" t="s">
        <v>2756</v>
      </c>
      <c r="C2005" s="2" t="s">
        <v>2757</v>
      </c>
      <c r="D2005" s="2" t="s">
        <v>2757</v>
      </c>
      <c r="E2005" s="3">
        <v>11400000</v>
      </c>
      <c r="F2005" s="3">
        <v>0</v>
      </c>
      <c r="G2005" s="2" t="s">
        <v>196</v>
      </c>
      <c r="H2005" s="2" t="s">
        <v>2740</v>
      </c>
      <c r="I2005" s="2" t="s">
        <v>699</v>
      </c>
    </row>
    <row r="2006" spans="1:9" ht="16" x14ac:dyDescent="0.8">
      <c r="A2006" s="2" t="s">
        <v>2758</v>
      </c>
      <c r="B2006" s="2" t="s">
        <v>2756</v>
      </c>
      <c r="C2006" s="2" t="s">
        <v>2757</v>
      </c>
      <c r="D2006" s="2" t="s">
        <v>2757</v>
      </c>
      <c r="E2006" s="3">
        <v>5700000</v>
      </c>
      <c r="F2006" s="3">
        <v>0</v>
      </c>
      <c r="G2006" s="2" t="s">
        <v>196</v>
      </c>
      <c r="H2006" s="2" t="s">
        <v>2740</v>
      </c>
      <c r="I2006" s="2" t="s">
        <v>699</v>
      </c>
    </row>
    <row r="2007" spans="1:9" ht="16" x14ac:dyDescent="0.8">
      <c r="A2007" s="2" t="s">
        <v>2759</v>
      </c>
      <c r="B2007" s="2" t="s">
        <v>2756</v>
      </c>
      <c r="C2007" s="2" t="s">
        <v>2757</v>
      </c>
      <c r="D2007" s="2" t="s">
        <v>2757</v>
      </c>
      <c r="E2007" s="3">
        <v>11400000</v>
      </c>
      <c r="F2007" s="3">
        <v>0</v>
      </c>
      <c r="G2007" s="2" t="s">
        <v>196</v>
      </c>
      <c r="H2007" s="2" t="s">
        <v>2740</v>
      </c>
      <c r="I2007" s="2" t="s">
        <v>699</v>
      </c>
    </row>
    <row r="2008" spans="1:9" ht="16" x14ac:dyDescent="0.8">
      <c r="A2008" s="2" t="s">
        <v>2760</v>
      </c>
      <c r="B2008" s="2" t="s">
        <v>2756</v>
      </c>
      <c r="C2008" s="2" t="s">
        <v>2757</v>
      </c>
      <c r="D2008" s="2" t="s">
        <v>2757</v>
      </c>
      <c r="E2008" s="3">
        <v>5700000</v>
      </c>
      <c r="F2008" s="3">
        <v>0</v>
      </c>
      <c r="G2008" s="2" t="s">
        <v>196</v>
      </c>
      <c r="H2008" s="2" t="s">
        <v>2740</v>
      </c>
      <c r="I2008" s="2" t="s">
        <v>699</v>
      </c>
    </row>
    <row r="2009" spans="1:9" ht="16" x14ac:dyDescent="0.8">
      <c r="A2009" s="2" t="s">
        <v>2761</v>
      </c>
      <c r="B2009" s="2" t="s">
        <v>2756</v>
      </c>
      <c r="C2009" s="2" t="s">
        <v>2757</v>
      </c>
      <c r="D2009" s="2" t="s">
        <v>2757</v>
      </c>
      <c r="E2009" s="3">
        <v>7531466</v>
      </c>
      <c r="F2009" s="3">
        <v>0</v>
      </c>
      <c r="G2009" s="2" t="s">
        <v>196</v>
      </c>
      <c r="H2009" s="2" t="s">
        <v>2740</v>
      </c>
      <c r="I2009" s="2" t="s">
        <v>699</v>
      </c>
    </row>
    <row r="2010" spans="1:9" ht="16" x14ac:dyDescent="0.8">
      <c r="A2010" s="2" t="s">
        <v>2762</v>
      </c>
      <c r="B2010" s="2" t="s">
        <v>834</v>
      </c>
      <c r="C2010" s="2" t="s">
        <v>835</v>
      </c>
      <c r="D2010" s="2" t="s">
        <v>835</v>
      </c>
      <c r="E2010" s="3">
        <v>100000</v>
      </c>
      <c r="F2010" s="3">
        <v>100000</v>
      </c>
      <c r="G2010" s="2" t="s">
        <v>11</v>
      </c>
      <c r="H2010" s="2" t="s">
        <v>2740</v>
      </c>
      <c r="I2010" s="2" t="s">
        <v>699</v>
      </c>
    </row>
    <row r="2011" spans="1:9" ht="16" x14ac:dyDescent="0.8">
      <c r="A2011" s="2" t="s">
        <v>2764</v>
      </c>
      <c r="B2011" s="2" t="s">
        <v>2765</v>
      </c>
      <c r="C2011" s="2" t="s">
        <v>2766</v>
      </c>
      <c r="D2011" s="2" t="s">
        <v>2766</v>
      </c>
      <c r="E2011" s="3">
        <v>9000</v>
      </c>
      <c r="F2011" s="3">
        <v>0</v>
      </c>
      <c r="G2011" s="2" t="s">
        <v>196</v>
      </c>
      <c r="H2011" s="2" t="s">
        <v>2767</v>
      </c>
      <c r="I2011" s="2" t="s">
        <v>2670</v>
      </c>
    </row>
    <row r="2012" spans="1:9" ht="16" x14ac:dyDescent="0.8">
      <c r="A2012" s="2" t="s">
        <v>2768</v>
      </c>
      <c r="B2012" s="2" t="s">
        <v>1449</v>
      </c>
      <c r="C2012" s="2" t="s">
        <v>1450</v>
      </c>
      <c r="D2012" s="2" t="s">
        <v>1450</v>
      </c>
      <c r="E2012" s="3">
        <v>15330</v>
      </c>
      <c r="F2012" s="3">
        <v>15330</v>
      </c>
      <c r="G2012" s="2" t="s">
        <v>11</v>
      </c>
      <c r="H2012" s="2" t="s">
        <v>2767</v>
      </c>
      <c r="I2012" s="2" t="s">
        <v>1444</v>
      </c>
    </row>
    <row r="2013" spans="1:9" ht="16" x14ac:dyDescent="0.8">
      <c r="A2013" s="2" t="s">
        <v>2769</v>
      </c>
      <c r="B2013" s="2" t="s">
        <v>1445</v>
      </c>
      <c r="C2013" s="2" t="s">
        <v>1446</v>
      </c>
      <c r="D2013" s="2" t="s">
        <v>1446</v>
      </c>
      <c r="E2013" s="3">
        <v>24852</v>
      </c>
      <c r="F2013" s="3">
        <v>24852</v>
      </c>
      <c r="G2013" s="2" t="s">
        <v>11</v>
      </c>
      <c r="H2013" s="2" t="s">
        <v>2767</v>
      </c>
      <c r="I2013" s="2" t="s">
        <v>1444</v>
      </c>
    </row>
    <row r="2014" spans="1:9" ht="16" x14ac:dyDescent="0.8">
      <c r="A2014" s="2" t="s">
        <v>2769</v>
      </c>
      <c r="B2014" s="2" t="s">
        <v>1443</v>
      </c>
      <c r="C2014" s="2" t="s">
        <v>1425</v>
      </c>
      <c r="D2014" s="2" t="s">
        <v>1425</v>
      </c>
      <c r="E2014" s="3">
        <v>11766</v>
      </c>
      <c r="F2014" s="3">
        <v>11766</v>
      </c>
      <c r="G2014" s="2" t="s">
        <v>11</v>
      </c>
      <c r="H2014" s="2" t="s">
        <v>2767</v>
      </c>
      <c r="I2014" s="2" t="s">
        <v>1444</v>
      </c>
    </row>
    <row r="2015" spans="1:9" ht="16" x14ac:dyDescent="0.8">
      <c r="A2015" s="2" t="s">
        <v>2769</v>
      </c>
      <c r="B2015" s="2" t="s">
        <v>1447</v>
      </c>
      <c r="C2015" s="2" t="s">
        <v>1448</v>
      </c>
      <c r="D2015" s="2" t="s">
        <v>1448</v>
      </c>
      <c r="E2015" s="3">
        <v>4568</v>
      </c>
      <c r="F2015" s="3">
        <v>4568</v>
      </c>
      <c r="G2015" s="2" t="s">
        <v>11</v>
      </c>
      <c r="H2015" s="2" t="s">
        <v>2767</v>
      </c>
      <c r="I2015" s="2" t="s">
        <v>1444</v>
      </c>
    </row>
    <row r="2016" spans="1:9" ht="16" x14ac:dyDescent="0.8">
      <c r="A2016" s="2" t="s">
        <v>2769</v>
      </c>
      <c r="B2016" s="2" t="s">
        <v>1449</v>
      </c>
      <c r="C2016" s="2" t="s">
        <v>1450</v>
      </c>
      <c r="D2016" s="2" t="s">
        <v>1450</v>
      </c>
      <c r="E2016" s="3">
        <v>18048</v>
      </c>
      <c r="F2016" s="3">
        <v>18048</v>
      </c>
      <c r="G2016" s="2" t="s">
        <v>11</v>
      </c>
      <c r="H2016" s="2" t="s">
        <v>2767</v>
      </c>
      <c r="I2016" s="2" t="s">
        <v>1444</v>
      </c>
    </row>
    <row r="2017" spans="1:9" ht="16" x14ac:dyDescent="0.8">
      <c r="A2017" s="2" t="s">
        <v>2770</v>
      </c>
      <c r="B2017" s="2" t="s">
        <v>1846</v>
      </c>
      <c r="C2017" s="2" t="s">
        <v>1847</v>
      </c>
      <c r="D2017" s="2" t="s">
        <v>1847</v>
      </c>
      <c r="E2017" s="3">
        <v>2</v>
      </c>
      <c r="F2017" s="3">
        <v>2</v>
      </c>
      <c r="G2017" s="2" t="s">
        <v>11</v>
      </c>
      <c r="H2017" s="2" t="s">
        <v>2767</v>
      </c>
      <c r="I2017" s="2" t="s">
        <v>53</v>
      </c>
    </row>
    <row r="2018" spans="1:9" ht="16" x14ac:dyDescent="0.8">
      <c r="A2018" s="2" t="s">
        <v>2771</v>
      </c>
      <c r="B2018" s="2" t="s">
        <v>1452</v>
      </c>
      <c r="C2018" s="2" t="s">
        <v>1453</v>
      </c>
      <c r="D2018" s="2" t="s">
        <v>1453</v>
      </c>
      <c r="E2018" s="3">
        <v>1590</v>
      </c>
      <c r="F2018" s="3">
        <v>1590</v>
      </c>
      <c r="G2018" s="2" t="s">
        <v>11</v>
      </c>
      <c r="H2018" s="2" t="s">
        <v>2772</v>
      </c>
      <c r="I2018" s="2" t="s">
        <v>23</v>
      </c>
    </row>
    <row r="2019" spans="1:9" ht="16" x14ac:dyDescent="0.8">
      <c r="A2019" s="2" t="s">
        <v>2773</v>
      </c>
      <c r="B2019" s="2" t="s">
        <v>2774</v>
      </c>
      <c r="C2019" s="2" t="s">
        <v>2775</v>
      </c>
      <c r="D2019" s="2" t="s">
        <v>2775</v>
      </c>
      <c r="E2019" s="3">
        <v>10287360</v>
      </c>
      <c r="F2019" s="3">
        <v>10287360</v>
      </c>
      <c r="G2019" s="2" t="s">
        <v>11</v>
      </c>
      <c r="H2019" s="2" t="s">
        <v>2776</v>
      </c>
      <c r="I2019" s="2" t="s">
        <v>699</v>
      </c>
    </row>
    <row r="2020" spans="1:9" ht="16" x14ac:dyDescent="0.8">
      <c r="A2020" s="2" t="s">
        <v>2777</v>
      </c>
      <c r="B2020" s="2" t="s">
        <v>2778</v>
      </c>
      <c r="C2020" s="2" t="s">
        <v>2779</v>
      </c>
      <c r="D2020" s="2" t="s">
        <v>2779</v>
      </c>
      <c r="E2020" s="3">
        <v>2571840</v>
      </c>
      <c r="F2020" s="3">
        <v>0</v>
      </c>
      <c r="G2020" s="2" t="s">
        <v>196</v>
      </c>
      <c r="H2020" s="2" t="s">
        <v>2776</v>
      </c>
      <c r="I2020" s="2" t="s">
        <v>699</v>
      </c>
    </row>
    <row r="2021" spans="1:9" ht="16" x14ac:dyDescent="0.8">
      <c r="A2021" s="2" t="s">
        <v>2782</v>
      </c>
      <c r="B2021" s="2" t="s">
        <v>1346</v>
      </c>
      <c r="C2021" s="2" t="s">
        <v>1347</v>
      </c>
      <c r="D2021" s="2" t="s">
        <v>1347</v>
      </c>
      <c r="E2021" s="3">
        <v>20000</v>
      </c>
      <c r="F2021" s="3">
        <v>0</v>
      </c>
      <c r="G2021" s="2" t="s">
        <v>196</v>
      </c>
      <c r="H2021" s="2" t="s">
        <v>2783</v>
      </c>
      <c r="I2021" s="2" t="s">
        <v>238</v>
      </c>
    </row>
    <row r="2022" spans="1:9" ht="16" x14ac:dyDescent="0.8">
      <c r="A2022" s="2" t="s">
        <v>2782</v>
      </c>
      <c r="B2022" s="2" t="s">
        <v>1348</v>
      </c>
      <c r="C2022" s="2" t="s">
        <v>1349</v>
      </c>
      <c r="D2022" s="2" t="s">
        <v>1349</v>
      </c>
      <c r="E2022" s="3">
        <v>16500</v>
      </c>
      <c r="F2022" s="3">
        <v>0</v>
      </c>
      <c r="G2022" s="2" t="s">
        <v>196</v>
      </c>
      <c r="H2022" s="2" t="s">
        <v>2783</v>
      </c>
      <c r="I2022" s="2" t="s">
        <v>238</v>
      </c>
    </row>
    <row r="2023" spans="1:9" ht="16" x14ac:dyDescent="0.8">
      <c r="A2023" s="2" t="s">
        <v>2782</v>
      </c>
      <c r="B2023" s="2" t="s">
        <v>1344</v>
      </c>
      <c r="C2023" s="2" t="s">
        <v>1345</v>
      </c>
      <c r="D2023" s="2" t="s">
        <v>1345</v>
      </c>
      <c r="E2023" s="3">
        <v>15000</v>
      </c>
      <c r="F2023" s="3">
        <v>0</v>
      </c>
      <c r="G2023" s="2" t="s">
        <v>196</v>
      </c>
      <c r="H2023" s="2" t="s">
        <v>2783</v>
      </c>
      <c r="I2023" s="2" t="s">
        <v>238</v>
      </c>
    </row>
    <row r="2024" spans="1:9" ht="16" x14ac:dyDescent="0.8">
      <c r="A2024" s="2" t="s">
        <v>2784</v>
      </c>
      <c r="B2024" s="2" t="s">
        <v>334</v>
      </c>
      <c r="C2024" s="2" t="s">
        <v>335</v>
      </c>
      <c r="D2024" s="2" t="s">
        <v>335</v>
      </c>
      <c r="E2024" s="3">
        <v>23280</v>
      </c>
      <c r="F2024" s="3">
        <v>23280</v>
      </c>
      <c r="G2024" s="2" t="s">
        <v>11</v>
      </c>
      <c r="H2024" s="2" t="s">
        <v>2783</v>
      </c>
      <c r="I2024" s="2" t="s">
        <v>201</v>
      </c>
    </row>
    <row r="2025" spans="1:9" ht="16" x14ac:dyDescent="0.8">
      <c r="A2025" s="2" t="s">
        <v>2785</v>
      </c>
      <c r="B2025" s="2" t="s">
        <v>977</v>
      </c>
      <c r="C2025" s="2" t="s">
        <v>978</v>
      </c>
      <c r="D2025" s="2" t="s">
        <v>978</v>
      </c>
      <c r="E2025" s="3">
        <v>76704</v>
      </c>
      <c r="F2025" s="3">
        <v>0</v>
      </c>
      <c r="G2025" s="2" t="s">
        <v>196</v>
      </c>
      <c r="H2025" s="2" t="s">
        <v>2783</v>
      </c>
      <c r="I2025" s="2" t="s">
        <v>407</v>
      </c>
    </row>
    <row r="2026" spans="1:9" ht="16" x14ac:dyDescent="0.8">
      <c r="A2026" s="2" t="s">
        <v>2789</v>
      </c>
      <c r="B2026" s="2" t="s">
        <v>2790</v>
      </c>
      <c r="C2026" s="2" t="s">
        <v>2791</v>
      </c>
      <c r="D2026" s="2" t="s">
        <v>2791</v>
      </c>
      <c r="E2026" s="3">
        <v>48660</v>
      </c>
      <c r="F2026" s="3">
        <v>48660</v>
      </c>
      <c r="G2026" s="2" t="s">
        <v>11</v>
      </c>
      <c r="H2026" s="2" t="s">
        <v>2763</v>
      </c>
      <c r="I2026" s="2" t="s">
        <v>238</v>
      </c>
    </row>
    <row r="2027" spans="1:9" ht="16" x14ac:dyDescent="0.8">
      <c r="A2027" s="2" t="s">
        <v>2789</v>
      </c>
      <c r="B2027" s="2" t="s">
        <v>2792</v>
      </c>
      <c r="C2027" s="2" t="s">
        <v>770</v>
      </c>
      <c r="D2027" s="2" t="s">
        <v>770</v>
      </c>
      <c r="E2027" s="3">
        <v>43140</v>
      </c>
      <c r="F2027" s="3">
        <v>43140</v>
      </c>
      <c r="G2027" s="2" t="s">
        <v>11</v>
      </c>
      <c r="H2027" s="2" t="s">
        <v>2763</v>
      </c>
      <c r="I2027" s="2" t="s">
        <v>238</v>
      </c>
    </row>
    <row r="2028" spans="1:9" ht="16" x14ac:dyDescent="0.8">
      <c r="A2028" s="2" t="s">
        <v>2789</v>
      </c>
      <c r="B2028" s="2" t="s">
        <v>2793</v>
      </c>
      <c r="C2028" s="2" t="s">
        <v>2794</v>
      </c>
      <c r="D2028" s="2" t="s">
        <v>2794</v>
      </c>
      <c r="E2028" s="3">
        <v>30600</v>
      </c>
      <c r="F2028" s="3">
        <v>30600</v>
      </c>
      <c r="G2028" s="2" t="s">
        <v>11</v>
      </c>
      <c r="H2028" s="2" t="s">
        <v>2763</v>
      </c>
      <c r="I2028" s="2" t="s">
        <v>238</v>
      </c>
    </row>
    <row r="2029" spans="1:9" ht="16" x14ac:dyDescent="0.8">
      <c r="A2029" s="2" t="s">
        <v>2789</v>
      </c>
      <c r="B2029" s="2" t="s">
        <v>2795</v>
      </c>
      <c r="C2029" s="2" t="s">
        <v>680</v>
      </c>
      <c r="D2029" s="2" t="s">
        <v>680</v>
      </c>
      <c r="E2029" s="3">
        <v>19480</v>
      </c>
      <c r="F2029" s="3">
        <v>19480</v>
      </c>
      <c r="G2029" s="2" t="s">
        <v>11</v>
      </c>
      <c r="H2029" s="2" t="s">
        <v>2763</v>
      </c>
      <c r="I2029" s="2" t="s">
        <v>238</v>
      </c>
    </row>
    <row r="2030" spans="1:9" ht="16" x14ac:dyDescent="0.8">
      <c r="A2030" s="2" t="s">
        <v>2789</v>
      </c>
      <c r="B2030" s="2" t="s">
        <v>2796</v>
      </c>
      <c r="C2030" s="2" t="s">
        <v>1513</v>
      </c>
      <c r="D2030" s="2" t="s">
        <v>1513</v>
      </c>
      <c r="E2030" s="3">
        <v>43120</v>
      </c>
      <c r="F2030" s="3">
        <v>43120</v>
      </c>
      <c r="G2030" s="2" t="s">
        <v>11</v>
      </c>
      <c r="H2030" s="2" t="s">
        <v>2763</v>
      </c>
      <c r="I2030" s="2" t="s">
        <v>238</v>
      </c>
    </row>
    <row r="2031" spans="1:9" ht="16" x14ac:dyDescent="0.8">
      <c r="A2031" s="2" t="s">
        <v>2789</v>
      </c>
      <c r="B2031" s="2" t="s">
        <v>2797</v>
      </c>
      <c r="C2031" s="2" t="s">
        <v>1515</v>
      </c>
      <c r="D2031" s="2" t="s">
        <v>1515</v>
      </c>
      <c r="E2031" s="3">
        <v>41720</v>
      </c>
      <c r="F2031" s="3">
        <v>41720</v>
      </c>
      <c r="G2031" s="2" t="s">
        <v>11</v>
      </c>
      <c r="H2031" s="2" t="s">
        <v>2763</v>
      </c>
      <c r="I2031" s="2" t="s">
        <v>238</v>
      </c>
    </row>
    <row r="2032" spans="1:9" ht="16" x14ac:dyDescent="0.8">
      <c r="A2032" s="2" t="s">
        <v>2789</v>
      </c>
      <c r="B2032" s="2" t="s">
        <v>2798</v>
      </c>
      <c r="C2032" s="2" t="s">
        <v>2799</v>
      </c>
      <c r="D2032" s="2" t="s">
        <v>2799</v>
      </c>
      <c r="E2032" s="3">
        <v>14610</v>
      </c>
      <c r="F2032" s="3">
        <v>14610</v>
      </c>
      <c r="G2032" s="2" t="s">
        <v>11</v>
      </c>
      <c r="H2032" s="2" t="s">
        <v>2763</v>
      </c>
      <c r="I2032" s="2" t="s">
        <v>238</v>
      </c>
    </row>
    <row r="2033" spans="1:9" ht="16" x14ac:dyDescent="0.8">
      <c r="A2033" s="2" t="s">
        <v>2789</v>
      </c>
      <c r="B2033" s="2" t="s">
        <v>684</v>
      </c>
      <c r="C2033" s="2" t="s">
        <v>685</v>
      </c>
      <c r="D2033" s="2" t="s">
        <v>685</v>
      </c>
      <c r="E2033" s="3">
        <v>14100</v>
      </c>
      <c r="F2033" s="3">
        <v>14100</v>
      </c>
      <c r="G2033" s="2" t="s">
        <v>11</v>
      </c>
      <c r="H2033" s="2" t="s">
        <v>2763</v>
      </c>
      <c r="I2033" s="2" t="s">
        <v>238</v>
      </c>
    </row>
    <row r="2034" spans="1:9" ht="16" x14ac:dyDescent="0.8">
      <c r="A2034" s="2" t="s">
        <v>2800</v>
      </c>
      <c r="B2034" s="2" t="s">
        <v>2172</v>
      </c>
      <c r="C2034" s="2" t="s">
        <v>2173</v>
      </c>
      <c r="D2034" s="2" t="s">
        <v>2173</v>
      </c>
      <c r="E2034" s="3">
        <v>3112</v>
      </c>
      <c r="F2034" s="3">
        <v>3112</v>
      </c>
      <c r="G2034" s="2" t="s">
        <v>11</v>
      </c>
      <c r="H2034" s="2" t="s">
        <v>2780</v>
      </c>
      <c r="I2034" s="2" t="s">
        <v>256</v>
      </c>
    </row>
    <row r="2035" spans="1:9" ht="16" x14ac:dyDescent="0.8">
      <c r="A2035" s="2" t="s">
        <v>2801</v>
      </c>
      <c r="B2035" s="2" t="s">
        <v>1044</v>
      </c>
      <c r="C2035" s="2" t="s">
        <v>1045</v>
      </c>
      <c r="D2035" s="2" t="s">
        <v>1045</v>
      </c>
      <c r="E2035" s="3">
        <v>2004</v>
      </c>
      <c r="F2035" s="3">
        <v>0</v>
      </c>
      <c r="G2035" s="2" t="s">
        <v>196</v>
      </c>
      <c r="H2035" s="2" t="s">
        <v>2780</v>
      </c>
      <c r="I2035" s="2" t="s">
        <v>1353</v>
      </c>
    </row>
    <row r="2036" spans="1:9" ht="16" x14ac:dyDescent="0.8">
      <c r="A2036" s="2" t="s">
        <v>2802</v>
      </c>
      <c r="B2036" s="2" t="s">
        <v>764</v>
      </c>
      <c r="C2036" s="2" t="s">
        <v>765</v>
      </c>
      <c r="D2036" s="2" t="s">
        <v>765</v>
      </c>
      <c r="E2036" s="3">
        <v>3500</v>
      </c>
      <c r="F2036" s="3">
        <v>3500</v>
      </c>
      <c r="G2036" s="2" t="s">
        <v>11</v>
      </c>
      <c r="H2036" s="2" t="s">
        <v>2780</v>
      </c>
      <c r="I2036" s="2" t="s">
        <v>1353</v>
      </c>
    </row>
    <row r="2037" spans="1:9" ht="16" x14ac:dyDescent="0.8">
      <c r="A2037" s="2" t="s">
        <v>2803</v>
      </c>
      <c r="B2037" s="2" t="s">
        <v>764</v>
      </c>
      <c r="C2037" s="2" t="s">
        <v>765</v>
      </c>
      <c r="D2037" s="2" t="s">
        <v>765</v>
      </c>
      <c r="E2037" s="3">
        <v>3752</v>
      </c>
      <c r="F2037" s="3">
        <v>0</v>
      </c>
      <c r="G2037" s="2" t="s">
        <v>196</v>
      </c>
      <c r="H2037" s="2" t="s">
        <v>2703</v>
      </c>
      <c r="I2037" s="2" t="s">
        <v>1353</v>
      </c>
    </row>
    <row r="2038" spans="1:9" ht="16" x14ac:dyDescent="0.8">
      <c r="A2038" s="2" t="s">
        <v>2804</v>
      </c>
      <c r="B2038" s="2" t="s">
        <v>2805</v>
      </c>
      <c r="C2038" s="2" t="s">
        <v>2806</v>
      </c>
      <c r="D2038" s="2" t="s">
        <v>2806</v>
      </c>
      <c r="E2038" s="3">
        <v>7098</v>
      </c>
      <c r="F2038" s="3">
        <v>0</v>
      </c>
      <c r="G2038" s="2" t="s">
        <v>196</v>
      </c>
      <c r="H2038" s="2" t="s">
        <v>2703</v>
      </c>
      <c r="I2038" s="2" t="s">
        <v>256</v>
      </c>
    </row>
    <row r="2039" spans="1:9" ht="16" x14ac:dyDescent="0.8">
      <c r="A2039" s="2" t="s">
        <v>2808</v>
      </c>
      <c r="B2039" s="2" t="s">
        <v>1759</v>
      </c>
      <c r="C2039" s="2" t="s">
        <v>1760</v>
      </c>
      <c r="D2039" s="2" t="s">
        <v>1760</v>
      </c>
      <c r="E2039" s="3">
        <v>35856</v>
      </c>
      <c r="F2039" s="3">
        <v>0</v>
      </c>
      <c r="G2039" s="2" t="s">
        <v>196</v>
      </c>
      <c r="H2039" s="2" t="s">
        <v>2703</v>
      </c>
      <c r="I2039" s="2" t="s">
        <v>390</v>
      </c>
    </row>
    <row r="2040" spans="1:9" ht="16" x14ac:dyDescent="0.8">
      <c r="A2040" s="2" t="s">
        <v>2808</v>
      </c>
      <c r="B2040" s="2" t="s">
        <v>1761</v>
      </c>
      <c r="C2040" s="2" t="s">
        <v>854</v>
      </c>
      <c r="D2040" s="2" t="s">
        <v>854</v>
      </c>
      <c r="E2040" s="3">
        <v>72774</v>
      </c>
      <c r="F2040" s="3">
        <v>0</v>
      </c>
      <c r="G2040" s="2" t="s">
        <v>196</v>
      </c>
      <c r="H2040" s="2" t="s">
        <v>2703</v>
      </c>
      <c r="I2040" s="2" t="s">
        <v>390</v>
      </c>
    </row>
    <row r="2041" spans="1:9" ht="16" x14ac:dyDescent="0.8">
      <c r="A2041" s="2" t="s">
        <v>2808</v>
      </c>
      <c r="B2041" s="2" t="s">
        <v>1762</v>
      </c>
      <c r="C2041" s="2" t="s">
        <v>856</v>
      </c>
      <c r="D2041" s="2" t="s">
        <v>856</v>
      </c>
      <c r="E2041" s="3">
        <v>63150</v>
      </c>
      <c r="F2041" s="3">
        <v>0</v>
      </c>
      <c r="G2041" s="2" t="s">
        <v>196</v>
      </c>
      <c r="H2041" s="2" t="s">
        <v>2703</v>
      </c>
      <c r="I2041" s="2" t="s">
        <v>390</v>
      </c>
    </row>
    <row r="2042" spans="1:9" ht="16" x14ac:dyDescent="0.8">
      <c r="A2042" s="2" t="s">
        <v>2808</v>
      </c>
      <c r="B2042" s="2" t="s">
        <v>2108</v>
      </c>
      <c r="C2042" s="2" t="s">
        <v>858</v>
      </c>
      <c r="D2042" s="2" t="s">
        <v>858</v>
      </c>
      <c r="E2042" s="3">
        <v>58860</v>
      </c>
      <c r="F2042" s="3">
        <v>0</v>
      </c>
      <c r="G2042" s="2" t="s">
        <v>196</v>
      </c>
      <c r="H2042" s="2" t="s">
        <v>2703</v>
      </c>
      <c r="I2042" s="2" t="s">
        <v>390</v>
      </c>
    </row>
    <row r="2043" spans="1:9" ht="16" x14ac:dyDescent="0.8">
      <c r="A2043" s="2" t="s">
        <v>2809</v>
      </c>
      <c r="B2043" s="2" t="s">
        <v>339</v>
      </c>
      <c r="C2043" s="2" t="s">
        <v>340</v>
      </c>
      <c r="D2043" s="2" t="s">
        <v>340</v>
      </c>
      <c r="E2043" s="3">
        <v>1244</v>
      </c>
      <c r="F2043" s="3">
        <v>1244</v>
      </c>
      <c r="G2043" s="2" t="s">
        <v>11</v>
      </c>
      <c r="H2043" s="2" t="s">
        <v>2703</v>
      </c>
      <c r="I2043" s="2" t="s">
        <v>437</v>
      </c>
    </row>
    <row r="2044" spans="1:9" ht="16" x14ac:dyDescent="0.8">
      <c r="A2044" s="2" t="s">
        <v>2812</v>
      </c>
      <c r="B2044" s="2" t="s">
        <v>2790</v>
      </c>
      <c r="C2044" s="2" t="s">
        <v>2791</v>
      </c>
      <c r="D2044" s="2" t="s">
        <v>2791</v>
      </c>
      <c r="E2044" s="3">
        <v>37320</v>
      </c>
      <c r="F2044" s="3">
        <v>0</v>
      </c>
      <c r="G2044" s="2" t="s">
        <v>196</v>
      </c>
      <c r="H2044" s="2" t="s">
        <v>2781</v>
      </c>
      <c r="I2044" s="2" t="s">
        <v>238</v>
      </c>
    </row>
    <row r="2045" spans="1:9" ht="16" x14ac:dyDescent="0.8">
      <c r="A2045" s="2" t="s">
        <v>2812</v>
      </c>
      <c r="B2045" s="2" t="s">
        <v>2792</v>
      </c>
      <c r="C2045" s="2" t="s">
        <v>770</v>
      </c>
      <c r="D2045" s="2" t="s">
        <v>770</v>
      </c>
      <c r="E2045" s="3">
        <v>33000</v>
      </c>
      <c r="F2045" s="3">
        <v>0</v>
      </c>
      <c r="G2045" s="2" t="s">
        <v>196</v>
      </c>
      <c r="H2045" s="2" t="s">
        <v>2781</v>
      </c>
      <c r="I2045" s="2" t="s">
        <v>238</v>
      </c>
    </row>
    <row r="2046" spans="1:9" ht="16" x14ac:dyDescent="0.8">
      <c r="A2046" s="2" t="s">
        <v>2812</v>
      </c>
      <c r="B2046" s="2" t="s">
        <v>2793</v>
      </c>
      <c r="C2046" s="2" t="s">
        <v>2794</v>
      </c>
      <c r="D2046" s="2" t="s">
        <v>2794</v>
      </c>
      <c r="E2046" s="3">
        <v>25020</v>
      </c>
      <c r="F2046" s="3">
        <v>0</v>
      </c>
      <c r="G2046" s="2" t="s">
        <v>196</v>
      </c>
      <c r="H2046" s="2" t="s">
        <v>2781</v>
      </c>
      <c r="I2046" s="2" t="s">
        <v>238</v>
      </c>
    </row>
    <row r="2047" spans="1:9" ht="16" x14ac:dyDescent="0.8">
      <c r="A2047" s="2" t="s">
        <v>2812</v>
      </c>
      <c r="B2047" s="2" t="s">
        <v>2795</v>
      </c>
      <c r="C2047" s="2" t="s">
        <v>680</v>
      </c>
      <c r="D2047" s="2" t="s">
        <v>680</v>
      </c>
      <c r="E2047" s="3">
        <v>16000</v>
      </c>
      <c r="F2047" s="3">
        <v>0</v>
      </c>
      <c r="G2047" s="2" t="s">
        <v>196</v>
      </c>
      <c r="H2047" s="2" t="s">
        <v>2781</v>
      </c>
      <c r="I2047" s="2" t="s">
        <v>238</v>
      </c>
    </row>
    <row r="2048" spans="1:9" ht="16" x14ac:dyDescent="0.8">
      <c r="A2048" s="2" t="s">
        <v>2812</v>
      </c>
      <c r="B2048" s="2" t="s">
        <v>2796</v>
      </c>
      <c r="C2048" s="2" t="s">
        <v>1513</v>
      </c>
      <c r="D2048" s="2" t="s">
        <v>1513</v>
      </c>
      <c r="E2048" s="3">
        <v>33000</v>
      </c>
      <c r="F2048" s="3">
        <v>0</v>
      </c>
      <c r="G2048" s="2" t="s">
        <v>196</v>
      </c>
      <c r="H2048" s="2" t="s">
        <v>2781</v>
      </c>
      <c r="I2048" s="2" t="s">
        <v>238</v>
      </c>
    </row>
    <row r="2049" spans="1:9" ht="16" x14ac:dyDescent="0.8">
      <c r="A2049" s="2" t="s">
        <v>2812</v>
      </c>
      <c r="B2049" s="2" t="s">
        <v>2797</v>
      </c>
      <c r="C2049" s="2" t="s">
        <v>1515</v>
      </c>
      <c r="D2049" s="2" t="s">
        <v>1515</v>
      </c>
      <c r="E2049" s="3">
        <v>32000</v>
      </c>
      <c r="F2049" s="3">
        <v>0</v>
      </c>
      <c r="G2049" s="2" t="s">
        <v>196</v>
      </c>
      <c r="H2049" s="2" t="s">
        <v>2781</v>
      </c>
      <c r="I2049" s="2" t="s">
        <v>238</v>
      </c>
    </row>
    <row r="2050" spans="1:9" ht="16" x14ac:dyDescent="0.8">
      <c r="A2050" s="2" t="s">
        <v>2812</v>
      </c>
      <c r="B2050" s="2" t="s">
        <v>2798</v>
      </c>
      <c r="C2050" s="2" t="s">
        <v>2799</v>
      </c>
      <c r="D2050" s="2" t="s">
        <v>2799</v>
      </c>
      <c r="E2050" s="3">
        <v>3300</v>
      </c>
      <c r="F2050" s="3">
        <v>0</v>
      </c>
      <c r="G2050" s="2" t="s">
        <v>196</v>
      </c>
      <c r="H2050" s="2" t="s">
        <v>2781</v>
      </c>
      <c r="I2050" s="2" t="s">
        <v>238</v>
      </c>
    </row>
    <row r="2051" spans="1:9" ht="16" x14ac:dyDescent="0.8">
      <c r="A2051" s="2" t="s">
        <v>2812</v>
      </c>
      <c r="B2051" s="2" t="s">
        <v>684</v>
      </c>
      <c r="C2051" s="2" t="s">
        <v>685</v>
      </c>
      <c r="D2051" s="2" t="s">
        <v>685</v>
      </c>
      <c r="E2051" s="3">
        <v>6300</v>
      </c>
      <c r="F2051" s="3">
        <v>0</v>
      </c>
      <c r="G2051" s="2" t="s">
        <v>196</v>
      </c>
      <c r="H2051" s="2" t="s">
        <v>2781</v>
      </c>
      <c r="I2051" s="2" t="s">
        <v>238</v>
      </c>
    </row>
    <row r="2052" spans="1:9" ht="16" x14ac:dyDescent="0.8">
      <c r="A2052" s="2" t="s">
        <v>2813</v>
      </c>
      <c r="B2052" s="2" t="s">
        <v>2790</v>
      </c>
      <c r="C2052" s="2" t="s">
        <v>2791</v>
      </c>
      <c r="D2052" s="2" t="s">
        <v>2791</v>
      </c>
      <c r="E2052" s="3">
        <v>19020</v>
      </c>
      <c r="F2052" s="3">
        <v>0</v>
      </c>
      <c r="G2052" s="2" t="s">
        <v>196</v>
      </c>
      <c r="H2052" s="2" t="s">
        <v>2781</v>
      </c>
      <c r="I2052" s="2" t="s">
        <v>238</v>
      </c>
    </row>
    <row r="2053" spans="1:9" ht="16" x14ac:dyDescent="0.8">
      <c r="A2053" s="2" t="s">
        <v>2813</v>
      </c>
      <c r="B2053" s="2" t="s">
        <v>2792</v>
      </c>
      <c r="C2053" s="2" t="s">
        <v>770</v>
      </c>
      <c r="D2053" s="2" t="s">
        <v>770</v>
      </c>
      <c r="E2053" s="3">
        <v>17040</v>
      </c>
      <c r="F2053" s="3">
        <v>0</v>
      </c>
      <c r="G2053" s="2" t="s">
        <v>196</v>
      </c>
      <c r="H2053" s="2" t="s">
        <v>2781</v>
      </c>
      <c r="I2053" s="2" t="s">
        <v>238</v>
      </c>
    </row>
    <row r="2054" spans="1:9" ht="16" x14ac:dyDescent="0.8">
      <c r="A2054" s="2" t="s">
        <v>2813</v>
      </c>
      <c r="B2054" s="2" t="s">
        <v>2793</v>
      </c>
      <c r="C2054" s="2" t="s">
        <v>2794</v>
      </c>
      <c r="D2054" s="2" t="s">
        <v>2794</v>
      </c>
      <c r="E2054" s="3">
        <v>12540</v>
      </c>
      <c r="F2054" s="3">
        <v>0</v>
      </c>
      <c r="G2054" s="2" t="s">
        <v>196</v>
      </c>
      <c r="H2054" s="2" t="s">
        <v>2781</v>
      </c>
      <c r="I2054" s="2" t="s">
        <v>238</v>
      </c>
    </row>
    <row r="2055" spans="1:9" ht="16" x14ac:dyDescent="0.8">
      <c r="A2055" s="2" t="s">
        <v>2813</v>
      </c>
      <c r="B2055" s="2" t="s">
        <v>2795</v>
      </c>
      <c r="C2055" s="2" t="s">
        <v>680</v>
      </c>
      <c r="D2055" s="2" t="s">
        <v>680</v>
      </c>
      <c r="E2055" s="3">
        <v>8000</v>
      </c>
      <c r="F2055" s="3">
        <v>0</v>
      </c>
      <c r="G2055" s="2" t="s">
        <v>196</v>
      </c>
      <c r="H2055" s="2" t="s">
        <v>2781</v>
      </c>
      <c r="I2055" s="2" t="s">
        <v>238</v>
      </c>
    </row>
    <row r="2056" spans="1:9" ht="16" x14ac:dyDescent="0.8">
      <c r="A2056" s="2" t="s">
        <v>2813</v>
      </c>
      <c r="B2056" s="2" t="s">
        <v>2796</v>
      </c>
      <c r="C2056" s="2" t="s">
        <v>1513</v>
      </c>
      <c r="D2056" s="2" t="s">
        <v>1513</v>
      </c>
      <c r="E2056" s="3">
        <v>17000</v>
      </c>
      <c r="F2056" s="3">
        <v>0</v>
      </c>
      <c r="G2056" s="2" t="s">
        <v>196</v>
      </c>
      <c r="H2056" s="2" t="s">
        <v>2781</v>
      </c>
      <c r="I2056" s="2" t="s">
        <v>238</v>
      </c>
    </row>
    <row r="2057" spans="1:9" ht="16" x14ac:dyDescent="0.8">
      <c r="A2057" s="2" t="s">
        <v>2813</v>
      </c>
      <c r="B2057" s="2" t="s">
        <v>2797</v>
      </c>
      <c r="C2057" s="2" t="s">
        <v>1515</v>
      </c>
      <c r="D2057" s="2" t="s">
        <v>1515</v>
      </c>
      <c r="E2057" s="3">
        <v>16000</v>
      </c>
      <c r="F2057" s="3">
        <v>0</v>
      </c>
      <c r="G2057" s="2" t="s">
        <v>196</v>
      </c>
      <c r="H2057" s="2" t="s">
        <v>2781</v>
      </c>
      <c r="I2057" s="2" t="s">
        <v>238</v>
      </c>
    </row>
    <row r="2058" spans="1:9" ht="16" x14ac:dyDescent="0.8">
      <c r="A2058" s="2" t="s">
        <v>2813</v>
      </c>
      <c r="B2058" s="2" t="s">
        <v>2798</v>
      </c>
      <c r="C2058" s="2" t="s">
        <v>2799</v>
      </c>
      <c r="D2058" s="2" t="s">
        <v>2799</v>
      </c>
      <c r="E2058" s="3">
        <v>5670</v>
      </c>
      <c r="F2058" s="3">
        <v>0</v>
      </c>
      <c r="G2058" s="2" t="s">
        <v>196</v>
      </c>
      <c r="H2058" s="2" t="s">
        <v>2781</v>
      </c>
      <c r="I2058" s="2" t="s">
        <v>238</v>
      </c>
    </row>
    <row r="2059" spans="1:9" ht="16" x14ac:dyDescent="0.8">
      <c r="A2059" s="2" t="s">
        <v>2813</v>
      </c>
      <c r="B2059" s="2" t="s">
        <v>684</v>
      </c>
      <c r="C2059" s="2" t="s">
        <v>685</v>
      </c>
      <c r="D2059" s="2" t="s">
        <v>685</v>
      </c>
      <c r="E2059" s="3">
        <v>6700</v>
      </c>
      <c r="F2059" s="3">
        <v>0</v>
      </c>
      <c r="G2059" s="2" t="s">
        <v>196</v>
      </c>
      <c r="H2059" s="2" t="s">
        <v>2781</v>
      </c>
      <c r="I2059" s="2" t="s">
        <v>238</v>
      </c>
    </row>
    <row r="2060" spans="1:9" ht="16" x14ac:dyDescent="0.8">
      <c r="A2060" s="2" t="s">
        <v>2814</v>
      </c>
      <c r="B2060" s="2" t="s">
        <v>2790</v>
      </c>
      <c r="C2060" s="2" t="s">
        <v>2791</v>
      </c>
      <c r="D2060" s="2" t="s">
        <v>2791</v>
      </c>
      <c r="E2060" s="3">
        <v>12900</v>
      </c>
      <c r="F2060" s="3">
        <v>0</v>
      </c>
      <c r="G2060" s="2" t="s">
        <v>196</v>
      </c>
      <c r="H2060" s="2" t="s">
        <v>2781</v>
      </c>
      <c r="I2060" s="2" t="s">
        <v>238</v>
      </c>
    </row>
    <row r="2061" spans="1:9" ht="16" x14ac:dyDescent="0.8">
      <c r="A2061" s="2" t="s">
        <v>2814</v>
      </c>
      <c r="B2061" s="2" t="s">
        <v>2792</v>
      </c>
      <c r="C2061" s="2" t="s">
        <v>770</v>
      </c>
      <c r="D2061" s="2" t="s">
        <v>770</v>
      </c>
      <c r="E2061" s="3">
        <v>11280</v>
      </c>
      <c r="F2061" s="3">
        <v>0</v>
      </c>
      <c r="G2061" s="2" t="s">
        <v>196</v>
      </c>
      <c r="H2061" s="2" t="s">
        <v>2781</v>
      </c>
      <c r="I2061" s="2" t="s">
        <v>238</v>
      </c>
    </row>
    <row r="2062" spans="1:9" ht="16" x14ac:dyDescent="0.8">
      <c r="A2062" s="2" t="s">
        <v>2814</v>
      </c>
      <c r="B2062" s="2" t="s">
        <v>2793</v>
      </c>
      <c r="C2062" s="2" t="s">
        <v>2794</v>
      </c>
      <c r="D2062" s="2" t="s">
        <v>2794</v>
      </c>
      <c r="E2062" s="3">
        <v>6000</v>
      </c>
      <c r="F2062" s="3">
        <v>0</v>
      </c>
      <c r="G2062" s="2" t="s">
        <v>196</v>
      </c>
      <c r="H2062" s="2" t="s">
        <v>2781</v>
      </c>
      <c r="I2062" s="2" t="s">
        <v>238</v>
      </c>
    </row>
    <row r="2063" spans="1:9" ht="16" x14ac:dyDescent="0.8">
      <c r="A2063" s="2" t="s">
        <v>2814</v>
      </c>
      <c r="B2063" s="2" t="s">
        <v>2795</v>
      </c>
      <c r="C2063" s="2" t="s">
        <v>680</v>
      </c>
      <c r="D2063" s="2" t="s">
        <v>680</v>
      </c>
      <c r="E2063" s="3">
        <v>3680</v>
      </c>
      <c r="F2063" s="3">
        <v>0</v>
      </c>
      <c r="G2063" s="2" t="s">
        <v>196</v>
      </c>
      <c r="H2063" s="2" t="s">
        <v>2781</v>
      </c>
      <c r="I2063" s="2" t="s">
        <v>238</v>
      </c>
    </row>
    <row r="2064" spans="1:9" ht="16" x14ac:dyDescent="0.8">
      <c r="A2064" s="2" t="s">
        <v>2814</v>
      </c>
      <c r="B2064" s="2" t="s">
        <v>2796</v>
      </c>
      <c r="C2064" s="2" t="s">
        <v>1513</v>
      </c>
      <c r="D2064" s="2" t="s">
        <v>1513</v>
      </c>
      <c r="E2064" s="3">
        <v>11280</v>
      </c>
      <c r="F2064" s="3">
        <v>0</v>
      </c>
      <c r="G2064" s="2" t="s">
        <v>196</v>
      </c>
      <c r="H2064" s="2" t="s">
        <v>2781</v>
      </c>
      <c r="I2064" s="2" t="s">
        <v>238</v>
      </c>
    </row>
    <row r="2065" spans="1:9" ht="16" x14ac:dyDescent="0.8">
      <c r="A2065" s="2" t="s">
        <v>2814</v>
      </c>
      <c r="B2065" s="2" t="s">
        <v>2797</v>
      </c>
      <c r="C2065" s="2" t="s">
        <v>1515</v>
      </c>
      <c r="D2065" s="2" t="s">
        <v>1515</v>
      </c>
      <c r="E2065" s="3">
        <v>11280</v>
      </c>
      <c r="F2065" s="3">
        <v>0</v>
      </c>
      <c r="G2065" s="2" t="s">
        <v>196</v>
      </c>
      <c r="H2065" s="2" t="s">
        <v>2781</v>
      </c>
      <c r="I2065" s="2" t="s">
        <v>238</v>
      </c>
    </row>
    <row r="2066" spans="1:9" ht="16" x14ac:dyDescent="0.8">
      <c r="A2066" s="2" t="s">
        <v>2815</v>
      </c>
      <c r="B2066" s="2" t="s">
        <v>1445</v>
      </c>
      <c r="C2066" s="2" t="s">
        <v>1446</v>
      </c>
      <c r="D2066" s="2" t="s">
        <v>1446</v>
      </c>
      <c r="E2066" s="3">
        <v>19206</v>
      </c>
      <c r="F2066" s="3">
        <v>0</v>
      </c>
      <c r="G2066" s="2" t="s">
        <v>196</v>
      </c>
      <c r="H2066" s="2" t="s">
        <v>2786</v>
      </c>
      <c r="I2066" s="2" t="s">
        <v>1444</v>
      </c>
    </row>
    <row r="2067" spans="1:9" ht="16" x14ac:dyDescent="0.8">
      <c r="A2067" s="2" t="s">
        <v>2815</v>
      </c>
      <c r="B2067" s="2" t="s">
        <v>1443</v>
      </c>
      <c r="C2067" s="2" t="s">
        <v>1425</v>
      </c>
      <c r="D2067" s="2" t="s">
        <v>1425</v>
      </c>
      <c r="E2067" s="3">
        <v>4158</v>
      </c>
      <c r="F2067" s="3">
        <v>0</v>
      </c>
      <c r="G2067" s="2" t="s">
        <v>196</v>
      </c>
      <c r="H2067" s="2" t="s">
        <v>2786</v>
      </c>
      <c r="I2067" s="2" t="s">
        <v>1444</v>
      </c>
    </row>
    <row r="2068" spans="1:9" ht="16" x14ac:dyDescent="0.8">
      <c r="A2068" s="2" t="s">
        <v>2815</v>
      </c>
      <c r="B2068" s="2" t="s">
        <v>1447</v>
      </c>
      <c r="C2068" s="2" t="s">
        <v>1448</v>
      </c>
      <c r="D2068" s="2" t="s">
        <v>1448</v>
      </c>
      <c r="E2068" s="3">
        <v>6456</v>
      </c>
      <c r="F2068" s="3">
        <v>0</v>
      </c>
      <c r="G2068" s="2" t="s">
        <v>196</v>
      </c>
      <c r="H2068" s="2" t="s">
        <v>2786</v>
      </c>
      <c r="I2068" s="2" t="s">
        <v>1444</v>
      </c>
    </row>
    <row r="2069" spans="1:9" ht="16" x14ac:dyDescent="0.8">
      <c r="A2069" s="2" t="s">
        <v>2816</v>
      </c>
      <c r="B2069" s="2" t="s">
        <v>1452</v>
      </c>
      <c r="C2069" s="2" t="s">
        <v>1453</v>
      </c>
      <c r="D2069" s="2" t="s">
        <v>1453</v>
      </c>
      <c r="E2069" s="3">
        <v>1980</v>
      </c>
      <c r="F2069" s="3">
        <v>1980</v>
      </c>
      <c r="G2069" s="2" t="s">
        <v>11</v>
      </c>
      <c r="H2069" s="2" t="s">
        <v>2786</v>
      </c>
      <c r="I2069" s="2" t="s">
        <v>23</v>
      </c>
    </row>
    <row r="2070" spans="1:9" ht="16" x14ac:dyDescent="0.8">
      <c r="A2070" s="2" t="s">
        <v>2817</v>
      </c>
      <c r="B2070" s="2" t="s">
        <v>1427</v>
      </c>
      <c r="C2070" s="2" t="s">
        <v>1428</v>
      </c>
      <c r="D2070" s="2" t="s">
        <v>1428</v>
      </c>
      <c r="E2070" s="3">
        <v>2462</v>
      </c>
      <c r="F2070" s="3">
        <v>2462</v>
      </c>
      <c r="G2070" s="2" t="s">
        <v>11</v>
      </c>
      <c r="H2070" s="2" t="s">
        <v>2786</v>
      </c>
      <c r="I2070" s="2" t="s">
        <v>1469</v>
      </c>
    </row>
    <row r="2071" spans="1:9" ht="16" x14ac:dyDescent="0.8">
      <c r="A2071" s="2" t="s">
        <v>2818</v>
      </c>
      <c r="B2071" s="2" t="s">
        <v>972</v>
      </c>
      <c r="C2071" s="2" t="s">
        <v>973</v>
      </c>
      <c r="D2071" s="2" t="s">
        <v>973</v>
      </c>
      <c r="E2071" s="3">
        <v>18648</v>
      </c>
      <c r="F2071" s="3">
        <v>0</v>
      </c>
      <c r="G2071" s="2" t="s">
        <v>196</v>
      </c>
      <c r="H2071" s="2" t="s">
        <v>2787</v>
      </c>
      <c r="I2071" s="2" t="s">
        <v>262</v>
      </c>
    </row>
    <row r="2072" spans="1:9" ht="16" x14ac:dyDescent="0.8">
      <c r="A2072" s="2" t="s">
        <v>2819</v>
      </c>
      <c r="B2072" s="2" t="s">
        <v>985</v>
      </c>
      <c r="C2072" s="2" t="s">
        <v>986</v>
      </c>
      <c r="D2072" s="2" t="s">
        <v>986</v>
      </c>
      <c r="E2072" s="3">
        <v>15972</v>
      </c>
      <c r="F2072" s="3">
        <v>0</v>
      </c>
      <c r="G2072" s="2" t="s">
        <v>196</v>
      </c>
      <c r="H2072" s="2" t="s">
        <v>2787</v>
      </c>
      <c r="I2072" s="2" t="s">
        <v>412</v>
      </c>
    </row>
    <row r="2073" spans="1:9" ht="16" x14ac:dyDescent="0.8">
      <c r="A2073" s="2" t="s">
        <v>2820</v>
      </c>
      <c r="B2073" s="2" t="s">
        <v>2677</v>
      </c>
      <c r="C2073" s="2" t="s">
        <v>536</v>
      </c>
      <c r="D2073" s="2" t="s">
        <v>536</v>
      </c>
      <c r="E2073" s="3">
        <v>35496</v>
      </c>
      <c r="F2073" s="3">
        <v>0</v>
      </c>
      <c r="G2073" s="2" t="s">
        <v>196</v>
      </c>
      <c r="H2073" s="2" t="s">
        <v>2821</v>
      </c>
      <c r="I2073" s="2" t="s">
        <v>534</v>
      </c>
    </row>
    <row r="2074" spans="1:9" ht="16" x14ac:dyDescent="0.8">
      <c r="A2074" s="2" t="s">
        <v>2820</v>
      </c>
      <c r="B2074" s="2" t="s">
        <v>2676</v>
      </c>
      <c r="C2074" s="2" t="s">
        <v>533</v>
      </c>
      <c r="D2074" s="2" t="s">
        <v>533</v>
      </c>
      <c r="E2074" s="3">
        <v>30192</v>
      </c>
      <c r="F2074" s="3">
        <v>0</v>
      </c>
      <c r="G2074" s="2" t="s">
        <v>196</v>
      </c>
      <c r="H2074" s="2" t="s">
        <v>2821</v>
      </c>
      <c r="I2074" s="2" t="s">
        <v>534</v>
      </c>
    </row>
    <row r="2075" spans="1:9" ht="16" x14ac:dyDescent="0.8">
      <c r="A2075" s="2" t="s">
        <v>2822</v>
      </c>
      <c r="B2075" s="2" t="s">
        <v>2679</v>
      </c>
      <c r="C2075" s="2" t="s">
        <v>602</v>
      </c>
      <c r="D2075" s="2" t="s">
        <v>602</v>
      </c>
      <c r="E2075" s="3">
        <v>79040</v>
      </c>
      <c r="F2075" s="3">
        <v>0</v>
      </c>
      <c r="G2075" s="2" t="s">
        <v>196</v>
      </c>
      <c r="H2075" s="2" t="s">
        <v>2821</v>
      </c>
      <c r="I2075" s="2" t="s">
        <v>23</v>
      </c>
    </row>
    <row r="2076" spans="1:9" ht="16" x14ac:dyDescent="0.8">
      <c r="A2076" s="2" t="s">
        <v>2822</v>
      </c>
      <c r="B2076" s="2" t="s">
        <v>2680</v>
      </c>
      <c r="C2076" s="2" t="s">
        <v>607</v>
      </c>
      <c r="D2076" s="2" t="s">
        <v>607</v>
      </c>
      <c r="E2076" s="3">
        <v>17664</v>
      </c>
      <c r="F2076" s="3">
        <v>0</v>
      </c>
      <c r="G2076" s="2" t="s">
        <v>196</v>
      </c>
      <c r="H2076" s="2" t="s">
        <v>2821</v>
      </c>
      <c r="I2076" s="2" t="s">
        <v>23</v>
      </c>
    </row>
    <row r="2077" spans="1:9" ht="16" x14ac:dyDescent="0.8">
      <c r="A2077" s="2" t="s">
        <v>2823</v>
      </c>
      <c r="B2077" s="2" t="s">
        <v>1731</v>
      </c>
      <c r="C2077" s="2" t="s">
        <v>1732</v>
      </c>
      <c r="D2077" s="2" t="s">
        <v>1732</v>
      </c>
      <c r="E2077" s="3">
        <v>1</v>
      </c>
      <c r="F2077" s="3">
        <v>0</v>
      </c>
      <c r="G2077" s="2" t="s">
        <v>11</v>
      </c>
      <c r="H2077" s="2" t="s">
        <v>2821</v>
      </c>
      <c r="I2077" s="2" t="s">
        <v>522</v>
      </c>
    </row>
    <row r="2078" spans="1:9" ht="16" x14ac:dyDescent="0.8">
      <c r="A2078" s="2" t="s">
        <v>2823</v>
      </c>
      <c r="B2078" s="2" t="s">
        <v>1733</v>
      </c>
      <c r="C2078" s="2" t="s">
        <v>1734</v>
      </c>
      <c r="D2078" s="2" t="s">
        <v>1734</v>
      </c>
      <c r="E2078" s="3">
        <v>1</v>
      </c>
      <c r="F2078" s="3">
        <v>0</v>
      </c>
      <c r="G2078" s="2" t="s">
        <v>11</v>
      </c>
      <c r="H2078" s="2" t="s">
        <v>2821</v>
      </c>
      <c r="I2078" s="2" t="s">
        <v>522</v>
      </c>
    </row>
    <row r="2079" spans="1:9" ht="16" x14ac:dyDescent="0.8">
      <c r="A2079" s="2" t="s">
        <v>2823</v>
      </c>
      <c r="B2079" s="2" t="s">
        <v>1735</v>
      </c>
      <c r="C2079" s="2" t="s">
        <v>1736</v>
      </c>
      <c r="D2079" s="2" t="s">
        <v>1736</v>
      </c>
      <c r="E2079" s="3">
        <v>1</v>
      </c>
      <c r="F2079" s="3">
        <v>0</v>
      </c>
      <c r="G2079" s="2" t="s">
        <v>11</v>
      </c>
      <c r="H2079" s="2" t="s">
        <v>2821</v>
      </c>
      <c r="I2079" s="2" t="s">
        <v>522</v>
      </c>
    </row>
    <row r="2080" spans="1:9" ht="16" x14ac:dyDescent="0.8">
      <c r="A2080" s="2" t="s">
        <v>2824</v>
      </c>
      <c r="B2080" s="2" t="s">
        <v>384</v>
      </c>
      <c r="C2080" s="2" t="s">
        <v>385</v>
      </c>
      <c r="D2080" s="2" t="s">
        <v>385</v>
      </c>
      <c r="E2080" s="3">
        <v>1</v>
      </c>
      <c r="F2080" s="3">
        <v>0</v>
      </c>
      <c r="G2080" s="2" t="s">
        <v>11</v>
      </c>
      <c r="H2080" s="2" t="s">
        <v>2821</v>
      </c>
      <c r="I2080" s="2" t="s">
        <v>262</v>
      </c>
    </row>
    <row r="2081" spans="1:9" ht="16" x14ac:dyDescent="0.8">
      <c r="A2081" s="2" t="s">
        <v>2825</v>
      </c>
      <c r="B2081" s="2" t="s">
        <v>2110</v>
      </c>
      <c r="C2081" s="2" t="s">
        <v>2111</v>
      </c>
      <c r="D2081" s="2" t="s">
        <v>2111</v>
      </c>
      <c r="E2081" s="3">
        <v>5260</v>
      </c>
      <c r="F2081" s="3">
        <v>0</v>
      </c>
      <c r="G2081" s="2" t="s">
        <v>196</v>
      </c>
      <c r="H2081" s="2" t="s">
        <v>2821</v>
      </c>
      <c r="I2081" s="2" t="s">
        <v>437</v>
      </c>
    </row>
    <row r="2082" spans="1:9" ht="16" x14ac:dyDescent="0.8">
      <c r="A2082" s="2" t="s">
        <v>2826</v>
      </c>
      <c r="B2082" s="2" t="s">
        <v>2062</v>
      </c>
      <c r="C2082" s="2" t="s">
        <v>2063</v>
      </c>
      <c r="D2082" s="2" t="s">
        <v>2063</v>
      </c>
      <c r="E2082" s="3">
        <v>3948</v>
      </c>
      <c r="F2082" s="3">
        <v>0</v>
      </c>
      <c r="G2082" s="2" t="s">
        <v>196</v>
      </c>
      <c r="H2082" s="2" t="s">
        <v>2821</v>
      </c>
      <c r="I2082" s="2" t="s">
        <v>2064</v>
      </c>
    </row>
    <row r="2083" spans="1:9" ht="16" x14ac:dyDescent="0.8">
      <c r="A2083" s="2" t="s">
        <v>2827</v>
      </c>
      <c r="B2083" s="2" t="s">
        <v>2066</v>
      </c>
      <c r="C2083" s="2" t="s">
        <v>780</v>
      </c>
      <c r="D2083" s="2" t="s">
        <v>780</v>
      </c>
      <c r="E2083" s="3">
        <v>15780</v>
      </c>
      <c r="F2083" s="3">
        <v>0</v>
      </c>
      <c r="G2083" s="2" t="s">
        <v>196</v>
      </c>
      <c r="H2083" s="2" t="s">
        <v>2821</v>
      </c>
      <c r="I2083" s="2" t="s">
        <v>201</v>
      </c>
    </row>
    <row r="2084" spans="1:9" ht="16" x14ac:dyDescent="0.8">
      <c r="A2084" s="2" t="s">
        <v>2827</v>
      </c>
      <c r="B2084" s="2" t="s">
        <v>2067</v>
      </c>
      <c r="C2084" s="2" t="s">
        <v>337</v>
      </c>
      <c r="D2084" s="2" t="s">
        <v>337</v>
      </c>
      <c r="E2084" s="3">
        <v>17094</v>
      </c>
      <c r="F2084" s="3">
        <v>0</v>
      </c>
      <c r="G2084" s="2" t="s">
        <v>196</v>
      </c>
      <c r="H2084" s="2" t="s">
        <v>2821</v>
      </c>
      <c r="I2084" s="2" t="s">
        <v>201</v>
      </c>
    </row>
    <row r="2085" spans="1:9" ht="16" x14ac:dyDescent="0.8">
      <c r="A2085" s="2" t="s">
        <v>2827</v>
      </c>
      <c r="B2085" s="2" t="s">
        <v>2068</v>
      </c>
      <c r="C2085" s="2" t="s">
        <v>241</v>
      </c>
      <c r="D2085" s="2" t="s">
        <v>241</v>
      </c>
      <c r="E2085" s="3">
        <v>7890</v>
      </c>
      <c r="F2085" s="3">
        <v>0</v>
      </c>
      <c r="G2085" s="2" t="s">
        <v>196</v>
      </c>
      <c r="H2085" s="2" t="s">
        <v>2821</v>
      </c>
      <c r="I2085" s="2" t="s">
        <v>201</v>
      </c>
    </row>
    <row r="2086" spans="1:9" ht="16" x14ac:dyDescent="0.8">
      <c r="A2086" s="2" t="s">
        <v>2827</v>
      </c>
      <c r="B2086" s="2" t="s">
        <v>2069</v>
      </c>
      <c r="C2086" s="2" t="s">
        <v>246</v>
      </c>
      <c r="D2086" s="2" t="s">
        <v>246</v>
      </c>
      <c r="E2086" s="3">
        <v>15780</v>
      </c>
      <c r="F2086" s="3">
        <v>0</v>
      </c>
      <c r="G2086" s="2" t="s">
        <v>196</v>
      </c>
      <c r="H2086" s="2" t="s">
        <v>2821</v>
      </c>
      <c r="I2086" s="2" t="s">
        <v>201</v>
      </c>
    </row>
    <row r="2087" spans="1:9" ht="16" x14ac:dyDescent="0.8">
      <c r="A2087" s="2" t="s">
        <v>2827</v>
      </c>
      <c r="B2087" s="2" t="s">
        <v>2070</v>
      </c>
      <c r="C2087" s="2" t="s">
        <v>243</v>
      </c>
      <c r="D2087" s="2" t="s">
        <v>243</v>
      </c>
      <c r="E2087" s="3">
        <v>17094</v>
      </c>
      <c r="F2087" s="3">
        <v>0</v>
      </c>
      <c r="G2087" s="2" t="s">
        <v>196</v>
      </c>
      <c r="H2087" s="2" t="s">
        <v>2821</v>
      </c>
      <c r="I2087" s="2" t="s">
        <v>201</v>
      </c>
    </row>
    <row r="2088" spans="1:9" ht="16" x14ac:dyDescent="0.8">
      <c r="A2088" s="2" t="s">
        <v>2827</v>
      </c>
      <c r="B2088" s="2" t="s">
        <v>2071</v>
      </c>
      <c r="C2088" s="2" t="s">
        <v>244</v>
      </c>
      <c r="D2088" s="2" t="s">
        <v>244</v>
      </c>
      <c r="E2088" s="3">
        <v>32868</v>
      </c>
      <c r="F2088" s="3">
        <v>0</v>
      </c>
      <c r="G2088" s="2" t="s">
        <v>196</v>
      </c>
      <c r="H2088" s="2" t="s">
        <v>2821</v>
      </c>
      <c r="I2088" s="2" t="s">
        <v>201</v>
      </c>
    </row>
    <row r="2089" spans="1:9" ht="16" x14ac:dyDescent="0.8">
      <c r="A2089" s="2" t="s">
        <v>2827</v>
      </c>
      <c r="B2089" s="2" t="s">
        <v>2072</v>
      </c>
      <c r="C2089" s="2" t="s">
        <v>199</v>
      </c>
      <c r="D2089" s="2" t="s">
        <v>199</v>
      </c>
      <c r="E2089" s="3">
        <v>6576</v>
      </c>
      <c r="F2089" s="3">
        <v>0</v>
      </c>
      <c r="G2089" s="2" t="s">
        <v>196</v>
      </c>
      <c r="H2089" s="2" t="s">
        <v>2821</v>
      </c>
      <c r="I2089" s="2" t="s">
        <v>201</v>
      </c>
    </row>
    <row r="2090" spans="1:9" ht="16" x14ac:dyDescent="0.8">
      <c r="A2090" s="2" t="s">
        <v>2827</v>
      </c>
      <c r="B2090" s="2" t="s">
        <v>2073</v>
      </c>
      <c r="C2090" s="2" t="s">
        <v>2074</v>
      </c>
      <c r="D2090" s="2" t="s">
        <v>2074</v>
      </c>
      <c r="E2090" s="3">
        <v>9204</v>
      </c>
      <c r="F2090" s="3">
        <v>0</v>
      </c>
      <c r="G2090" s="2" t="s">
        <v>196</v>
      </c>
      <c r="H2090" s="2" t="s">
        <v>2821</v>
      </c>
      <c r="I2090" s="2" t="s">
        <v>201</v>
      </c>
    </row>
    <row r="2091" spans="1:9" ht="16" x14ac:dyDescent="0.8">
      <c r="A2091" s="2" t="s">
        <v>2828</v>
      </c>
      <c r="B2091" s="2" t="s">
        <v>1964</v>
      </c>
      <c r="C2091" s="2" t="s">
        <v>685</v>
      </c>
      <c r="D2091" s="2" t="s">
        <v>685</v>
      </c>
      <c r="E2091" s="3">
        <v>8700</v>
      </c>
      <c r="F2091" s="3">
        <v>8700</v>
      </c>
      <c r="G2091" s="2" t="s">
        <v>11</v>
      </c>
      <c r="H2091" s="2" t="s">
        <v>2821</v>
      </c>
      <c r="I2091" s="2" t="s">
        <v>238</v>
      </c>
    </row>
    <row r="2092" spans="1:9" ht="16" x14ac:dyDescent="0.8">
      <c r="A2092" s="2" t="s">
        <v>2830</v>
      </c>
      <c r="B2092" s="2" t="s">
        <v>2831</v>
      </c>
      <c r="C2092" s="2" t="s">
        <v>2832</v>
      </c>
      <c r="D2092" s="2" t="s">
        <v>2832</v>
      </c>
      <c r="E2092" s="3">
        <v>3410880</v>
      </c>
      <c r="F2092" s="3">
        <v>3410880</v>
      </c>
      <c r="G2092" s="2" t="s">
        <v>11</v>
      </c>
      <c r="H2092" s="2" t="s">
        <v>2833</v>
      </c>
      <c r="I2092" s="2" t="s">
        <v>699</v>
      </c>
    </row>
    <row r="2093" spans="1:9" ht="16" x14ac:dyDescent="0.8">
      <c r="A2093" s="2" t="s">
        <v>2830</v>
      </c>
      <c r="B2093" s="2" t="s">
        <v>2834</v>
      </c>
      <c r="C2093" s="2" t="s">
        <v>2835</v>
      </c>
      <c r="D2093" s="2" t="s">
        <v>2835</v>
      </c>
      <c r="E2093" s="3">
        <v>63360</v>
      </c>
      <c r="F2093" s="3">
        <v>63360</v>
      </c>
      <c r="G2093" s="2" t="s">
        <v>11</v>
      </c>
      <c r="H2093" s="2" t="s">
        <v>2833</v>
      </c>
      <c r="I2093" s="2" t="s">
        <v>699</v>
      </c>
    </row>
    <row r="2094" spans="1:9" ht="16" x14ac:dyDescent="0.8">
      <c r="A2094" s="2" t="s">
        <v>2836</v>
      </c>
      <c r="B2094" s="2" t="s">
        <v>2831</v>
      </c>
      <c r="C2094" s="2" t="s">
        <v>2832</v>
      </c>
      <c r="D2094" s="2" t="s">
        <v>2832</v>
      </c>
      <c r="E2094" s="3">
        <v>3410880</v>
      </c>
      <c r="F2094" s="3">
        <v>3410880</v>
      </c>
      <c r="G2094" s="2" t="s">
        <v>11</v>
      </c>
      <c r="H2094" s="2" t="s">
        <v>2833</v>
      </c>
      <c r="I2094" s="2" t="s">
        <v>699</v>
      </c>
    </row>
    <row r="2095" spans="1:9" ht="16" x14ac:dyDescent="0.8">
      <c r="A2095" s="2" t="s">
        <v>2837</v>
      </c>
      <c r="B2095" s="2" t="s">
        <v>2831</v>
      </c>
      <c r="C2095" s="2" t="s">
        <v>2832</v>
      </c>
      <c r="D2095" s="2" t="s">
        <v>2832</v>
      </c>
      <c r="E2095" s="3">
        <v>3410880</v>
      </c>
      <c r="F2095" s="3">
        <v>3410880</v>
      </c>
      <c r="G2095" s="2" t="s">
        <v>11</v>
      </c>
      <c r="H2095" s="2" t="s">
        <v>2833</v>
      </c>
      <c r="I2095" s="2" t="s">
        <v>699</v>
      </c>
    </row>
    <row r="2096" spans="1:9" ht="16" x14ac:dyDescent="0.8">
      <c r="A2096" s="2" t="s">
        <v>2838</v>
      </c>
      <c r="B2096" s="2" t="s">
        <v>2831</v>
      </c>
      <c r="C2096" s="2" t="s">
        <v>2832</v>
      </c>
      <c r="D2096" s="2" t="s">
        <v>2832</v>
      </c>
      <c r="E2096" s="3">
        <v>3410880</v>
      </c>
      <c r="F2096" s="3">
        <v>3410880</v>
      </c>
      <c r="G2096" s="2" t="s">
        <v>11</v>
      </c>
      <c r="H2096" s="2" t="s">
        <v>2833</v>
      </c>
      <c r="I2096" s="2" t="s">
        <v>699</v>
      </c>
    </row>
    <row r="2097" spans="1:9" ht="16" x14ac:dyDescent="0.8">
      <c r="A2097" s="2" t="s">
        <v>2838</v>
      </c>
      <c r="B2097" s="2" t="s">
        <v>2834</v>
      </c>
      <c r="C2097" s="2" t="s">
        <v>2835</v>
      </c>
      <c r="D2097" s="2" t="s">
        <v>2835</v>
      </c>
      <c r="E2097" s="3">
        <v>63360</v>
      </c>
      <c r="F2097" s="3">
        <v>63360</v>
      </c>
      <c r="G2097" s="2" t="s">
        <v>11</v>
      </c>
      <c r="H2097" s="2" t="s">
        <v>2833</v>
      </c>
      <c r="I2097" s="2" t="s">
        <v>699</v>
      </c>
    </row>
    <row r="2098" spans="1:9" ht="16" x14ac:dyDescent="0.8">
      <c r="A2098" s="2" t="s">
        <v>2839</v>
      </c>
      <c r="B2098" s="2" t="s">
        <v>2834</v>
      </c>
      <c r="C2098" s="2" t="s">
        <v>2835</v>
      </c>
      <c r="D2098" s="2" t="s">
        <v>2835</v>
      </c>
      <c r="E2098" s="3">
        <v>63360</v>
      </c>
      <c r="F2098" s="3">
        <v>63360</v>
      </c>
      <c r="G2098" s="2" t="s">
        <v>11</v>
      </c>
      <c r="H2098" s="2" t="s">
        <v>2833</v>
      </c>
      <c r="I2098" s="2" t="s">
        <v>699</v>
      </c>
    </row>
    <row r="2099" spans="1:9" ht="16" x14ac:dyDescent="0.8">
      <c r="A2099" s="2" t="s">
        <v>2840</v>
      </c>
      <c r="B2099" s="2" t="s">
        <v>2831</v>
      </c>
      <c r="C2099" s="2" t="s">
        <v>2832</v>
      </c>
      <c r="D2099" s="2" t="s">
        <v>2832</v>
      </c>
      <c r="E2099" s="3">
        <v>3410880</v>
      </c>
      <c r="F2099" s="3">
        <v>3410880</v>
      </c>
      <c r="G2099" s="2" t="s">
        <v>11</v>
      </c>
      <c r="H2099" s="2" t="s">
        <v>2833</v>
      </c>
      <c r="I2099" s="2" t="s">
        <v>699</v>
      </c>
    </row>
    <row r="2100" spans="1:9" ht="16" x14ac:dyDescent="0.8">
      <c r="A2100" s="2" t="s">
        <v>2841</v>
      </c>
      <c r="B2100" s="2" t="s">
        <v>2834</v>
      </c>
      <c r="C2100" s="2" t="s">
        <v>2835</v>
      </c>
      <c r="D2100" s="2" t="s">
        <v>2835</v>
      </c>
      <c r="E2100" s="3">
        <v>63360</v>
      </c>
      <c r="F2100" s="3">
        <v>63360</v>
      </c>
      <c r="G2100" s="2" t="s">
        <v>11</v>
      </c>
      <c r="H2100" s="2" t="s">
        <v>2833</v>
      </c>
      <c r="I2100" s="2" t="s">
        <v>699</v>
      </c>
    </row>
    <row r="2101" spans="1:9" ht="16" x14ac:dyDescent="0.8">
      <c r="A2101" s="2" t="s">
        <v>2842</v>
      </c>
      <c r="B2101" s="2" t="s">
        <v>2831</v>
      </c>
      <c r="C2101" s="2" t="s">
        <v>2832</v>
      </c>
      <c r="D2101" s="2" t="s">
        <v>2832</v>
      </c>
      <c r="E2101" s="3">
        <v>3410880</v>
      </c>
      <c r="F2101" s="3">
        <v>3410880</v>
      </c>
      <c r="G2101" s="2" t="s">
        <v>196</v>
      </c>
      <c r="H2101" s="2" t="s">
        <v>2833</v>
      </c>
      <c r="I2101" s="2" t="s">
        <v>699</v>
      </c>
    </row>
    <row r="2102" spans="1:9" ht="16" x14ac:dyDescent="0.8">
      <c r="A2102" s="2" t="s">
        <v>2843</v>
      </c>
      <c r="B2102" s="2" t="s">
        <v>2834</v>
      </c>
      <c r="C2102" s="2" t="s">
        <v>2835</v>
      </c>
      <c r="D2102" s="2" t="s">
        <v>2835</v>
      </c>
      <c r="E2102" s="3">
        <v>63360</v>
      </c>
      <c r="F2102" s="3">
        <v>63360</v>
      </c>
      <c r="G2102" s="2" t="s">
        <v>11</v>
      </c>
      <c r="H2102" s="2" t="s">
        <v>2833</v>
      </c>
      <c r="I2102" s="2" t="s">
        <v>699</v>
      </c>
    </row>
    <row r="2103" spans="1:9" ht="16" x14ac:dyDescent="0.8">
      <c r="A2103" s="2" t="s">
        <v>2844</v>
      </c>
      <c r="B2103" s="2" t="s">
        <v>2831</v>
      </c>
      <c r="C2103" s="2" t="s">
        <v>2832</v>
      </c>
      <c r="D2103" s="2" t="s">
        <v>2832</v>
      </c>
      <c r="E2103" s="3">
        <v>3410880</v>
      </c>
      <c r="F2103" s="3">
        <v>3410880</v>
      </c>
      <c r="G2103" s="2" t="s">
        <v>11</v>
      </c>
      <c r="H2103" s="2" t="s">
        <v>2833</v>
      </c>
      <c r="I2103" s="2" t="s">
        <v>699</v>
      </c>
    </row>
    <row r="2104" spans="1:9" ht="16" x14ac:dyDescent="0.8">
      <c r="A2104" s="2" t="s">
        <v>2845</v>
      </c>
      <c r="B2104" s="2" t="s">
        <v>2834</v>
      </c>
      <c r="C2104" s="2" t="s">
        <v>2835</v>
      </c>
      <c r="D2104" s="2" t="s">
        <v>2835</v>
      </c>
      <c r="E2104" s="3">
        <v>63360</v>
      </c>
      <c r="F2104" s="3">
        <v>63360</v>
      </c>
      <c r="G2104" s="2" t="s">
        <v>11</v>
      </c>
      <c r="H2104" s="2" t="s">
        <v>2833</v>
      </c>
      <c r="I2104" s="2" t="s">
        <v>699</v>
      </c>
    </row>
    <row r="2105" spans="1:9" ht="16" x14ac:dyDescent="0.8">
      <c r="A2105" s="2" t="s">
        <v>2846</v>
      </c>
      <c r="B2105" s="2" t="s">
        <v>2831</v>
      </c>
      <c r="C2105" s="2" t="s">
        <v>2832</v>
      </c>
      <c r="D2105" s="2" t="s">
        <v>2832</v>
      </c>
      <c r="E2105" s="3">
        <v>3410880</v>
      </c>
      <c r="F2105" s="3">
        <v>0</v>
      </c>
      <c r="G2105" s="2" t="s">
        <v>196</v>
      </c>
      <c r="H2105" s="2" t="s">
        <v>2833</v>
      </c>
      <c r="I2105" s="2" t="s">
        <v>699</v>
      </c>
    </row>
    <row r="2106" spans="1:9" ht="16" x14ac:dyDescent="0.8">
      <c r="A2106" s="2" t="s">
        <v>2847</v>
      </c>
      <c r="B2106" s="2" t="s">
        <v>2831</v>
      </c>
      <c r="C2106" s="2" t="s">
        <v>2832</v>
      </c>
      <c r="D2106" s="2" t="s">
        <v>2832</v>
      </c>
      <c r="E2106" s="3">
        <v>3410880</v>
      </c>
      <c r="F2106" s="3">
        <v>0</v>
      </c>
      <c r="G2106" s="2" t="s">
        <v>196</v>
      </c>
      <c r="H2106" s="2" t="s">
        <v>2833</v>
      </c>
      <c r="I2106" s="2" t="s">
        <v>699</v>
      </c>
    </row>
    <row r="2107" spans="1:9" ht="16" x14ac:dyDescent="0.8">
      <c r="A2107" s="2" t="s">
        <v>2847</v>
      </c>
      <c r="B2107" s="2" t="s">
        <v>2834</v>
      </c>
      <c r="C2107" s="2" t="s">
        <v>2835</v>
      </c>
      <c r="D2107" s="2" t="s">
        <v>2835</v>
      </c>
      <c r="E2107" s="3">
        <v>63360</v>
      </c>
      <c r="F2107" s="3">
        <v>0</v>
      </c>
      <c r="G2107" s="2" t="s">
        <v>196</v>
      </c>
      <c r="H2107" s="2" t="s">
        <v>2833</v>
      </c>
      <c r="I2107" s="2" t="s">
        <v>699</v>
      </c>
    </row>
    <row r="2108" spans="1:9" ht="16" x14ac:dyDescent="0.8">
      <c r="A2108" s="2" t="s">
        <v>2848</v>
      </c>
      <c r="B2108" s="2" t="s">
        <v>2831</v>
      </c>
      <c r="C2108" s="2" t="s">
        <v>2832</v>
      </c>
      <c r="D2108" s="2" t="s">
        <v>2832</v>
      </c>
      <c r="E2108" s="3">
        <v>3410880</v>
      </c>
      <c r="F2108" s="3">
        <v>0</v>
      </c>
      <c r="G2108" s="2" t="s">
        <v>196</v>
      </c>
      <c r="H2108" s="2" t="s">
        <v>2833</v>
      </c>
      <c r="I2108" s="2" t="s">
        <v>699</v>
      </c>
    </row>
    <row r="2109" spans="1:9" ht="16" x14ac:dyDescent="0.8">
      <c r="A2109" s="2" t="s">
        <v>2848</v>
      </c>
      <c r="B2109" s="2" t="s">
        <v>2834</v>
      </c>
      <c r="C2109" s="2" t="s">
        <v>2835</v>
      </c>
      <c r="D2109" s="2" t="s">
        <v>2835</v>
      </c>
      <c r="E2109" s="3">
        <v>63360</v>
      </c>
      <c r="F2109" s="3">
        <v>0</v>
      </c>
      <c r="G2109" s="2" t="s">
        <v>196</v>
      </c>
      <c r="H2109" s="2" t="s">
        <v>2833</v>
      </c>
      <c r="I2109" s="2" t="s">
        <v>699</v>
      </c>
    </row>
    <row r="2110" spans="1:9" ht="16" x14ac:dyDescent="0.8">
      <c r="A2110" s="2" t="s">
        <v>2849</v>
      </c>
      <c r="B2110" s="2" t="s">
        <v>2831</v>
      </c>
      <c r="C2110" s="2" t="s">
        <v>2832</v>
      </c>
      <c r="D2110" s="2" t="s">
        <v>2832</v>
      </c>
      <c r="E2110" s="3">
        <v>3410880</v>
      </c>
      <c r="F2110" s="3">
        <v>0</v>
      </c>
      <c r="G2110" s="2" t="s">
        <v>196</v>
      </c>
      <c r="H2110" s="2" t="s">
        <v>2833</v>
      </c>
      <c r="I2110" s="2" t="s">
        <v>699</v>
      </c>
    </row>
    <row r="2111" spans="1:9" ht="16" x14ac:dyDescent="0.8">
      <c r="A2111" s="2" t="s">
        <v>2849</v>
      </c>
      <c r="B2111" s="2" t="s">
        <v>2834</v>
      </c>
      <c r="C2111" s="2" t="s">
        <v>2835</v>
      </c>
      <c r="D2111" s="2" t="s">
        <v>2835</v>
      </c>
      <c r="E2111" s="3">
        <v>63360</v>
      </c>
      <c r="F2111" s="3">
        <v>0</v>
      </c>
      <c r="G2111" s="2" t="s">
        <v>196</v>
      </c>
      <c r="H2111" s="2" t="s">
        <v>2833</v>
      </c>
      <c r="I2111" s="2" t="s">
        <v>699</v>
      </c>
    </row>
    <row r="2112" spans="1:9" ht="16" x14ac:dyDescent="0.8">
      <c r="A2112" s="2" t="s">
        <v>2850</v>
      </c>
      <c r="B2112" s="2" t="s">
        <v>2831</v>
      </c>
      <c r="C2112" s="2" t="s">
        <v>2832</v>
      </c>
      <c r="D2112" s="2" t="s">
        <v>2832</v>
      </c>
      <c r="E2112" s="3">
        <v>3100800</v>
      </c>
      <c r="F2112" s="3">
        <v>0</v>
      </c>
      <c r="G2112" s="2" t="s">
        <v>196</v>
      </c>
      <c r="H2112" s="2" t="s">
        <v>2833</v>
      </c>
      <c r="I2112" s="2" t="s">
        <v>699</v>
      </c>
    </row>
    <row r="2113" spans="1:9" ht="16" x14ac:dyDescent="0.8">
      <c r="A2113" s="2" t="s">
        <v>2850</v>
      </c>
      <c r="B2113" s="2" t="s">
        <v>2834</v>
      </c>
      <c r="C2113" s="2" t="s">
        <v>2835</v>
      </c>
      <c r="D2113" s="2" t="s">
        <v>2835</v>
      </c>
      <c r="E2113" s="3">
        <v>90240</v>
      </c>
      <c r="F2113" s="3">
        <v>0</v>
      </c>
      <c r="G2113" s="2" t="s">
        <v>196</v>
      </c>
      <c r="H2113" s="2" t="s">
        <v>2833</v>
      </c>
      <c r="I2113" s="2" t="s">
        <v>699</v>
      </c>
    </row>
    <row r="2114" spans="1:9" ht="16" x14ac:dyDescent="0.8">
      <c r="A2114" s="2" t="s">
        <v>2851</v>
      </c>
      <c r="B2114" s="2" t="s">
        <v>865</v>
      </c>
      <c r="C2114" s="2" t="s">
        <v>866</v>
      </c>
      <c r="D2114" s="2" t="s">
        <v>866</v>
      </c>
      <c r="E2114" s="3">
        <v>6000</v>
      </c>
      <c r="F2114" s="3">
        <v>6000</v>
      </c>
      <c r="G2114" s="2" t="s">
        <v>11</v>
      </c>
      <c r="H2114" s="2" t="s">
        <v>2833</v>
      </c>
      <c r="I2114" s="2" t="s">
        <v>168</v>
      </c>
    </row>
    <row r="2115" spans="1:9" ht="16" x14ac:dyDescent="0.8">
      <c r="A2115" s="2" t="s">
        <v>2851</v>
      </c>
      <c r="B2115" s="2" t="s">
        <v>943</v>
      </c>
      <c r="C2115" s="2" t="s">
        <v>944</v>
      </c>
      <c r="D2115" s="2" t="s">
        <v>944</v>
      </c>
      <c r="E2115" s="3">
        <v>10080</v>
      </c>
      <c r="F2115" s="3">
        <v>10080</v>
      </c>
      <c r="G2115" s="2" t="s">
        <v>11</v>
      </c>
      <c r="H2115" s="2" t="s">
        <v>2833</v>
      </c>
      <c r="I2115" s="2" t="s">
        <v>168</v>
      </c>
    </row>
    <row r="2116" spans="1:9" ht="16" x14ac:dyDescent="0.8">
      <c r="A2116" s="2" t="s">
        <v>2851</v>
      </c>
      <c r="B2116" s="2" t="s">
        <v>1520</v>
      </c>
      <c r="C2116" s="2" t="s">
        <v>967</v>
      </c>
      <c r="D2116" s="2" t="s">
        <v>967</v>
      </c>
      <c r="E2116" s="3">
        <v>10000</v>
      </c>
      <c r="F2116" s="3">
        <v>10000</v>
      </c>
      <c r="G2116" s="2" t="s">
        <v>11</v>
      </c>
      <c r="H2116" s="2" t="s">
        <v>2833</v>
      </c>
      <c r="I2116" s="2" t="s">
        <v>168</v>
      </c>
    </row>
    <row r="2117" spans="1:9" ht="16" x14ac:dyDescent="0.8">
      <c r="A2117" s="2" t="s">
        <v>2851</v>
      </c>
      <c r="B2117" s="2" t="s">
        <v>1518</v>
      </c>
      <c r="C2117" s="2" t="s">
        <v>1519</v>
      </c>
      <c r="D2117" s="2" t="s">
        <v>1519</v>
      </c>
      <c r="E2117" s="3">
        <v>6030</v>
      </c>
      <c r="F2117" s="3">
        <v>6030</v>
      </c>
      <c r="G2117" s="2" t="s">
        <v>11</v>
      </c>
      <c r="H2117" s="2" t="s">
        <v>2833</v>
      </c>
      <c r="I2117" s="2" t="s">
        <v>168</v>
      </c>
    </row>
    <row r="2118" spans="1:9" ht="16" x14ac:dyDescent="0.8">
      <c r="A2118" s="2" t="s">
        <v>2852</v>
      </c>
      <c r="B2118" s="2" t="s">
        <v>863</v>
      </c>
      <c r="C2118" s="2" t="s">
        <v>864</v>
      </c>
      <c r="D2118" s="2" t="s">
        <v>864</v>
      </c>
      <c r="E2118" s="3">
        <v>39780</v>
      </c>
      <c r="F2118" s="3">
        <v>39780</v>
      </c>
      <c r="G2118" s="2" t="s">
        <v>11</v>
      </c>
      <c r="H2118" s="2" t="s">
        <v>2833</v>
      </c>
      <c r="I2118" s="2" t="s">
        <v>168</v>
      </c>
    </row>
    <row r="2119" spans="1:9" ht="16" x14ac:dyDescent="0.8">
      <c r="A2119" s="2" t="s">
        <v>2852</v>
      </c>
      <c r="B2119" s="2" t="s">
        <v>865</v>
      </c>
      <c r="C2119" s="2" t="s">
        <v>866</v>
      </c>
      <c r="D2119" s="2" t="s">
        <v>866</v>
      </c>
      <c r="E2119" s="3">
        <v>35880</v>
      </c>
      <c r="F2119" s="3">
        <v>35880</v>
      </c>
      <c r="G2119" s="2" t="s">
        <v>11</v>
      </c>
      <c r="H2119" s="2" t="s">
        <v>2833</v>
      </c>
      <c r="I2119" s="2" t="s">
        <v>168</v>
      </c>
    </row>
    <row r="2120" spans="1:9" ht="16" x14ac:dyDescent="0.8">
      <c r="A2120" s="2" t="s">
        <v>2852</v>
      </c>
      <c r="B2120" s="2" t="s">
        <v>867</v>
      </c>
      <c r="C2120" s="2" t="s">
        <v>868</v>
      </c>
      <c r="D2120" s="2" t="s">
        <v>868</v>
      </c>
      <c r="E2120" s="3">
        <v>20000</v>
      </c>
      <c r="F2120" s="3">
        <v>20000</v>
      </c>
      <c r="G2120" s="2" t="s">
        <v>11</v>
      </c>
      <c r="H2120" s="2" t="s">
        <v>2833</v>
      </c>
      <c r="I2120" s="2" t="s">
        <v>168</v>
      </c>
    </row>
    <row r="2121" spans="1:9" ht="16" x14ac:dyDescent="0.8">
      <c r="A2121" s="2" t="s">
        <v>2852</v>
      </c>
      <c r="B2121" s="2" t="s">
        <v>1520</v>
      </c>
      <c r="C2121" s="2" t="s">
        <v>967</v>
      </c>
      <c r="D2121" s="2" t="s">
        <v>967</v>
      </c>
      <c r="E2121" s="3">
        <v>32480</v>
      </c>
      <c r="F2121" s="3">
        <v>32480</v>
      </c>
      <c r="G2121" s="2" t="s">
        <v>11</v>
      </c>
      <c r="H2121" s="2" t="s">
        <v>2833</v>
      </c>
      <c r="I2121" s="2" t="s">
        <v>168</v>
      </c>
    </row>
    <row r="2122" spans="1:9" ht="16" x14ac:dyDescent="0.8">
      <c r="A2122" s="2" t="s">
        <v>2852</v>
      </c>
      <c r="B2122" s="2" t="s">
        <v>1518</v>
      </c>
      <c r="C2122" s="2" t="s">
        <v>1519</v>
      </c>
      <c r="D2122" s="2" t="s">
        <v>1519</v>
      </c>
      <c r="E2122" s="3">
        <v>17010</v>
      </c>
      <c r="F2122" s="3">
        <v>17010</v>
      </c>
      <c r="G2122" s="2" t="s">
        <v>11</v>
      </c>
      <c r="H2122" s="2" t="s">
        <v>2833</v>
      </c>
      <c r="I2122" s="2" t="s">
        <v>168</v>
      </c>
    </row>
    <row r="2123" spans="1:9" ht="16" x14ac:dyDescent="0.8">
      <c r="A2123" s="2" t="s">
        <v>2853</v>
      </c>
      <c r="B2123" s="2" t="s">
        <v>1855</v>
      </c>
      <c r="C2123" s="2" t="s">
        <v>1856</v>
      </c>
      <c r="D2123" s="2" t="s">
        <v>1856</v>
      </c>
      <c r="E2123" s="3">
        <v>80016</v>
      </c>
      <c r="F2123" s="3">
        <v>0</v>
      </c>
      <c r="G2123" s="2" t="s">
        <v>196</v>
      </c>
      <c r="H2123" s="2" t="s">
        <v>2788</v>
      </c>
      <c r="I2123" s="2" t="s">
        <v>1858</v>
      </c>
    </row>
    <row r="2124" spans="1:9" ht="16" x14ac:dyDescent="0.8">
      <c r="A2124" s="2" t="s">
        <v>2854</v>
      </c>
      <c r="B2124" s="2" t="s">
        <v>764</v>
      </c>
      <c r="C2124" s="2" t="s">
        <v>765</v>
      </c>
      <c r="D2124" s="2" t="s">
        <v>765</v>
      </c>
      <c r="E2124" s="3">
        <v>1000</v>
      </c>
      <c r="F2124" s="3">
        <v>1000</v>
      </c>
      <c r="G2124" s="2" t="s">
        <v>11</v>
      </c>
      <c r="H2124" s="2" t="s">
        <v>2788</v>
      </c>
      <c r="I2124" s="2" t="s">
        <v>1353</v>
      </c>
    </row>
    <row r="2125" spans="1:9" ht="16" x14ac:dyDescent="0.8">
      <c r="A2125" s="2" t="s">
        <v>2855</v>
      </c>
      <c r="B2125" s="2" t="s">
        <v>911</v>
      </c>
      <c r="C2125" s="2" t="s">
        <v>912</v>
      </c>
      <c r="D2125" s="2" t="s">
        <v>912</v>
      </c>
      <c r="E2125" s="3">
        <v>1</v>
      </c>
      <c r="F2125" s="3">
        <v>0</v>
      </c>
      <c r="G2125" s="2" t="s">
        <v>11</v>
      </c>
      <c r="H2125" s="2" t="s">
        <v>1002</v>
      </c>
      <c r="I2125" s="2" t="s">
        <v>107</v>
      </c>
    </row>
    <row r="2126" spans="1:9" ht="16" x14ac:dyDescent="0.8">
      <c r="A2126" s="2" t="s">
        <v>2856</v>
      </c>
      <c r="B2126" s="2" t="s">
        <v>1491</v>
      </c>
      <c r="C2126" s="2" t="s">
        <v>1492</v>
      </c>
      <c r="D2126" s="2" t="s">
        <v>1492</v>
      </c>
      <c r="E2126" s="3">
        <v>20000</v>
      </c>
      <c r="F2126" s="3">
        <v>20000</v>
      </c>
      <c r="G2126" s="2" t="s">
        <v>11</v>
      </c>
      <c r="H2126" s="2" t="s">
        <v>2807</v>
      </c>
      <c r="I2126" s="2" t="s">
        <v>1125</v>
      </c>
    </row>
    <row r="2127" spans="1:9" ht="16" x14ac:dyDescent="0.8">
      <c r="A2127" s="2" t="s">
        <v>2857</v>
      </c>
      <c r="B2127" s="2" t="s">
        <v>2034</v>
      </c>
      <c r="C2127" s="2" t="s">
        <v>2035</v>
      </c>
      <c r="D2127" s="2" t="s">
        <v>2035</v>
      </c>
      <c r="E2127" s="3">
        <v>45000</v>
      </c>
      <c r="F2127" s="3">
        <v>0</v>
      </c>
      <c r="G2127" s="2" t="s">
        <v>196</v>
      </c>
      <c r="H2127" s="2" t="s">
        <v>2807</v>
      </c>
      <c r="I2127" s="2" t="s">
        <v>1486</v>
      </c>
    </row>
    <row r="2128" spans="1:9" ht="16" x14ac:dyDescent="0.8">
      <c r="A2128" s="2" t="s">
        <v>2858</v>
      </c>
      <c r="B2128" s="2" t="s">
        <v>1508</v>
      </c>
      <c r="C2128" s="2" t="s">
        <v>1509</v>
      </c>
      <c r="D2128" s="2" t="s">
        <v>1509</v>
      </c>
      <c r="E2128" s="3">
        <v>25008</v>
      </c>
      <c r="F2128" s="3">
        <v>0</v>
      </c>
      <c r="G2128" s="2" t="s">
        <v>196</v>
      </c>
      <c r="H2128" s="2" t="s">
        <v>2807</v>
      </c>
      <c r="I2128" s="2" t="s">
        <v>1121</v>
      </c>
    </row>
    <row r="2129" spans="1:9" ht="16" x14ac:dyDescent="0.8">
      <c r="A2129" s="2" t="s">
        <v>2860</v>
      </c>
      <c r="B2129" s="2" t="s">
        <v>1026</v>
      </c>
      <c r="C2129" s="2" t="s">
        <v>1027</v>
      </c>
      <c r="D2129" s="2" t="s">
        <v>1027</v>
      </c>
      <c r="E2129" s="3">
        <v>4320</v>
      </c>
      <c r="F2129" s="3">
        <v>0</v>
      </c>
      <c r="G2129" s="2" t="s">
        <v>196</v>
      </c>
      <c r="H2129" s="2" t="s">
        <v>2810</v>
      </c>
      <c r="I2129" s="2" t="s">
        <v>1353</v>
      </c>
    </row>
    <row r="2130" spans="1:9" ht="16" x14ac:dyDescent="0.8">
      <c r="A2130" s="2" t="s">
        <v>2861</v>
      </c>
      <c r="B2130" s="2" t="s">
        <v>1028</v>
      </c>
      <c r="C2130" s="2" t="s">
        <v>1029</v>
      </c>
      <c r="D2130" s="2" t="s">
        <v>1029</v>
      </c>
      <c r="E2130" s="3">
        <v>2352</v>
      </c>
      <c r="F2130" s="3">
        <v>0</v>
      </c>
      <c r="G2130" s="2" t="s">
        <v>196</v>
      </c>
      <c r="H2130" s="2" t="s">
        <v>2810</v>
      </c>
      <c r="I2130" s="2" t="s">
        <v>256</v>
      </c>
    </row>
    <row r="2131" spans="1:9" ht="16" x14ac:dyDescent="0.8">
      <c r="A2131" s="2" t="s">
        <v>2862</v>
      </c>
      <c r="B2131" s="2" t="s">
        <v>2863</v>
      </c>
      <c r="C2131" s="2" t="s">
        <v>2864</v>
      </c>
      <c r="D2131" s="2" t="s">
        <v>2864</v>
      </c>
      <c r="E2131" s="3">
        <v>11001000</v>
      </c>
      <c r="F2131" s="3">
        <v>0</v>
      </c>
      <c r="G2131" s="2" t="s">
        <v>196</v>
      </c>
      <c r="H2131" s="2" t="s">
        <v>2810</v>
      </c>
      <c r="I2131" s="2" t="s">
        <v>847</v>
      </c>
    </row>
    <row r="2132" spans="1:9" ht="16" x14ac:dyDescent="0.8">
      <c r="A2132" s="2" t="s">
        <v>2862</v>
      </c>
      <c r="B2132" s="2" t="s">
        <v>2865</v>
      </c>
      <c r="C2132" s="2" t="s">
        <v>2866</v>
      </c>
      <c r="D2132" s="2" t="s">
        <v>2866</v>
      </c>
      <c r="E2132" s="3">
        <v>200000</v>
      </c>
      <c r="F2132" s="3">
        <v>0</v>
      </c>
      <c r="G2132" s="2" t="s">
        <v>196</v>
      </c>
      <c r="H2132" s="2" t="s">
        <v>2810</v>
      </c>
      <c r="I2132" s="2" t="s">
        <v>847</v>
      </c>
    </row>
    <row r="2133" spans="1:9" ht="16" x14ac:dyDescent="0.8">
      <c r="A2133" s="2" t="s">
        <v>2867</v>
      </c>
      <c r="B2133" s="2" t="s">
        <v>2863</v>
      </c>
      <c r="C2133" s="2" t="s">
        <v>2864</v>
      </c>
      <c r="D2133" s="2" t="s">
        <v>2864</v>
      </c>
      <c r="E2133" s="3">
        <v>5466000</v>
      </c>
      <c r="F2133" s="3">
        <v>0</v>
      </c>
      <c r="G2133" s="2" t="s">
        <v>196</v>
      </c>
      <c r="H2133" s="2" t="s">
        <v>2810</v>
      </c>
      <c r="I2133" s="2" t="s">
        <v>847</v>
      </c>
    </row>
    <row r="2134" spans="1:9" ht="16" x14ac:dyDescent="0.8">
      <c r="A2134" s="2" t="s">
        <v>2867</v>
      </c>
      <c r="B2134" s="2" t="s">
        <v>2865</v>
      </c>
      <c r="C2134" s="2" t="s">
        <v>2866</v>
      </c>
      <c r="D2134" s="2" t="s">
        <v>2866</v>
      </c>
      <c r="E2134" s="3">
        <v>200000</v>
      </c>
      <c r="F2134" s="3">
        <v>0</v>
      </c>
      <c r="G2134" s="2" t="s">
        <v>196</v>
      </c>
      <c r="H2134" s="2" t="s">
        <v>2810</v>
      </c>
      <c r="I2134" s="2" t="s">
        <v>847</v>
      </c>
    </row>
    <row r="2135" spans="1:9" ht="16" x14ac:dyDescent="0.8">
      <c r="A2135" s="2" t="s">
        <v>2868</v>
      </c>
      <c r="B2135" s="2" t="s">
        <v>2869</v>
      </c>
      <c r="C2135" s="2" t="s">
        <v>2870</v>
      </c>
      <c r="D2135" s="2" t="s">
        <v>2870</v>
      </c>
      <c r="E2135" s="3">
        <v>12498</v>
      </c>
      <c r="F2135" s="3">
        <v>654</v>
      </c>
      <c r="G2135" s="2" t="s">
        <v>196</v>
      </c>
      <c r="H2135" s="2" t="s">
        <v>2810</v>
      </c>
      <c r="I2135" s="2" t="s">
        <v>407</v>
      </c>
    </row>
    <row r="2136" spans="1:9" ht="16" x14ac:dyDescent="0.8">
      <c r="A2136" s="2" t="s">
        <v>2871</v>
      </c>
      <c r="B2136" s="2" t="s">
        <v>2869</v>
      </c>
      <c r="C2136" s="2" t="s">
        <v>2870</v>
      </c>
      <c r="D2136" s="2" t="s">
        <v>2870</v>
      </c>
      <c r="E2136" s="3">
        <v>12498</v>
      </c>
      <c r="F2136" s="3">
        <v>0</v>
      </c>
      <c r="G2136" s="2" t="s">
        <v>196</v>
      </c>
      <c r="H2136" s="2" t="s">
        <v>2810</v>
      </c>
      <c r="I2136" s="2" t="s">
        <v>407</v>
      </c>
    </row>
    <row r="2137" spans="1:9" ht="16" x14ac:dyDescent="0.8">
      <c r="A2137" s="2" t="s">
        <v>2872</v>
      </c>
      <c r="B2137" s="2" t="s">
        <v>2869</v>
      </c>
      <c r="C2137" s="2" t="s">
        <v>2870</v>
      </c>
      <c r="D2137" s="2" t="s">
        <v>2870</v>
      </c>
      <c r="E2137" s="3">
        <v>23316</v>
      </c>
      <c r="F2137" s="3">
        <v>0</v>
      </c>
      <c r="G2137" s="2" t="s">
        <v>196</v>
      </c>
      <c r="H2137" s="2" t="s">
        <v>2810</v>
      </c>
      <c r="I2137" s="2" t="s">
        <v>407</v>
      </c>
    </row>
    <row r="2138" spans="1:9" ht="16" x14ac:dyDescent="0.8">
      <c r="A2138" s="2" t="s">
        <v>2873</v>
      </c>
      <c r="B2138" s="2" t="s">
        <v>2869</v>
      </c>
      <c r="C2138" s="2" t="s">
        <v>2870</v>
      </c>
      <c r="D2138" s="2" t="s">
        <v>2870</v>
      </c>
      <c r="E2138" s="3">
        <v>21666</v>
      </c>
      <c r="F2138" s="3">
        <v>0</v>
      </c>
      <c r="G2138" s="2" t="s">
        <v>196</v>
      </c>
      <c r="H2138" s="2" t="s">
        <v>2810</v>
      </c>
      <c r="I2138" s="2" t="s">
        <v>407</v>
      </c>
    </row>
    <row r="2139" spans="1:9" ht="16" x14ac:dyDescent="0.8">
      <c r="A2139" s="2" t="s">
        <v>2874</v>
      </c>
      <c r="B2139" s="2" t="s">
        <v>2863</v>
      </c>
      <c r="C2139" s="2" t="s">
        <v>2864</v>
      </c>
      <c r="D2139" s="2" t="s">
        <v>2864</v>
      </c>
      <c r="E2139" s="3">
        <v>18600000</v>
      </c>
      <c r="F2139" s="3">
        <v>0</v>
      </c>
      <c r="G2139" s="2" t="s">
        <v>196</v>
      </c>
      <c r="H2139" s="2" t="s">
        <v>2810</v>
      </c>
      <c r="I2139" s="2" t="s">
        <v>847</v>
      </c>
    </row>
    <row r="2140" spans="1:9" ht="16" x14ac:dyDescent="0.8">
      <c r="A2140" s="2" t="s">
        <v>2874</v>
      </c>
      <c r="B2140" s="2" t="s">
        <v>2865</v>
      </c>
      <c r="C2140" s="2" t="s">
        <v>2866</v>
      </c>
      <c r="D2140" s="2" t="s">
        <v>2866</v>
      </c>
      <c r="E2140" s="3">
        <v>200600</v>
      </c>
      <c r="F2140" s="3">
        <v>0</v>
      </c>
      <c r="G2140" s="2" t="s">
        <v>196</v>
      </c>
      <c r="H2140" s="2" t="s">
        <v>2810</v>
      </c>
      <c r="I2140" s="2" t="s">
        <v>847</v>
      </c>
    </row>
    <row r="2141" spans="1:9" ht="16" x14ac:dyDescent="0.8">
      <c r="A2141" s="2" t="s">
        <v>2874</v>
      </c>
      <c r="B2141" s="2" t="s">
        <v>2875</v>
      </c>
      <c r="C2141" s="2" t="s">
        <v>2876</v>
      </c>
      <c r="D2141" s="2" t="s">
        <v>2876</v>
      </c>
      <c r="E2141" s="3">
        <v>4322700</v>
      </c>
      <c r="F2141" s="3">
        <v>0</v>
      </c>
      <c r="G2141" s="2" t="s">
        <v>196</v>
      </c>
      <c r="H2141" s="2" t="s">
        <v>2810</v>
      </c>
      <c r="I2141" s="2" t="s">
        <v>847</v>
      </c>
    </row>
    <row r="2142" spans="1:9" ht="16" x14ac:dyDescent="0.8">
      <c r="A2142" s="2" t="s">
        <v>2877</v>
      </c>
      <c r="B2142" s="2" t="s">
        <v>2034</v>
      </c>
      <c r="C2142" s="2" t="s">
        <v>2035</v>
      </c>
      <c r="D2142" s="2" t="s">
        <v>2035</v>
      </c>
      <c r="E2142" s="3">
        <v>20004</v>
      </c>
      <c r="F2142" s="3">
        <v>0</v>
      </c>
      <c r="G2142" s="2" t="s">
        <v>196</v>
      </c>
      <c r="H2142" s="2" t="s">
        <v>2829</v>
      </c>
      <c r="I2142" s="2" t="s">
        <v>1486</v>
      </c>
    </row>
    <row r="2143" spans="1:9" ht="16" x14ac:dyDescent="0.8">
      <c r="A2143" s="2" t="s">
        <v>2878</v>
      </c>
      <c r="B2143" s="2" t="s">
        <v>1491</v>
      </c>
      <c r="C2143" s="2" t="s">
        <v>1492</v>
      </c>
      <c r="D2143" s="2" t="s">
        <v>1492</v>
      </c>
      <c r="E2143" s="3">
        <v>5000</v>
      </c>
      <c r="F2143" s="3">
        <v>5000</v>
      </c>
      <c r="G2143" s="2" t="s">
        <v>11</v>
      </c>
      <c r="H2143" s="2" t="s">
        <v>2829</v>
      </c>
      <c r="I2143" s="2" t="s">
        <v>1125</v>
      </c>
    </row>
    <row r="2144" spans="1:9" ht="16" x14ac:dyDescent="0.8">
      <c r="A2144" s="2" t="s">
        <v>2880</v>
      </c>
      <c r="B2144" s="2" t="s">
        <v>1443</v>
      </c>
      <c r="C2144" s="2" t="s">
        <v>1425</v>
      </c>
      <c r="D2144" s="2" t="s">
        <v>1425</v>
      </c>
      <c r="E2144" s="3">
        <v>47538</v>
      </c>
      <c r="F2144" s="3">
        <v>0</v>
      </c>
      <c r="G2144" s="2" t="s">
        <v>196</v>
      </c>
      <c r="H2144" s="2" t="s">
        <v>2811</v>
      </c>
      <c r="I2144" s="2" t="s">
        <v>1444</v>
      </c>
    </row>
    <row r="2145" spans="1:9" ht="16" x14ac:dyDescent="0.8">
      <c r="A2145" s="2" t="s">
        <v>2880</v>
      </c>
      <c r="B2145" s="2" t="s">
        <v>1445</v>
      </c>
      <c r="C2145" s="2" t="s">
        <v>1446</v>
      </c>
      <c r="D2145" s="2" t="s">
        <v>1446</v>
      </c>
      <c r="E2145" s="3">
        <v>36000</v>
      </c>
      <c r="F2145" s="3">
        <v>0</v>
      </c>
      <c r="G2145" s="2" t="s">
        <v>196</v>
      </c>
      <c r="H2145" s="2" t="s">
        <v>2811</v>
      </c>
      <c r="I2145" s="2" t="s">
        <v>1444</v>
      </c>
    </row>
    <row r="2146" spans="1:9" ht="16" x14ac:dyDescent="0.8">
      <c r="A2146" s="2" t="s">
        <v>2880</v>
      </c>
      <c r="B2146" s="2" t="s">
        <v>1447</v>
      </c>
      <c r="C2146" s="2" t="s">
        <v>1448</v>
      </c>
      <c r="D2146" s="2" t="s">
        <v>1448</v>
      </c>
      <c r="E2146" s="3">
        <v>40500</v>
      </c>
      <c r="F2146" s="3">
        <v>0</v>
      </c>
      <c r="G2146" s="2" t="s">
        <v>196</v>
      </c>
      <c r="H2146" s="2" t="s">
        <v>2811</v>
      </c>
      <c r="I2146" s="2" t="s">
        <v>1444</v>
      </c>
    </row>
    <row r="2147" spans="1:9" ht="16" x14ac:dyDescent="0.8">
      <c r="A2147" s="2" t="s">
        <v>2880</v>
      </c>
      <c r="B2147" s="2" t="s">
        <v>1449</v>
      </c>
      <c r="C2147" s="2" t="s">
        <v>1450</v>
      </c>
      <c r="D2147" s="2" t="s">
        <v>1450</v>
      </c>
      <c r="E2147" s="3">
        <v>25500</v>
      </c>
      <c r="F2147" s="3">
        <v>0</v>
      </c>
      <c r="G2147" s="2" t="s">
        <v>196</v>
      </c>
      <c r="H2147" s="2" t="s">
        <v>2811</v>
      </c>
      <c r="I2147" s="2" t="s">
        <v>1444</v>
      </c>
    </row>
    <row r="2148" spans="1:9" ht="16" x14ac:dyDescent="0.8">
      <c r="A2148" s="2" t="s">
        <v>2881</v>
      </c>
      <c r="B2148" s="2" t="s">
        <v>1452</v>
      </c>
      <c r="C2148" s="2" t="s">
        <v>1453</v>
      </c>
      <c r="D2148" s="2" t="s">
        <v>1453</v>
      </c>
      <c r="E2148" s="3">
        <v>48000</v>
      </c>
      <c r="F2148" s="3">
        <v>0</v>
      </c>
      <c r="G2148" s="2" t="s">
        <v>196</v>
      </c>
      <c r="H2148" s="2" t="s">
        <v>2811</v>
      </c>
      <c r="I2148" s="2" t="s">
        <v>23</v>
      </c>
    </row>
    <row r="2149" spans="1:9" ht="16" x14ac:dyDescent="0.8">
      <c r="A2149" s="2" t="s">
        <v>2882</v>
      </c>
      <c r="B2149" s="2" t="s">
        <v>1455</v>
      </c>
      <c r="C2149" s="2" t="s">
        <v>1456</v>
      </c>
      <c r="D2149" s="2" t="s">
        <v>1456</v>
      </c>
      <c r="E2149" s="3">
        <v>31500</v>
      </c>
      <c r="F2149" s="3">
        <v>0</v>
      </c>
      <c r="G2149" s="2" t="s">
        <v>196</v>
      </c>
      <c r="H2149" s="2" t="s">
        <v>2811</v>
      </c>
      <c r="I2149" s="2" t="s">
        <v>1457</v>
      </c>
    </row>
    <row r="2150" spans="1:9" ht="16" x14ac:dyDescent="0.8">
      <c r="A2150" s="2" t="s">
        <v>2883</v>
      </c>
      <c r="B2150" s="2" t="s">
        <v>1364</v>
      </c>
      <c r="C2150" s="2" t="s">
        <v>1364</v>
      </c>
      <c r="D2150" s="2" t="s">
        <v>1364</v>
      </c>
      <c r="E2150" s="3">
        <v>2870</v>
      </c>
      <c r="F2150" s="3">
        <v>2870</v>
      </c>
      <c r="G2150" s="2" t="s">
        <v>11</v>
      </c>
      <c r="H2150" s="2" t="s">
        <v>2811</v>
      </c>
      <c r="I2150" s="2" t="s">
        <v>238</v>
      </c>
    </row>
    <row r="2151" spans="1:9" ht="16" x14ac:dyDescent="0.8">
      <c r="A2151" s="2" t="s">
        <v>2883</v>
      </c>
      <c r="B2151" s="2" t="s">
        <v>2884</v>
      </c>
      <c r="C2151" s="2" t="s">
        <v>2884</v>
      </c>
      <c r="D2151" s="2" t="s">
        <v>2884</v>
      </c>
      <c r="E2151" s="3">
        <v>1328</v>
      </c>
      <c r="F2151" s="3">
        <v>1328</v>
      </c>
      <c r="G2151" s="2" t="s">
        <v>11</v>
      </c>
      <c r="H2151" s="2" t="s">
        <v>2811</v>
      </c>
      <c r="I2151" s="2" t="s">
        <v>238</v>
      </c>
    </row>
    <row r="2152" spans="1:9" ht="16" x14ac:dyDescent="0.8">
      <c r="A2152" s="2" t="s">
        <v>2885</v>
      </c>
      <c r="B2152" s="2" t="s">
        <v>2172</v>
      </c>
      <c r="C2152" s="2" t="s">
        <v>2173</v>
      </c>
      <c r="D2152" s="2" t="s">
        <v>2173</v>
      </c>
      <c r="E2152" s="3">
        <v>556</v>
      </c>
      <c r="F2152" s="3">
        <v>0</v>
      </c>
      <c r="G2152" s="2" t="s">
        <v>196</v>
      </c>
      <c r="H2152" s="2" t="s">
        <v>2811</v>
      </c>
      <c r="I2152" s="2" t="s">
        <v>256</v>
      </c>
    </row>
    <row r="2153" spans="1:9" ht="16" x14ac:dyDescent="0.8">
      <c r="A2153" s="2" t="s">
        <v>2885</v>
      </c>
      <c r="B2153" s="2" t="s">
        <v>2805</v>
      </c>
      <c r="C2153" s="2" t="s">
        <v>2806</v>
      </c>
      <c r="D2153" s="2" t="s">
        <v>2806</v>
      </c>
      <c r="E2153" s="3">
        <v>588</v>
      </c>
      <c r="F2153" s="3">
        <v>0</v>
      </c>
      <c r="G2153" s="2" t="s">
        <v>196</v>
      </c>
      <c r="H2153" s="2" t="s">
        <v>2811</v>
      </c>
      <c r="I2153" s="2" t="s">
        <v>256</v>
      </c>
    </row>
    <row r="2154" spans="1:9" ht="16" x14ac:dyDescent="0.8">
      <c r="A2154" s="2" t="s">
        <v>2886</v>
      </c>
      <c r="B2154" s="2" t="s">
        <v>2143</v>
      </c>
      <c r="C2154" s="2" t="s">
        <v>2144</v>
      </c>
      <c r="D2154" s="2" t="s">
        <v>2144</v>
      </c>
      <c r="E2154" s="3">
        <v>1996</v>
      </c>
      <c r="F2154" s="3">
        <v>0</v>
      </c>
      <c r="G2154" s="2" t="s">
        <v>196</v>
      </c>
      <c r="H2154" s="2" t="s">
        <v>2859</v>
      </c>
      <c r="I2154" s="2" t="s">
        <v>168</v>
      </c>
    </row>
    <row r="2155" spans="1:9" ht="16" x14ac:dyDescent="0.8">
      <c r="A2155" s="2" t="s">
        <v>2887</v>
      </c>
      <c r="B2155" s="2" t="s">
        <v>2145</v>
      </c>
      <c r="C2155" s="2" t="s">
        <v>2146</v>
      </c>
      <c r="D2155" s="2" t="s">
        <v>2146</v>
      </c>
      <c r="E2155" s="3">
        <v>18162</v>
      </c>
      <c r="F2155" s="3">
        <v>0</v>
      </c>
      <c r="G2155" s="2" t="s">
        <v>196</v>
      </c>
      <c r="H2155" s="2" t="s">
        <v>2859</v>
      </c>
      <c r="I2155" s="2" t="s">
        <v>1121</v>
      </c>
    </row>
    <row r="2156" spans="1:9" ht="16" x14ac:dyDescent="0.8">
      <c r="A2156" s="2" t="s">
        <v>2888</v>
      </c>
      <c r="B2156" s="2" t="s">
        <v>2145</v>
      </c>
      <c r="C2156" s="2" t="s">
        <v>2146</v>
      </c>
      <c r="D2156" s="2" t="s">
        <v>2146</v>
      </c>
      <c r="E2156" s="3">
        <v>12108</v>
      </c>
      <c r="F2156" s="3">
        <v>0</v>
      </c>
      <c r="G2156" s="2" t="s">
        <v>196</v>
      </c>
      <c r="H2156" s="2" t="s">
        <v>2859</v>
      </c>
      <c r="I2156" s="2" t="s">
        <v>1121</v>
      </c>
    </row>
    <row r="2157" spans="1:9" ht="16" x14ac:dyDescent="0.8">
      <c r="A2157" s="2" t="s">
        <v>2889</v>
      </c>
      <c r="B2157" s="2" t="s">
        <v>2092</v>
      </c>
      <c r="C2157" s="2" t="s">
        <v>2093</v>
      </c>
      <c r="D2157" s="2" t="s">
        <v>2093</v>
      </c>
      <c r="E2157" s="3">
        <v>5044</v>
      </c>
      <c r="F2157" s="3">
        <v>0</v>
      </c>
      <c r="G2157" s="2" t="s">
        <v>196</v>
      </c>
      <c r="H2157" s="2" t="s">
        <v>2859</v>
      </c>
      <c r="I2157" s="2" t="s">
        <v>437</v>
      </c>
    </row>
    <row r="2158" spans="1:9" ht="16" x14ac:dyDescent="0.8">
      <c r="A2158" s="2" t="s">
        <v>2890</v>
      </c>
      <c r="B2158" s="2" t="s">
        <v>2095</v>
      </c>
      <c r="C2158" s="2" t="s">
        <v>2096</v>
      </c>
      <c r="D2158" s="2" t="s">
        <v>2096</v>
      </c>
      <c r="E2158" s="3">
        <v>28758</v>
      </c>
      <c r="F2158" s="3">
        <v>0</v>
      </c>
      <c r="G2158" s="2" t="s">
        <v>196</v>
      </c>
      <c r="H2158" s="2" t="s">
        <v>2859</v>
      </c>
      <c r="I2158" s="2" t="s">
        <v>201</v>
      </c>
    </row>
    <row r="2159" spans="1:9" ht="16" x14ac:dyDescent="0.8">
      <c r="A2159" s="2" t="s">
        <v>2890</v>
      </c>
      <c r="B2159" s="2" t="s">
        <v>2147</v>
      </c>
      <c r="C2159" s="2" t="s">
        <v>1132</v>
      </c>
      <c r="D2159" s="2" t="s">
        <v>1132</v>
      </c>
      <c r="E2159" s="3">
        <v>19674</v>
      </c>
      <c r="F2159" s="3">
        <v>0</v>
      </c>
      <c r="G2159" s="2" t="s">
        <v>196</v>
      </c>
      <c r="H2159" s="2" t="s">
        <v>2859</v>
      </c>
      <c r="I2159" s="2" t="s">
        <v>201</v>
      </c>
    </row>
    <row r="2160" spans="1:9" ht="16" x14ac:dyDescent="0.8">
      <c r="A2160" s="2" t="s">
        <v>2891</v>
      </c>
      <c r="B2160" s="2" t="s">
        <v>2095</v>
      </c>
      <c r="C2160" s="2" t="s">
        <v>2096</v>
      </c>
      <c r="D2160" s="2" t="s">
        <v>2096</v>
      </c>
      <c r="E2160" s="3">
        <v>19164</v>
      </c>
      <c r="F2160" s="3">
        <v>0</v>
      </c>
      <c r="G2160" s="2" t="s">
        <v>196</v>
      </c>
      <c r="H2160" s="2" t="s">
        <v>2859</v>
      </c>
      <c r="I2160" s="2" t="s">
        <v>201</v>
      </c>
    </row>
    <row r="2161" spans="1:9" ht="16" x14ac:dyDescent="0.8">
      <c r="A2161" s="2" t="s">
        <v>2891</v>
      </c>
      <c r="B2161" s="2" t="s">
        <v>2147</v>
      </c>
      <c r="C2161" s="2" t="s">
        <v>1132</v>
      </c>
      <c r="D2161" s="2" t="s">
        <v>1132</v>
      </c>
      <c r="E2161" s="3">
        <v>13116</v>
      </c>
      <c r="F2161" s="3">
        <v>0</v>
      </c>
      <c r="G2161" s="2" t="s">
        <v>196</v>
      </c>
      <c r="H2161" s="2" t="s">
        <v>2859</v>
      </c>
      <c r="I2161" s="2" t="s">
        <v>201</v>
      </c>
    </row>
    <row r="2162" spans="1:9" ht="16" x14ac:dyDescent="0.8">
      <c r="A2162" s="2" t="s">
        <v>2892</v>
      </c>
      <c r="B2162" s="2" t="s">
        <v>2148</v>
      </c>
      <c r="C2162" s="2" t="s">
        <v>2149</v>
      </c>
      <c r="D2162" s="2" t="s">
        <v>2149</v>
      </c>
      <c r="E2162" s="3">
        <v>10002</v>
      </c>
      <c r="F2162" s="3">
        <v>0</v>
      </c>
      <c r="G2162" s="2" t="s">
        <v>196</v>
      </c>
      <c r="H2162" s="2" t="s">
        <v>2859</v>
      </c>
      <c r="I2162" s="2" t="s">
        <v>412</v>
      </c>
    </row>
    <row r="2163" spans="1:9" ht="16" x14ac:dyDescent="0.8">
      <c r="A2163" s="2" t="s">
        <v>2894</v>
      </c>
      <c r="B2163" s="2" t="s">
        <v>394</v>
      </c>
      <c r="C2163" s="2" t="s">
        <v>395</v>
      </c>
      <c r="D2163" s="2" t="s">
        <v>395</v>
      </c>
      <c r="E2163" s="3">
        <v>13716</v>
      </c>
      <c r="F2163" s="3">
        <v>13716</v>
      </c>
      <c r="G2163" s="2" t="s">
        <v>11</v>
      </c>
      <c r="H2163" s="2" t="s">
        <v>2893</v>
      </c>
      <c r="I2163" s="2" t="s">
        <v>256</v>
      </c>
    </row>
    <row r="2164" spans="1:9" ht="16" x14ac:dyDescent="0.8">
      <c r="A2164" s="2" t="s">
        <v>2895</v>
      </c>
      <c r="B2164" s="2" t="s">
        <v>2896</v>
      </c>
      <c r="C2164" s="2" t="s">
        <v>2897</v>
      </c>
      <c r="D2164" s="2" t="s">
        <v>2897</v>
      </c>
      <c r="E2164" s="3">
        <v>24</v>
      </c>
      <c r="F2164" s="3">
        <v>0</v>
      </c>
      <c r="G2164" s="2" t="s">
        <v>196</v>
      </c>
      <c r="H2164" s="2" t="s">
        <v>2879</v>
      </c>
      <c r="I2164" s="2" t="s">
        <v>168</v>
      </c>
    </row>
    <row r="2165" spans="1:9" ht="16" x14ac:dyDescent="0.8">
      <c r="A2165" s="2" t="s">
        <v>2895</v>
      </c>
      <c r="B2165" s="2" t="s">
        <v>2898</v>
      </c>
      <c r="C2165" s="2" t="s">
        <v>2899</v>
      </c>
      <c r="D2165" s="2" t="s">
        <v>2899</v>
      </c>
      <c r="E2165" s="3">
        <v>18</v>
      </c>
      <c r="F2165" s="3">
        <v>0</v>
      </c>
      <c r="G2165" s="2" t="s">
        <v>196</v>
      </c>
      <c r="H2165" s="2" t="s">
        <v>2879</v>
      </c>
      <c r="I2165" s="2" t="s">
        <v>168</v>
      </c>
    </row>
    <row r="2166" spans="1:9" ht="16" x14ac:dyDescent="0.8">
      <c r="A2166" s="2" t="s">
        <v>2895</v>
      </c>
      <c r="B2166" s="2" t="s">
        <v>2900</v>
      </c>
      <c r="C2166" s="2" t="s">
        <v>2901</v>
      </c>
      <c r="D2166" s="2" t="s">
        <v>2901</v>
      </c>
      <c r="E2166" s="3">
        <v>16</v>
      </c>
      <c r="F2166" s="3">
        <v>0</v>
      </c>
      <c r="G2166" s="2" t="s">
        <v>196</v>
      </c>
      <c r="H2166" s="2" t="s">
        <v>2879</v>
      </c>
      <c r="I2166" s="2" t="s">
        <v>168</v>
      </c>
    </row>
    <row r="2167" spans="1:9" ht="16" x14ac:dyDescent="0.8">
      <c r="A2167" s="2" t="s">
        <v>2895</v>
      </c>
      <c r="B2167" s="2" t="s">
        <v>2902</v>
      </c>
      <c r="C2167" s="2" t="s">
        <v>2903</v>
      </c>
      <c r="D2167" s="2" t="s">
        <v>2903</v>
      </c>
      <c r="E2167" s="3">
        <v>16</v>
      </c>
      <c r="F2167" s="3">
        <v>0</v>
      </c>
      <c r="G2167" s="2" t="s">
        <v>196</v>
      </c>
      <c r="H2167" s="2" t="s">
        <v>2879</v>
      </c>
      <c r="I2167" s="2" t="s">
        <v>168</v>
      </c>
    </row>
    <row r="2168" spans="1:9" ht="16" x14ac:dyDescent="0.8">
      <c r="A2168" s="2" t="s">
        <v>2895</v>
      </c>
      <c r="B2168" s="2" t="s">
        <v>2904</v>
      </c>
      <c r="C2168" s="2" t="s">
        <v>461</v>
      </c>
      <c r="D2168" s="2" t="s">
        <v>461</v>
      </c>
      <c r="E2168" s="3">
        <v>24</v>
      </c>
      <c r="F2168" s="3">
        <v>0</v>
      </c>
      <c r="G2168" s="2" t="s">
        <v>196</v>
      </c>
      <c r="H2168" s="2" t="s">
        <v>2879</v>
      </c>
      <c r="I2168" s="2" t="s">
        <v>168</v>
      </c>
    </row>
    <row r="2169" spans="1:9" ht="16" x14ac:dyDescent="0.8">
      <c r="A2169" s="2" t="s">
        <v>2895</v>
      </c>
      <c r="B2169" s="2" t="s">
        <v>2905</v>
      </c>
      <c r="C2169" s="2" t="s">
        <v>466</v>
      </c>
      <c r="D2169" s="2" t="s">
        <v>466</v>
      </c>
      <c r="E2169" s="3">
        <v>18</v>
      </c>
      <c r="F2169" s="3">
        <v>0</v>
      </c>
      <c r="G2169" s="2" t="s">
        <v>196</v>
      </c>
      <c r="H2169" s="2" t="s">
        <v>2879</v>
      </c>
      <c r="I2169" s="2" t="s">
        <v>168</v>
      </c>
    </row>
    <row r="2170" spans="1:9" ht="16" x14ac:dyDescent="0.8">
      <c r="A2170" s="2" t="s">
        <v>2895</v>
      </c>
      <c r="B2170" s="2" t="s">
        <v>2906</v>
      </c>
      <c r="C2170" s="2" t="s">
        <v>468</v>
      </c>
      <c r="D2170" s="2" t="s">
        <v>468</v>
      </c>
      <c r="E2170" s="3">
        <v>16</v>
      </c>
      <c r="F2170" s="3">
        <v>0</v>
      </c>
      <c r="G2170" s="2" t="s">
        <v>196</v>
      </c>
      <c r="H2170" s="2" t="s">
        <v>2879</v>
      </c>
      <c r="I2170" s="2" t="s">
        <v>168</v>
      </c>
    </row>
    <row r="2171" spans="1:9" ht="16" x14ac:dyDescent="0.8">
      <c r="A2171" s="2" t="s">
        <v>2907</v>
      </c>
      <c r="B2171" s="2" t="s">
        <v>2896</v>
      </c>
      <c r="C2171" s="2" t="s">
        <v>2897</v>
      </c>
      <c r="D2171" s="2" t="s">
        <v>2897</v>
      </c>
      <c r="E2171" s="3">
        <v>192</v>
      </c>
      <c r="F2171" s="3">
        <v>0</v>
      </c>
      <c r="G2171" s="2" t="s">
        <v>196</v>
      </c>
      <c r="H2171" s="2" t="s">
        <v>2879</v>
      </c>
      <c r="I2171" s="2" t="s">
        <v>168</v>
      </c>
    </row>
    <row r="2172" spans="1:9" ht="16" x14ac:dyDescent="0.8">
      <c r="A2172" s="2" t="s">
        <v>2907</v>
      </c>
      <c r="B2172" s="2" t="s">
        <v>2898</v>
      </c>
      <c r="C2172" s="2" t="s">
        <v>2899</v>
      </c>
      <c r="D2172" s="2" t="s">
        <v>2899</v>
      </c>
      <c r="E2172" s="3">
        <v>180</v>
      </c>
      <c r="F2172" s="3">
        <v>0</v>
      </c>
      <c r="G2172" s="2" t="s">
        <v>196</v>
      </c>
      <c r="H2172" s="2" t="s">
        <v>2879</v>
      </c>
      <c r="I2172" s="2" t="s">
        <v>168</v>
      </c>
    </row>
    <row r="2173" spans="1:9" ht="16" x14ac:dyDescent="0.8">
      <c r="A2173" s="2" t="s">
        <v>2907</v>
      </c>
      <c r="B2173" s="2" t="s">
        <v>2900</v>
      </c>
      <c r="C2173" s="2" t="s">
        <v>2901</v>
      </c>
      <c r="D2173" s="2" t="s">
        <v>2901</v>
      </c>
      <c r="E2173" s="3">
        <v>120</v>
      </c>
      <c r="F2173" s="3">
        <v>0</v>
      </c>
      <c r="G2173" s="2" t="s">
        <v>196</v>
      </c>
      <c r="H2173" s="2" t="s">
        <v>2879</v>
      </c>
      <c r="I2173" s="2" t="s">
        <v>168</v>
      </c>
    </row>
    <row r="2174" spans="1:9" ht="16" x14ac:dyDescent="0.8">
      <c r="A2174" s="2" t="s">
        <v>2907</v>
      </c>
      <c r="B2174" s="2" t="s">
        <v>2902</v>
      </c>
      <c r="C2174" s="2" t="s">
        <v>2903</v>
      </c>
      <c r="D2174" s="2" t="s">
        <v>2903</v>
      </c>
      <c r="E2174" s="3">
        <v>118</v>
      </c>
      <c r="F2174" s="3">
        <v>0</v>
      </c>
      <c r="G2174" s="2" t="s">
        <v>196</v>
      </c>
      <c r="H2174" s="2" t="s">
        <v>2879</v>
      </c>
      <c r="I2174" s="2" t="s">
        <v>168</v>
      </c>
    </row>
    <row r="2175" spans="1:9" ht="16" x14ac:dyDescent="0.8">
      <c r="A2175" s="2" t="s">
        <v>2907</v>
      </c>
      <c r="B2175" s="2" t="s">
        <v>2904</v>
      </c>
      <c r="C2175" s="2" t="s">
        <v>461</v>
      </c>
      <c r="D2175" s="2" t="s">
        <v>461</v>
      </c>
      <c r="E2175" s="3">
        <v>156</v>
      </c>
      <c r="F2175" s="3">
        <v>0</v>
      </c>
      <c r="G2175" s="2" t="s">
        <v>196</v>
      </c>
      <c r="H2175" s="2" t="s">
        <v>2879</v>
      </c>
      <c r="I2175" s="2" t="s">
        <v>168</v>
      </c>
    </row>
    <row r="2176" spans="1:9" ht="16" x14ac:dyDescent="0.8">
      <c r="A2176" s="2" t="s">
        <v>2907</v>
      </c>
      <c r="B2176" s="2" t="s">
        <v>2905</v>
      </c>
      <c r="C2176" s="2" t="s">
        <v>466</v>
      </c>
      <c r="D2176" s="2" t="s">
        <v>466</v>
      </c>
      <c r="E2176" s="3">
        <v>120</v>
      </c>
      <c r="F2176" s="3">
        <v>0</v>
      </c>
      <c r="G2176" s="2" t="s">
        <v>196</v>
      </c>
      <c r="H2176" s="2" t="s">
        <v>2879</v>
      </c>
      <c r="I2176" s="2" t="s">
        <v>168</v>
      </c>
    </row>
    <row r="2177" spans="1:9" ht="16" x14ac:dyDescent="0.8">
      <c r="A2177" s="2" t="s">
        <v>2907</v>
      </c>
      <c r="B2177" s="2" t="s">
        <v>2906</v>
      </c>
      <c r="C2177" s="2" t="s">
        <v>468</v>
      </c>
      <c r="D2177" s="2" t="s">
        <v>468</v>
      </c>
      <c r="E2177" s="3">
        <v>148</v>
      </c>
      <c r="F2177" s="3">
        <v>0</v>
      </c>
      <c r="G2177" s="2" t="s">
        <v>196</v>
      </c>
      <c r="H2177" s="2" t="s">
        <v>2879</v>
      </c>
      <c r="I2177" s="2" t="s">
        <v>168</v>
      </c>
    </row>
    <row r="2178" spans="1:9" ht="16" x14ac:dyDescent="0.8">
      <c r="A2178" s="2" t="s">
        <v>2909</v>
      </c>
      <c r="B2178" s="2" t="s">
        <v>2910</v>
      </c>
      <c r="C2178" s="2" t="s">
        <v>2911</v>
      </c>
      <c r="D2178" s="2" t="s">
        <v>2911</v>
      </c>
      <c r="E2178" s="3">
        <v>9600</v>
      </c>
      <c r="F2178" s="3">
        <v>9600</v>
      </c>
      <c r="G2178" s="2" t="s">
        <v>11</v>
      </c>
      <c r="H2178" s="2" t="s">
        <v>2879</v>
      </c>
      <c r="I2178" s="2" t="s">
        <v>509</v>
      </c>
    </row>
    <row r="2179" spans="1:9" ht="16" x14ac:dyDescent="0.8">
      <c r="A2179" s="2" t="s">
        <v>2913</v>
      </c>
      <c r="B2179" s="2" t="s">
        <v>2914</v>
      </c>
      <c r="C2179" s="2" t="s">
        <v>2915</v>
      </c>
      <c r="D2179" s="2" t="s">
        <v>2915</v>
      </c>
      <c r="E2179" s="3">
        <v>48402</v>
      </c>
      <c r="F2179" s="3">
        <v>0</v>
      </c>
      <c r="G2179" s="2" t="s">
        <v>196</v>
      </c>
      <c r="H2179" s="2" t="s">
        <v>2912</v>
      </c>
      <c r="I2179" s="2" t="s">
        <v>2179</v>
      </c>
    </row>
    <row r="2180" spans="1:9" ht="16" x14ac:dyDescent="0.8">
      <c r="A2180" s="2" t="s">
        <v>2913</v>
      </c>
      <c r="B2180" s="2" t="s">
        <v>2916</v>
      </c>
      <c r="C2180" s="2" t="s">
        <v>2917</v>
      </c>
      <c r="D2180" s="2" t="s">
        <v>2917</v>
      </c>
      <c r="E2180" s="3">
        <v>54450</v>
      </c>
      <c r="F2180" s="3">
        <v>0</v>
      </c>
      <c r="G2180" s="2" t="s">
        <v>196</v>
      </c>
      <c r="H2180" s="2" t="s">
        <v>2912</v>
      </c>
      <c r="I2180" s="2" t="s">
        <v>2179</v>
      </c>
    </row>
    <row r="2181" spans="1:9" ht="16" x14ac:dyDescent="0.8">
      <c r="A2181" s="2" t="s">
        <v>2913</v>
      </c>
      <c r="B2181" s="2" t="s">
        <v>2918</v>
      </c>
      <c r="C2181" s="2" t="s">
        <v>2919</v>
      </c>
      <c r="D2181" s="2" t="s">
        <v>2919</v>
      </c>
      <c r="E2181" s="3">
        <v>42426</v>
      </c>
      <c r="F2181" s="3">
        <v>0</v>
      </c>
      <c r="G2181" s="2" t="s">
        <v>196</v>
      </c>
      <c r="H2181" s="2" t="s">
        <v>2912</v>
      </c>
      <c r="I2181" s="2" t="s">
        <v>2179</v>
      </c>
    </row>
    <row r="2182" spans="1:9" ht="16" x14ac:dyDescent="0.8">
      <c r="A2182" s="2" t="s">
        <v>2913</v>
      </c>
      <c r="B2182" s="2" t="s">
        <v>2920</v>
      </c>
      <c r="C2182" s="2" t="s">
        <v>2921</v>
      </c>
      <c r="D2182" s="2" t="s">
        <v>2921</v>
      </c>
      <c r="E2182" s="3">
        <v>42018</v>
      </c>
      <c r="F2182" s="3">
        <v>0</v>
      </c>
      <c r="G2182" s="2" t="s">
        <v>196</v>
      </c>
      <c r="H2182" s="2" t="s">
        <v>2912</v>
      </c>
      <c r="I2182" s="2" t="s">
        <v>2179</v>
      </c>
    </row>
    <row r="2183" spans="1:9" ht="16" x14ac:dyDescent="0.8">
      <c r="A2183" s="2" t="s">
        <v>2913</v>
      </c>
      <c r="B2183" s="2" t="s">
        <v>2922</v>
      </c>
      <c r="C2183" s="2" t="s">
        <v>2923</v>
      </c>
      <c r="D2183" s="2" t="s">
        <v>2923</v>
      </c>
      <c r="E2183" s="3">
        <v>60018</v>
      </c>
      <c r="F2183" s="3">
        <v>0</v>
      </c>
      <c r="G2183" s="2" t="s">
        <v>196</v>
      </c>
      <c r="H2183" s="2" t="s">
        <v>2912</v>
      </c>
      <c r="I2183" s="2" t="s">
        <v>2179</v>
      </c>
    </row>
    <row r="2184" spans="1:9" ht="16" x14ac:dyDescent="0.8">
      <c r="A2184" s="2" t="s">
        <v>2913</v>
      </c>
      <c r="B2184" s="2" t="s">
        <v>2924</v>
      </c>
      <c r="C2184" s="2" t="s">
        <v>2925</v>
      </c>
      <c r="D2184" s="2" t="s">
        <v>2925</v>
      </c>
      <c r="E2184" s="3">
        <v>54138</v>
      </c>
      <c r="F2184" s="3">
        <v>0</v>
      </c>
      <c r="G2184" s="2" t="s">
        <v>196</v>
      </c>
      <c r="H2184" s="2" t="s">
        <v>2912</v>
      </c>
      <c r="I2184" s="2" t="s">
        <v>2179</v>
      </c>
    </row>
    <row r="2185" spans="1:9" ht="16" x14ac:dyDescent="0.8">
      <c r="A2185" s="2" t="s">
        <v>2927</v>
      </c>
      <c r="B2185" s="2" t="s">
        <v>2928</v>
      </c>
      <c r="C2185" s="2" t="s">
        <v>2929</v>
      </c>
      <c r="D2185" s="2" t="s">
        <v>2929</v>
      </c>
      <c r="E2185" s="3">
        <v>5244</v>
      </c>
      <c r="F2185" s="3">
        <v>0</v>
      </c>
      <c r="G2185" s="2" t="s">
        <v>196</v>
      </c>
      <c r="H2185" s="2" t="s">
        <v>2908</v>
      </c>
      <c r="I2185" s="2" t="s">
        <v>262</v>
      </c>
    </row>
    <row r="2186" spans="1:9" ht="16" x14ac:dyDescent="0.8">
      <c r="A2186" s="2" t="s">
        <v>2930</v>
      </c>
      <c r="B2186" s="2" t="s">
        <v>2931</v>
      </c>
      <c r="C2186" s="2" t="s">
        <v>2932</v>
      </c>
      <c r="D2186" s="2" t="s">
        <v>2932</v>
      </c>
      <c r="E2186" s="3">
        <v>22044</v>
      </c>
      <c r="F2186" s="3">
        <v>0</v>
      </c>
      <c r="G2186" s="2" t="s">
        <v>196</v>
      </c>
      <c r="H2186" s="2" t="s">
        <v>2908</v>
      </c>
      <c r="I2186" s="2" t="s">
        <v>2933</v>
      </c>
    </row>
    <row r="2187" spans="1:9" ht="16" x14ac:dyDescent="0.8">
      <c r="A2187" s="2" t="s">
        <v>2930</v>
      </c>
      <c r="B2187" s="2" t="s">
        <v>2934</v>
      </c>
      <c r="C2187" s="2" t="s">
        <v>2935</v>
      </c>
      <c r="D2187" s="2" t="s">
        <v>2935</v>
      </c>
      <c r="E2187" s="3">
        <v>22518</v>
      </c>
      <c r="F2187" s="3">
        <v>0</v>
      </c>
      <c r="G2187" s="2" t="s">
        <v>196</v>
      </c>
      <c r="H2187" s="2" t="s">
        <v>2908</v>
      </c>
      <c r="I2187" s="2" t="s">
        <v>2933</v>
      </c>
    </row>
    <row r="2188" spans="1:9" ht="16" x14ac:dyDescent="0.8">
      <c r="A2188" s="2" t="s">
        <v>2930</v>
      </c>
      <c r="B2188" s="2" t="s">
        <v>2936</v>
      </c>
      <c r="C2188" s="2" t="s">
        <v>2937</v>
      </c>
      <c r="D2188" s="2" t="s">
        <v>2937</v>
      </c>
      <c r="E2188" s="3">
        <v>5418</v>
      </c>
      <c r="F2188" s="3">
        <v>0</v>
      </c>
      <c r="G2188" s="2" t="s">
        <v>196</v>
      </c>
      <c r="H2188" s="2" t="s">
        <v>2908</v>
      </c>
      <c r="I2188" s="2" t="s">
        <v>2933</v>
      </c>
    </row>
    <row r="2189" spans="1:9" ht="16" x14ac:dyDescent="0.8">
      <c r="A2189" s="2" t="s">
        <v>2930</v>
      </c>
      <c r="B2189" s="2" t="s">
        <v>2938</v>
      </c>
      <c r="C2189" s="2" t="s">
        <v>2939</v>
      </c>
      <c r="D2189" s="2" t="s">
        <v>2939</v>
      </c>
      <c r="E2189" s="3">
        <v>5418</v>
      </c>
      <c r="F2189" s="3">
        <v>0</v>
      </c>
      <c r="G2189" s="2" t="s">
        <v>196</v>
      </c>
      <c r="H2189" s="2" t="s">
        <v>2908</v>
      </c>
      <c r="I2189" s="2" t="s">
        <v>2933</v>
      </c>
    </row>
    <row r="2190" spans="1:9" ht="16" x14ac:dyDescent="0.8">
      <c r="A2190" s="2" t="s">
        <v>2930</v>
      </c>
      <c r="B2190" s="2" t="s">
        <v>2940</v>
      </c>
      <c r="C2190" s="2" t="s">
        <v>2941</v>
      </c>
      <c r="D2190" s="2" t="s">
        <v>2941</v>
      </c>
      <c r="E2190" s="3">
        <v>7092</v>
      </c>
      <c r="F2190" s="3">
        <v>0</v>
      </c>
      <c r="G2190" s="2" t="s">
        <v>196</v>
      </c>
      <c r="H2190" s="2" t="s">
        <v>2908</v>
      </c>
      <c r="I2190" s="2" t="s">
        <v>2933</v>
      </c>
    </row>
    <row r="2191" spans="1:9" ht="16" x14ac:dyDescent="0.8">
      <c r="A2191" s="2" t="s">
        <v>2930</v>
      </c>
      <c r="B2191" s="2" t="s">
        <v>2942</v>
      </c>
      <c r="C2191" s="2" t="s">
        <v>2943</v>
      </c>
      <c r="D2191" s="2" t="s">
        <v>2943</v>
      </c>
      <c r="E2191" s="3">
        <v>2778</v>
      </c>
      <c r="F2191" s="3">
        <v>0</v>
      </c>
      <c r="G2191" s="2" t="s">
        <v>196</v>
      </c>
      <c r="H2191" s="2" t="s">
        <v>2908</v>
      </c>
      <c r="I2191" s="2" t="s">
        <v>2933</v>
      </c>
    </row>
    <row r="2192" spans="1:9" ht="16" x14ac:dyDescent="0.8">
      <c r="A2192" s="2" t="s">
        <v>2930</v>
      </c>
      <c r="B2192" s="2" t="s">
        <v>2944</v>
      </c>
      <c r="C2192" s="2" t="s">
        <v>2945</v>
      </c>
      <c r="D2192" s="2" t="s">
        <v>2945</v>
      </c>
      <c r="E2192" s="3">
        <v>3834</v>
      </c>
      <c r="F2192" s="3">
        <v>0</v>
      </c>
      <c r="G2192" s="2" t="s">
        <v>196</v>
      </c>
      <c r="H2192" s="2" t="s">
        <v>2908</v>
      </c>
      <c r="I2192" s="2" t="s">
        <v>2933</v>
      </c>
    </row>
    <row r="2193" spans="1:9" ht="16" x14ac:dyDescent="0.8">
      <c r="A2193" s="2" t="s">
        <v>2946</v>
      </c>
      <c r="B2193" s="2" t="s">
        <v>2947</v>
      </c>
      <c r="C2193" s="2" t="s">
        <v>2948</v>
      </c>
      <c r="D2193" s="2" t="s">
        <v>2948</v>
      </c>
      <c r="E2193" s="3">
        <v>5676</v>
      </c>
      <c r="F2193" s="3">
        <v>0</v>
      </c>
      <c r="G2193" s="2" t="s">
        <v>196</v>
      </c>
      <c r="H2193" s="2" t="s">
        <v>2908</v>
      </c>
      <c r="I2193" s="2" t="s">
        <v>23</v>
      </c>
    </row>
    <row r="2194" spans="1:9" ht="16" x14ac:dyDescent="0.8">
      <c r="A2194" s="2" t="s">
        <v>2946</v>
      </c>
      <c r="B2194" s="2" t="s">
        <v>2949</v>
      </c>
      <c r="C2194" s="2" t="s">
        <v>2950</v>
      </c>
      <c r="D2194" s="2" t="s">
        <v>2950</v>
      </c>
      <c r="E2194" s="3">
        <v>8436</v>
      </c>
      <c r="F2194" s="3">
        <v>0</v>
      </c>
      <c r="G2194" s="2" t="s">
        <v>196</v>
      </c>
      <c r="H2194" s="2" t="s">
        <v>2908</v>
      </c>
      <c r="I2194" s="2" t="s">
        <v>23</v>
      </c>
    </row>
    <row r="2195" spans="1:9" ht="16" x14ac:dyDescent="0.8">
      <c r="A2195" s="2" t="s">
        <v>2951</v>
      </c>
      <c r="B2195" s="2" t="s">
        <v>165</v>
      </c>
      <c r="C2195" s="2" t="s">
        <v>166</v>
      </c>
      <c r="D2195" s="2" t="s">
        <v>166</v>
      </c>
      <c r="E2195" s="3">
        <v>5526</v>
      </c>
      <c r="F2195" s="3">
        <v>0</v>
      </c>
      <c r="G2195" s="2" t="s">
        <v>196</v>
      </c>
      <c r="H2195" s="2" t="s">
        <v>2952</v>
      </c>
      <c r="I2195" s="2" t="s">
        <v>168</v>
      </c>
    </row>
    <row r="2196" spans="1:9" ht="16" x14ac:dyDescent="0.8">
      <c r="A2196" s="2" t="s">
        <v>2951</v>
      </c>
      <c r="B2196" s="2" t="s">
        <v>180</v>
      </c>
      <c r="C2196" s="2" t="s">
        <v>181</v>
      </c>
      <c r="D2196" s="2" t="s">
        <v>181</v>
      </c>
      <c r="E2196" s="3">
        <v>2904</v>
      </c>
      <c r="F2196" s="3">
        <v>0</v>
      </c>
      <c r="G2196" s="2" t="s">
        <v>196</v>
      </c>
      <c r="H2196" s="2" t="s">
        <v>2952</v>
      </c>
      <c r="I2196" s="2" t="s">
        <v>168</v>
      </c>
    </row>
    <row r="2197" spans="1:9" ht="16" x14ac:dyDescent="0.8">
      <c r="A2197" s="2" t="s">
        <v>2951</v>
      </c>
      <c r="B2197" s="2" t="s">
        <v>169</v>
      </c>
      <c r="C2197" s="2" t="s">
        <v>170</v>
      </c>
      <c r="D2197" s="2" t="s">
        <v>170</v>
      </c>
      <c r="E2197" s="3">
        <v>5216</v>
      </c>
      <c r="F2197" s="3">
        <v>0</v>
      </c>
      <c r="G2197" s="2" t="s">
        <v>196</v>
      </c>
      <c r="H2197" s="2" t="s">
        <v>2952</v>
      </c>
      <c r="I2197" s="2" t="s">
        <v>168</v>
      </c>
    </row>
    <row r="2198" spans="1:9" ht="16" x14ac:dyDescent="0.8">
      <c r="A2198" s="2" t="s">
        <v>2951</v>
      </c>
      <c r="B2198" s="2" t="s">
        <v>171</v>
      </c>
      <c r="C2198" s="2" t="s">
        <v>172</v>
      </c>
      <c r="D2198" s="2" t="s">
        <v>172</v>
      </c>
      <c r="E2198" s="3">
        <v>10880</v>
      </c>
      <c r="F2198" s="3">
        <v>0</v>
      </c>
      <c r="G2198" s="2" t="s">
        <v>196</v>
      </c>
      <c r="H2198" s="2" t="s">
        <v>2952</v>
      </c>
      <c r="I2198" s="2" t="s">
        <v>168</v>
      </c>
    </row>
    <row r="2199" spans="1:9" ht="16" x14ac:dyDescent="0.8">
      <c r="A2199" s="2" t="s">
        <v>2951</v>
      </c>
      <c r="B2199" s="2" t="s">
        <v>173</v>
      </c>
      <c r="C2199" s="2" t="s">
        <v>174</v>
      </c>
      <c r="D2199" s="2" t="s">
        <v>174</v>
      </c>
      <c r="E2199" s="3">
        <v>2140</v>
      </c>
      <c r="F2199" s="3">
        <v>0</v>
      </c>
      <c r="G2199" s="2" t="s">
        <v>196</v>
      </c>
      <c r="H2199" s="2" t="s">
        <v>2952</v>
      </c>
      <c r="I2199" s="2" t="s">
        <v>168</v>
      </c>
    </row>
    <row r="2200" spans="1:9" ht="16" x14ac:dyDescent="0.8">
      <c r="A2200" s="2" t="s">
        <v>2953</v>
      </c>
      <c r="B2200" s="2" t="s">
        <v>165</v>
      </c>
      <c r="C2200" s="2" t="s">
        <v>166</v>
      </c>
      <c r="D2200" s="2" t="s">
        <v>166</v>
      </c>
      <c r="E2200" s="3">
        <v>5004</v>
      </c>
      <c r="F2200" s="3">
        <v>0</v>
      </c>
      <c r="G2200" s="2" t="s">
        <v>196</v>
      </c>
      <c r="H2200" s="2" t="s">
        <v>2952</v>
      </c>
      <c r="I2200" s="2" t="s">
        <v>168</v>
      </c>
    </row>
    <row r="2201" spans="1:9" ht="16" x14ac:dyDescent="0.8">
      <c r="A2201" s="2" t="s">
        <v>2953</v>
      </c>
      <c r="B2201" s="2" t="s">
        <v>169</v>
      </c>
      <c r="C2201" s="2" t="s">
        <v>170</v>
      </c>
      <c r="D2201" s="2" t="s">
        <v>170</v>
      </c>
      <c r="E2201" s="3">
        <v>5000</v>
      </c>
      <c r="F2201" s="3">
        <v>0</v>
      </c>
      <c r="G2201" s="2" t="s">
        <v>196</v>
      </c>
      <c r="H2201" s="2" t="s">
        <v>2952</v>
      </c>
      <c r="I2201" s="2" t="s">
        <v>168</v>
      </c>
    </row>
    <row r="2202" spans="1:9" ht="16" x14ac:dyDescent="0.8">
      <c r="A2202" s="2" t="s">
        <v>2953</v>
      </c>
      <c r="B2202" s="2" t="s">
        <v>171</v>
      </c>
      <c r="C2202" s="2" t="s">
        <v>172</v>
      </c>
      <c r="D2202" s="2" t="s">
        <v>172</v>
      </c>
      <c r="E2202" s="3">
        <v>10000</v>
      </c>
      <c r="F2202" s="3">
        <v>0</v>
      </c>
      <c r="G2202" s="2" t="s">
        <v>196</v>
      </c>
      <c r="H2202" s="2" t="s">
        <v>2952</v>
      </c>
      <c r="I2202" s="2" t="s">
        <v>168</v>
      </c>
    </row>
    <row r="2203" spans="1:9" ht="16" x14ac:dyDescent="0.8">
      <c r="A2203" s="2" t="s">
        <v>2954</v>
      </c>
      <c r="B2203" s="2" t="s">
        <v>2955</v>
      </c>
      <c r="C2203" s="2" t="s">
        <v>2956</v>
      </c>
      <c r="D2203" s="2" t="s">
        <v>2956</v>
      </c>
      <c r="E2203" s="3">
        <v>18552</v>
      </c>
      <c r="F2203" s="3">
        <v>0</v>
      </c>
      <c r="G2203" s="2" t="s">
        <v>196</v>
      </c>
      <c r="H2203" s="2" t="s">
        <v>2926</v>
      </c>
      <c r="I2203" s="2" t="s">
        <v>279</v>
      </c>
    </row>
    <row r="2204" spans="1:9" ht="16" x14ac:dyDescent="0.8">
      <c r="A2204" s="2" t="s">
        <v>2954</v>
      </c>
      <c r="B2204" s="2" t="s">
        <v>350</v>
      </c>
      <c r="C2204" s="2" t="s">
        <v>351</v>
      </c>
      <c r="D2204" s="2" t="s">
        <v>351</v>
      </c>
      <c r="E2204" s="3">
        <v>15564</v>
      </c>
      <c r="F2204" s="3">
        <v>0</v>
      </c>
      <c r="G2204" s="2" t="s">
        <v>196</v>
      </c>
      <c r="H2204" s="2" t="s">
        <v>2926</v>
      </c>
      <c r="I2204" s="2" t="s">
        <v>279</v>
      </c>
    </row>
    <row r="2205" spans="1:9" ht="16" x14ac:dyDescent="0.8">
      <c r="A2205" s="2" t="s">
        <v>2954</v>
      </c>
      <c r="B2205" s="2" t="s">
        <v>348</v>
      </c>
      <c r="C2205" s="2" t="s">
        <v>349</v>
      </c>
      <c r="D2205" s="2" t="s">
        <v>349</v>
      </c>
      <c r="E2205" s="3">
        <v>18204</v>
      </c>
      <c r="F2205" s="3">
        <v>0</v>
      </c>
      <c r="G2205" s="2" t="s">
        <v>196</v>
      </c>
      <c r="H2205" s="2" t="s">
        <v>2926</v>
      </c>
      <c r="I2205" s="2" t="s">
        <v>279</v>
      </c>
    </row>
    <row r="2206" spans="1:9" ht="16" x14ac:dyDescent="0.8">
      <c r="A2206" s="2" t="s">
        <v>2954</v>
      </c>
      <c r="B2206" s="2" t="s">
        <v>495</v>
      </c>
      <c r="C2206" s="2" t="s">
        <v>353</v>
      </c>
      <c r="D2206" s="2" t="s">
        <v>353</v>
      </c>
      <c r="E2206" s="3">
        <v>26653</v>
      </c>
      <c r="F2206" s="3">
        <v>0</v>
      </c>
      <c r="G2206" s="2" t="s">
        <v>196</v>
      </c>
      <c r="H2206" s="2" t="s">
        <v>2926</v>
      </c>
      <c r="I2206" s="2" t="s">
        <v>279</v>
      </c>
    </row>
    <row r="2207" spans="1:9" ht="16" x14ac:dyDescent="0.8">
      <c r="A2207" s="2" t="s">
        <v>2954</v>
      </c>
      <c r="B2207" s="2" t="s">
        <v>354</v>
      </c>
      <c r="C2207" s="2" t="s">
        <v>355</v>
      </c>
      <c r="D2207" s="2" t="s">
        <v>355</v>
      </c>
      <c r="E2207" s="3">
        <v>8916</v>
      </c>
      <c r="F2207" s="3">
        <v>0</v>
      </c>
      <c r="G2207" s="2" t="s">
        <v>196</v>
      </c>
      <c r="H2207" s="2" t="s">
        <v>2926</v>
      </c>
      <c r="I2207" s="2" t="s">
        <v>279</v>
      </c>
    </row>
    <row r="2208" spans="1:9" ht="16" x14ac:dyDescent="0.8">
      <c r="A2208" s="2" t="s">
        <v>2954</v>
      </c>
      <c r="B2208" s="2" t="s">
        <v>346</v>
      </c>
      <c r="C2208" s="2" t="s">
        <v>347</v>
      </c>
      <c r="D2208" s="2" t="s">
        <v>347</v>
      </c>
      <c r="E2208" s="3">
        <v>11868</v>
      </c>
      <c r="F2208" s="3">
        <v>0</v>
      </c>
      <c r="G2208" s="2" t="s">
        <v>196</v>
      </c>
      <c r="H2208" s="2" t="s">
        <v>2926</v>
      </c>
      <c r="I2208" s="2" t="s">
        <v>279</v>
      </c>
    </row>
    <row r="2209" spans="1:9" ht="16" x14ac:dyDescent="0.8">
      <c r="A2209" s="2" t="s">
        <v>2954</v>
      </c>
      <c r="B2209" s="2" t="s">
        <v>2957</v>
      </c>
      <c r="C2209" s="2" t="s">
        <v>2958</v>
      </c>
      <c r="D2209" s="2" t="s">
        <v>2958</v>
      </c>
      <c r="E2209" s="3">
        <v>266</v>
      </c>
      <c r="F2209" s="3">
        <v>0</v>
      </c>
      <c r="G2209" s="2" t="s">
        <v>196</v>
      </c>
      <c r="H2209" s="2" t="s">
        <v>2926</v>
      </c>
      <c r="I2209" s="2" t="s">
        <v>279</v>
      </c>
    </row>
    <row r="2210" spans="1:9" ht="16" x14ac:dyDescent="0.8">
      <c r="A2210" s="2" t="s">
        <v>2954</v>
      </c>
      <c r="B2210" s="2" t="s">
        <v>341</v>
      </c>
      <c r="C2210" s="2" t="s">
        <v>342</v>
      </c>
      <c r="D2210" s="2" t="s">
        <v>342</v>
      </c>
      <c r="E2210" s="3">
        <v>5922</v>
      </c>
      <c r="F2210" s="3">
        <v>0</v>
      </c>
      <c r="G2210" s="2" t="s">
        <v>196</v>
      </c>
      <c r="H2210" s="2" t="s">
        <v>2926</v>
      </c>
      <c r="I2210" s="2" t="s">
        <v>279</v>
      </c>
    </row>
    <row r="2211" spans="1:9" ht="16" x14ac:dyDescent="0.8">
      <c r="A2211" s="2" t="s">
        <v>2954</v>
      </c>
      <c r="B2211" s="2" t="s">
        <v>352</v>
      </c>
      <c r="C2211" s="2" t="s">
        <v>353</v>
      </c>
      <c r="D2211" s="2" t="s">
        <v>353</v>
      </c>
      <c r="E2211" s="3">
        <v>5382</v>
      </c>
      <c r="F2211" s="3">
        <v>0</v>
      </c>
      <c r="G2211" s="2" t="s">
        <v>196</v>
      </c>
      <c r="H2211" s="2" t="s">
        <v>2926</v>
      </c>
      <c r="I2211" s="2" t="s">
        <v>279</v>
      </c>
    </row>
    <row r="2212" spans="1:9" ht="16" x14ac:dyDescent="0.8">
      <c r="A2212" s="2" t="s">
        <v>2954</v>
      </c>
      <c r="B2212" s="2" t="s">
        <v>455</v>
      </c>
      <c r="C2212" s="2" t="s">
        <v>456</v>
      </c>
      <c r="D2212" s="2" t="s">
        <v>456</v>
      </c>
      <c r="E2212" s="3">
        <v>7682</v>
      </c>
      <c r="F2212" s="3">
        <v>0</v>
      </c>
      <c r="G2212" s="2" t="s">
        <v>196</v>
      </c>
      <c r="H2212" s="2" t="s">
        <v>2926</v>
      </c>
      <c r="I2212" s="2" t="s">
        <v>279</v>
      </c>
    </row>
    <row r="2213" spans="1:9" ht="16" x14ac:dyDescent="0.8">
      <c r="A2213" s="2" t="s">
        <v>2954</v>
      </c>
      <c r="B2213" s="2" t="s">
        <v>280</v>
      </c>
      <c r="C2213" s="2" t="s">
        <v>281</v>
      </c>
      <c r="D2213" s="2" t="s">
        <v>281</v>
      </c>
      <c r="E2213" s="3">
        <v>2700</v>
      </c>
      <c r="F2213" s="3">
        <v>0</v>
      </c>
      <c r="G2213" s="2" t="s">
        <v>196</v>
      </c>
      <c r="H2213" s="2" t="s">
        <v>2926</v>
      </c>
      <c r="I2213" s="2" t="s">
        <v>279</v>
      </c>
    </row>
    <row r="2214" spans="1:9" ht="16" x14ac:dyDescent="0.8">
      <c r="A2214" s="2" t="s">
        <v>2954</v>
      </c>
      <c r="B2214" s="2" t="s">
        <v>2959</v>
      </c>
      <c r="C2214" s="2" t="s">
        <v>2960</v>
      </c>
      <c r="D2214" s="2" t="s">
        <v>2960</v>
      </c>
      <c r="E2214" s="3">
        <v>1459</v>
      </c>
      <c r="F2214" s="3">
        <v>0</v>
      </c>
      <c r="G2214" s="2" t="s">
        <v>196</v>
      </c>
      <c r="H2214" s="2" t="s">
        <v>2926</v>
      </c>
      <c r="I2214" s="2" t="s">
        <v>279</v>
      </c>
    </row>
    <row r="2215" spans="1:9" ht="16" x14ac:dyDescent="0.8">
      <c r="A2215" s="2" t="s">
        <v>2954</v>
      </c>
      <c r="B2215" s="2" t="s">
        <v>284</v>
      </c>
      <c r="C2215" s="2" t="s">
        <v>285</v>
      </c>
      <c r="D2215" s="2" t="s">
        <v>285</v>
      </c>
      <c r="E2215" s="3">
        <v>828</v>
      </c>
      <c r="F2215" s="3">
        <v>0</v>
      </c>
      <c r="G2215" s="2" t="s">
        <v>196</v>
      </c>
      <c r="H2215" s="2" t="s">
        <v>2926</v>
      </c>
      <c r="I2215" s="2" t="s">
        <v>279</v>
      </c>
    </row>
    <row r="2216" spans="1:9" ht="16" x14ac:dyDescent="0.8">
      <c r="A2216" s="2" t="s">
        <v>2954</v>
      </c>
      <c r="B2216" s="2" t="s">
        <v>343</v>
      </c>
      <c r="C2216" s="2" t="s">
        <v>344</v>
      </c>
      <c r="D2216" s="2" t="s">
        <v>344</v>
      </c>
      <c r="E2216" s="3">
        <v>559</v>
      </c>
      <c r="F2216" s="3">
        <v>0</v>
      </c>
      <c r="G2216" s="2" t="s">
        <v>196</v>
      </c>
      <c r="H2216" s="2" t="s">
        <v>2926</v>
      </c>
      <c r="I2216" s="2" t="s">
        <v>279</v>
      </c>
    </row>
    <row r="2217" spans="1:9" ht="16" x14ac:dyDescent="0.8">
      <c r="A2217" s="2" t="s">
        <v>2954</v>
      </c>
      <c r="B2217" s="2" t="s">
        <v>2961</v>
      </c>
      <c r="C2217" s="2" t="s">
        <v>2962</v>
      </c>
      <c r="D2217" s="2" t="s">
        <v>2962</v>
      </c>
      <c r="E2217" s="3">
        <v>183</v>
      </c>
      <c r="F2217" s="3">
        <v>0</v>
      </c>
      <c r="G2217" s="2" t="s">
        <v>196</v>
      </c>
      <c r="H2217" s="2" t="s">
        <v>2926</v>
      </c>
      <c r="I2217" s="2" t="s">
        <v>279</v>
      </c>
    </row>
    <row r="2218" spans="1:9" ht="16" x14ac:dyDescent="0.8">
      <c r="A2218" s="2" t="s">
        <v>2954</v>
      </c>
      <c r="B2218" s="2" t="s">
        <v>2963</v>
      </c>
      <c r="C2218" s="2" t="s">
        <v>2964</v>
      </c>
      <c r="D2218" s="2" t="s">
        <v>2964</v>
      </c>
      <c r="E2218" s="3">
        <v>213</v>
      </c>
      <c r="F2218" s="3">
        <v>0</v>
      </c>
      <c r="G2218" s="2" t="s">
        <v>196</v>
      </c>
      <c r="H2218" s="2" t="s">
        <v>2926</v>
      </c>
      <c r="I2218" s="2" t="s">
        <v>279</v>
      </c>
    </row>
    <row r="2219" spans="1:9" ht="16" x14ac:dyDescent="0.8">
      <c r="A2219" s="2" t="s">
        <v>2954</v>
      </c>
      <c r="B2219" s="2" t="s">
        <v>2965</v>
      </c>
      <c r="C2219" s="2" t="s">
        <v>2966</v>
      </c>
      <c r="D2219" s="2" t="s">
        <v>2966</v>
      </c>
      <c r="E2219" s="3">
        <v>251</v>
      </c>
      <c r="F2219" s="3">
        <v>0</v>
      </c>
      <c r="G2219" s="2" t="s">
        <v>196</v>
      </c>
      <c r="H2219" s="2" t="s">
        <v>2926</v>
      </c>
      <c r="I2219" s="2" t="s">
        <v>279</v>
      </c>
    </row>
    <row r="2220" spans="1:9" ht="16" x14ac:dyDescent="0.8">
      <c r="A2220" s="2" t="s">
        <v>2954</v>
      </c>
      <c r="B2220" s="2" t="s">
        <v>2967</v>
      </c>
      <c r="C2220" s="2" t="s">
        <v>2968</v>
      </c>
      <c r="D2220" s="2" t="s">
        <v>2968</v>
      </c>
      <c r="E2220" s="3">
        <v>66</v>
      </c>
      <c r="F2220" s="3">
        <v>0</v>
      </c>
      <c r="G2220" s="2" t="s">
        <v>196</v>
      </c>
      <c r="H2220" s="2" t="s">
        <v>2926</v>
      </c>
      <c r="I2220" s="2" t="s">
        <v>279</v>
      </c>
    </row>
    <row r="2221" spans="1:9" ht="16" x14ac:dyDescent="0.8">
      <c r="A2221" s="2" t="s">
        <v>2953</v>
      </c>
      <c r="B2221" s="2" t="s">
        <v>180</v>
      </c>
      <c r="C2221" s="2" t="s">
        <v>181</v>
      </c>
      <c r="D2221" s="2" t="s">
        <v>181</v>
      </c>
      <c r="E2221" s="3">
        <v>2000</v>
      </c>
      <c r="F2221" s="3">
        <v>0</v>
      </c>
      <c r="G2221" s="2" t="s">
        <v>196</v>
      </c>
      <c r="H2221" s="2" t="s">
        <v>2952</v>
      </c>
      <c r="I2221" s="2" t="s">
        <v>168</v>
      </c>
    </row>
    <row r="2222" spans="1:9" ht="16" x14ac:dyDescent="0.8">
      <c r="A2222" s="2" t="s">
        <v>2969</v>
      </c>
      <c r="B2222" s="2" t="s">
        <v>2970</v>
      </c>
      <c r="C2222" s="2" t="s">
        <v>2971</v>
      </c>
      <c r="D2222" s="2" t="s">
        <v>2971</v>
      </c>
      <c r="E2222" s="3">
        <v>250800</v>
      </c>
      <c r="F2222" s="3">
        <v>0</v>
      </c>
      <c r="G2222" s="2" t="s">
        <v>196</v>
      </c>
      <c r="H2222" s="2" t="s">
        <v>2972</v>
      </c>
      <c r="I2222" s="2" t="s">
        <v>589</v>
      </c>
    </row>
    <row r="2223" spans="1:9" ht="16" x14ac:dyDescent="0.8">
      <c r="A2223" s="2" t="s">
        <v>2973</v>
      </c>
      <c r="B2223" s="2" t="s">
        <v>2970</v>
      </c>
      <c r="C2223" s="2" t="s">
        <v>2971</v>
      </c>
      <c r="D2223" s="2" t="s">
        <v>2971</v>
      </c>
      <c r="E2223" s="3">
        <v>250800</v>
      </c>
      <c r="F2223" s="3">
        <v>0</v>
      </c>
      <c r="G2223" s="2" t="s">
        <v>196</v>
      </c>
      <c r="H2223" s="2" t="s">
        <v>2972</v>
      </c>
      <c r="I2223" s="2" t="s">
        <v>589</v>
      </c>
    </row>
    <row r="2224" spans="1:9" ht="16" x14ac:dyDescent="0.8">
      <c r="A2224" s="2" t="s">
        <v>2974</v>
      </c>
      <c r="B2224" s="2" t="s">
        <v>2975</v>
      </c>
      <c r="C2224" s="2" t="s">
        <v>2976</v>
      </c>
      <c r="D2224" s="2" t="s">
        <v>2976</v>
      </c>
      <c r="E2224" s="3">
        <v>163440</v>
      </c>
      <c r="F2224" s="3">
        <v>0</v>
      </c>
      <c r="G2224" s="2" t="s">
        <v>196</v>
      </c>
      <c r="H2224" s="2" t="s">
        <v>2972</v>
      </c>
      <c r="I2224" s="2" t="s">
        <v>589</v>
      </c>
    </row>
    <row r="2225" spans="1:9" ht="16" x14ac:dyDescent="0.8">
      <c r="A2225" s="2" t="s">
        <v>2974</v>
      </c>
      <c r="B2225" s="2" t="s">
        <v>2977</v>
      </c>
      <c r="C2225" s="2" t="s">
        <v>2978</v>
      </c>
      <c r="D2225" s="2" t="s">
        <v>2978</v>
      </c>
      <c r="E2225" s="3">
        <v>207792</v>
      </c>
      <c r="F2225" s="3">
        <v>0</v>
      </c>
      <c r="G2225" s="2" t="s">
        <v>196</v>
      </c>
      <c r="H2225" s="2" t="s">
        <v>2972</v>
      </c>
      <c r="I2225" s="2" t="s">
        <v>589</v>
      </c>
    </row>
    <row r="2226" spans="1:9" ht="16" x14ac:dyDescent="0.8">
      <c r="A2226" s="2" t="s">
        <v>2974</v>
      </c>
      <c r="B2226" s="2" t="s">
        <v>2979</v>
      </c>
      <c r="C2226" s="2" t="s">
        <v>2980</v>
      </c>
      <c r="D2226" s="2" t="s">
        <v>2980</v>
      </c>
      <c r="E2226" s="3">
        <v>98280</v>
      </c>
      <c r="F2226" s="3">
        <v>0</v>
      </c>
      <c r="G2226" s="2" t="s">
        <v>196</v>
      </c>
      <c r="H2226" s="2" t="s">
        <v>2972</v>
      </c>
      <c r="I2226" s="2" t="s">
        <v>589</v>
      </c>
    </row>
    <row r="2227" spans="1:9" ht="16" x14ac:dyDescent="0.8">
      <c r="A2227" s="2" t="s">
        <v>2974</v>
      </c>
      <c r="B2227" s="2" t="s">
        <v>2981</v>
      </c>
      <c r="C2227" s="2" t="s">
        <v>2982</v>
      </c>
      <c r="D2227" s="2" t="s">
        <v>2982</v>
      </c>
      <c r="E2227" s="3">
        <v>174024</v>
      </c>
      <c r="F2227" s="3">
        <v>0</v>
      </c>
      <c r="G2227" s="2" t="s">
        <v>196</v>
      </c>
      <c r="H2227" s="2" t="s">
        <v>2972</v>
      </c>
      <c r="I2227" s="2" t="s">
        <v>589</v>
      </c>
    </row>
    <row r="2228" spans="1:9" ht="16" x14ac:dyDescent="0.8">
      <c r="A2228" s="2" t="s">
        <v>2974</v>
      </c>
      <c r="B2228" s="2" t="s">
        <v>2983</v>
      </c>
      <c r="C2228" s="2" t="s">
        <v>2984</v>
      </c>
      <c r="D2228" s="2" t="s">
        <v>2984</v>
      </c>
      <c r="E2228" s="3">
        <v>195456</v>
      </c>
      <c r="F2228" s="3">
        <v>0</v>
      </c>
      <c r="G2228" s="2" t="s">
        <v>196</v>
      </c>
      <c r="H2228" s="2" t="s">
        <v>2972</v>
      </c>
      <c r="I2228" s="2" t="s">
        <v>589</v>
      </c>
    </row>
    <row r="2229" spans="1:9" ht="16" x14ac:dyDescent="0.8">
      <c r="A2229" s="2" t="s">
        <v>2985</v>
      </c>
      <c r="B2229" s="2" t="s">
        <v>2975</v>
      </c>
      <c r="C2229" s="2" t="s">
        <v>2976</v>
      </c>
      <c r="D2229" s="2" t="s">
        <v>2976</v>
      </c>
      <c r="E2229" s="3">
        <v>163440</v>
      </c>
      <c r="F2229" s="3">
        <v>0</v>
      </c>
      <c r="G2229" s="2" t="s">
        <v>196</v>
      </c>
      <c r="H2229" s="2" t="s">
        <v>2972</v>
      </c>
      <c r="I2229" s="2" t="s">
        <v>589</v>
      </c>
    </row>
    <row r="2230" spans="1:9" ht="16" x14ac:dyDescent="0.8">
      <c r="A2230" s="2" t="s">
        <v>2985</v>
      </c>
      <c r="B2230" s="2" t="s">
        <v>2977</v>
      </c>
      <c r="C2230" s="2" t="s">
        <v>2978</v>
      </c>
      <c r="D2230" s="2" t="s">
        <v>2978</v>
      </c>
      <c r="E2230" s="3">
        <v>207792</v>
      </c>
      <c r="F2230" s="3">
        <v>0</v>
      </c>
      <c r="G2230" s="2" t="s">
        <v>196</v>
      </c>
      <c r="H2230" s="2" t="s">
        <v>2972</v>
      </c>
      <c r="I2230" s="2" t="s">
        <v>589</v>
      </c>
    </row>
    <row r="2231" spans="1:9" ht="16" x14ac:dyDescent="0.8">
      <c r="A2231" s="2" t="s">
        <v>2985</v>
      </c>
      <c r="B2231" s="2" t="s">
        <v>2979</v>
      </c>
      <c r="C2231" s="2" t="s">
        <v>2980</v>
      </c>
      <c r="D2231" s="2" t="s">
        <v>2980</v>
      </c>
      <c r="E2231" s="3">
        <v>98280</v>
      </c>
      <c r="F2231" s="3">
        <v>0</v>
      </c>
      <c r="G2231" s="2" t="s">
        <v>196</v>
      </c>
      <c r="H2231" s="2" t="s">
        <v>2972</v>
      </c>
      <c r="I2231" s="2" t="s">
        <v>589</v>
      </c>
    </row>
    <row r="2232" spans="1:9" ht="16" x14ac:dyDescent="0.8">
      <c r="A2232" s="2" t="s">
        <v>2985</v>
      </c>
      <c r="B2232" s="2" t="s">
        <v>2981</v>
      </c>
      <c r="C2232" s="2" t="s">
        <v>2982</v>
      </c>
      <c r="D2232" s="2" t="s">
        <v>2982</v>
      </c>
      <c r="E2232" s="3">
        <v>174024</v>
      </c>
      <c r="F2232" s="3">
        <v>0</v>
      </c>
      <c r="G2232" s="2" t="s">
        <v>196</v>
      </c>
      <c r="H2232" s="2" t="s">
        <v>2972</v>
      </c>
      <c r="I2232" s="2" t="s">
        <v>589</v>
      </c>
    </row>
    <row r="2233" spans="1:9" ht="16" x14ac:dyDescent="0.8">
      <c r="A2233" s="2" t="s">
        <v>2985</v>
      </c>
      <c r="B2233" s="2" t="s">
        <v>2983</v>
      </c>
      <c r="C2233" s="2" t="s">
        <v>2984</v>
      </c>
      <c r="D2233" s="2" t="s">
        <v>2984</v>
      </c>
      <c r="E2233" s="3">
        <v>195456</v>
      </c>
      <c r="F2233" s="3">
        <v>0</v>
      </c>
      <c r="G2233" s="2" t="s">
        <v>196</v>
      </c>
      <c r="H2233" s="2" t="s">
        <v>2972</v>
      </c>
      <c r="I2233" s="2" t="s">
        <v>589</v>
      </c>
    </row>
  </sheetData>
  <autoFilter ref="A1:I22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Item</vt:lpstr>
      <vt:lpstr>Supplier</vt:lpstr>
      <vt:lpstr>Daneels</vt:lpstr>
      <vt:lpstr>Paqt</vt:lpstr>
      <vt:lpstr>Loko verpakkingen</vt:lpstr>
      <vt:lpstr>Cartotecnica</vt:lpstr>
      <vt:lpstr>Paqt - Esveco</vt:lpstr>
      <vt:lpstr>Forma Italia</vt:lpstr>
      <vt:lpstr>Rotolito</vt:lpstr>
      <vt:lpstr>Globetrade</vt:lpstr>
      <vt:lpstr>Morning light</vt:lpstr>
      <vt:lpstr>Hung Hing</vt:lpstr>
      <vt:lpstr>Wing Mau</vt:lpstr>
      <vt:lpstr>Chuangwen</vt:lpstr>
      <vt:lpstr>Newgate</vt:lpstr>
      <vt:lpstr>Shantou Dihua</vt:lpstr>
      <vt:lpstr>Product development partners</vt:lpstr>
      <vt:lpstr>Eastcolight</vt:lpstr>
      <vt:lpstr>Gloria fortune</vt:lpstr>
      <vt:lpstr>Aurora world</vt:lpstr>
      <vt:lpstr>Zhejiang Feijian</vt:lpstr>
      <vt:lpstr>Shanghai Gravim</vt:lpstr>
      <vt:lpstr>Rong lin wah</vt:lpstr>
      <vt:lpstr>Shulopal</vt:lpstr>
      <vt:lpstr>Xinduo cups</vt:lpstr>
      <vt:lpstr>Meridian</vt:lpstr>
      <vt:lpstr>Sun Hing printing</vt:lpstr>
      <vt:lpstr>Heng Dun</vt:lpstr>
      <vt:lpstr>Hasbro</vt:lpstr>
      <vt:lpstr>Prolific </vt:lpstr>
      <vt:lpstr>Kylin Craft</vt:lpstr>
      <vt:lpstr>Binli</vt:lpstr>
      <vt:lpstr>Tuzh umbrella</vt:lpstr>
      <vt:lpstr>ESG - Order Quantities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Aaron van Dok</cp:lastModifiedBy>
  <dcterms:created xsi:type="dcterms:W3CDTF">2026-01-21T10:40:00Z</dcterms:created>
  <dcterms:modified xsi:type="dcterms:W3CDTF">2026-03-02T20:51:50Z</dcterms:modified>
</cp:coreProperties>
</file>